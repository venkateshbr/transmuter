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itinfoalvarezandmarsalapc.sharepoint.com/sites/Zorisdocuments/Shared Documents/General/Transmuter/"/>
    </mc:Choice>
  </mc:AlternateContent>
  <xr:revisionPtr revIDLastSave="331" documentId="8_{26E08DD9-FF81-4792-B452-C3D78FC32AF1}" xr6:coauthVersionLast="47" xr6:coauthVersionMax="47" xr10:uidLastSave="{E0DD52AD-18C7-4638-9927-D3A892A3B3BF}"/>
  <bookViews>
    <workbookView xWindow="28680" yWindow="-1155" windowWidth="29040" windowHeight="15720" tabRatio="500" activeTab="2" xr2:uid="{00000000-000D-0000-FFFF-FFFF00000000}"/>
  </bookViews>
  <sheets>
    <sheet name="to do" sheetId="13" r:id="rId1"/>
    <sheet name="config" sheetId="12" r:id="rId2"/>
    <sheet name="Dashboards" sheetId="11" r:id="rId3"/>
    <sheet name="Initiative Summary" sheetId="1" r:id="rId4"/>
    <sheet name="Charter Details" sheetId="2" r:id="rId5"/>
    <sheet name="Financial Summary" sheetId="3" r:id="rId6"/>
    <sheet name="Benefits" sheetId="4" r:id="rId7"/>
    <sheet name="Costs" sheetId="5" r:id="rId8"/>
    <sheet name="DO NOT USE" sheetId="14" r:id="rId9"/>
    <sheet name="KPIs" sheetId="6" r:id="rId10"/>
    <sheet name="Milestones" sheetId="7" r:id="rId11"/>
    <sheet name="Action Items" sheetId="8" r:id="rId12"/>
    <sheet name="Risks" sheetId="9" r:id="rId13"/>
    <sheet name="Status Updates" sheetId="10" r:id="rId14"/>
  </sheets>
  <definedNames>
    <definedName name="_xlnm._FilterDatabase" localSheetId="6" hidden="1">Benefits!$A$2:$CS$191</definedName>
    <definedName name="_xlnm._FilterDatabase" localSheetId="7" hidden="1">Costs!$A$2:$DA$20</definedName>
    <definedName name="_xlnm._FilterDatabase" localSheetId="3" hidden="1">'Initiative Summary'!$A$4:$X$26</definedName>
    <definedName name="_xlnm._FilterDatabase" localSheetId="9" hidden="1">KPIs!$A$2:$DD$71</definedName>
    <definedName name="_xlnm._FilterDatabase" localSheetId="10" hidden="1">Milestones!$A$2:$V$89</definedName>
    <definedName name="_xlnm._FilterDatabase" localSheetId="12" hidden="1">Risks!$A$2:$R$11</definedName>
    <definedName name="_xlnm._FilterDatabase" localSheetId="13" hidden="1">'Status Updates'!$A$2:$Q$6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3" i="11" l="1"/>
  <c r="G11" i="11"/>
  <c r="G16" i="11"/>
  <c r="H21" i="11"/>
  <c r="I21" i="11"/>
  <c r="J21" i="11" s="1"/>
  <c r="K21" i="11" s="1"/>
  <c r="L21" i="11" s="1"/>
  <c r="M21" i="11" s="1"/>
  <c r="N21" i="11" s="1"/>
  <c r="O21" i="11" s="1"/>
  <c r="P21" i="11" s="1"/>
  <c r="Q21" i="11" s="1"/>
  <c r="R21" i="11" s="1"/>
  <c r="S21" i="11" s="1"/>
  <c r="T21" i="11" s="1"/>
  <c r="U21" i="11" s="1"/>
  <c r="V21" i="11" s="1"/>
  <c r="W21" i="11" s="1"/>
  <c r="X21" i="11" s="1"/>
  <c r="Y21" i="11" s="1"/>
  <c r="Z21" i="11" s="1"/>
  <c r="AA21" i="11" s="1"/>
  <c r="AB21" i="11" s="1"/>
  <c r="AC21" i="11" s="1"/>
  <c r="AD21" i="11" s="1"/>
  <c r="AE21" i="11" s="1"/>
  <c r="AF21" i="11" s="1"/>
  <c r="AG21" i="11" s="1"/>
  <c r="AH21" i="11" s="1"/>
  <c r="AI21" i="11" s="1"/>
  <c r="AJ21" i="11" s="1"/>
  <c r="AK21" i="11" s="1"/>
  <c r="AL21" i="11" s="1"/>
  <c r="AM21" i="11" s="1"/>
  <c r="AN21" i="11" s="1"/>
  <c r="AO21" i="11" s="1"/>
  <c r="AP21" i="11" s="1"/>
  <c r="AQ21" i="11" s="1"/>
  <c r="AR21" i="11" s="1"/>
  <c r="AS21" i="11" s="1"/>
  <c r="AT21" i="11" s="1"/>
  <c r="AU21" i="11" s="1"/>
  <c r="AV21" i="11" s="1"/>
  <c r="AW21" i="11" s="1"/>
  <c r="AX21" i="11" s="1"/>
  <c r="AY21" i="11" s="1"/>
  <c r="AZ21" i="11" s="1"/>
  <c r="BA21" i="11" s="1"/>
  <c r="BB21" i="11" s="1"/>
  <c r="BC21" i="11" s="1"/>
  <c r="BD21" i="11" s="1"/>
  <c r="BE21" i="11" s="1"/>
  <c r="BF21" i="11" s="1"/>
  <c r="BG21" i="11" s="1"/>
  <c r="BH21" i="11" s="1"/>
  <c r="BI21" i="11" s="1"/>
  <c r="DB3" i="5"/>
  <c r="U36" i="11" s="1"/>
  <c r="DB4" i="5"/>
  <c r="DB5" i="5"/>
  <c r="DB6" i="5"/>
  <c r="DB7" i="5"/>
  <c r="DB8" i="5"/>
  <c r="DB9" i="5"/>
  <c r="DB10" i="5"/>
  <c r="DB11" i="5"/>
  <c r="DB12" i="5"/>
  <c r="DB13" i="5"/>
  <c r="DB14" i="5"/>
  <c r="DB15" i="5"/>
  <c r="DB16" i="5"/>
  <c r="DB17" i="5"/>
  <c r="DB18" i="5"/>
  <c r="DB19" i="5"/>
  <c r="DB20" i="5"/>
  <c r="DB21" i="5"/>
  <c r="DB22" i="5"/>
  <c r="DB23" i="5"/>
  <c r="DB24" i="5"/>
  <c r="DB25" i="5"/>
  <c r="DB26" i="5"/>
  <c r="DB27" i="5"/>
  <c r="DB28" i="5"/>
  <c r="DB29" i="5"/>
  <c r="DB30" i="5"/>
  <c r="DB31" i="5"/>
  <c r="DB32" i="5"/>
  <c r="DB33" i="5"/>
  <c r="DB34" i="5"/>
  <c r="DB35" i="5"/>
  <c r="DB36" i="5"/>
  <c r="DB37" i="5"/>
  <c r="DB38" i="5"/>
  <c r="DB39" i="5"/>
  <c r="DB40" i="5"/>
  <c r="DB41" i="5"/>
  <c r="DB42" i="5"/>
  <c r="DB43" i="5"/>
  <c r="DB44" i="5"/>
  <c r="DB45" i="5"/>
  <c r="DB46" i="5"/>
  <c r="DB47" i="5"/>
  <c r="DB48" i="5"/>
  <c r="DB49" i="5"/>
  <c r="DB50" i="5"/>
  <c r="DB51" i="5"/>
  <c r="DB52" i="5"/>
  <c r="DB53" i="5"/>
  <c r="DB54" i="5"/>
  <c r="DB55" i="5"/>
  <c r="DB56" i="5"/>
  <c r="DB57" i="5"/>
  <c r="DB58" i="5"/>
  <c r="DB59" i="5"/>
  <c r="DB60" i="5"/>
  <c r="DB61" i="5"/>
  <c r="DB62" i="5"/>
  <c r="DB63" i="5"/>
  <c r="DB64" i="5"/>
  <c r="DB65" i="5"/>
  <c r="DB66" i="5"/>
  <c r="DB67" i="5"/>
  <c r="DB68" i="5"/>
  <c r="CS3" i="4"/>
  <c r="CS4" i="4"/>
  <c r="CS5" i="4"/>
  <c r="CS6" i="4"/>
  <c r="CS7" i="4"/>
  <c r="CS8" i="4"/>
  <c r="CS9" i="4"/>
  <c r="CS10" i="4"/>
  <c r="CS11" i="4"/>
  <c r="CS12" i="4"/>
  <c r="CS13" i="4"/>
  <c r="CS14" i="4"/>
  <c r="CS15" i="4"/>
  <c r="CS16" i="4"/>
  <c r="CS17" i="4"/>
  <c r="CS18" i="4"/>
  <c r="CS19" i="4"/>
  <c r="CS20" i="4"/>
  <c r="CS21" i="4"/>
  <c r="CS22" i="4"/>
  <c r="CS23" i="4"/>
  <c r="CS24" i="4"/>
  <c r="CS25" i="4"/>
  <c r="CS26" i="4"/>
  <c r="CS27" i="4"/>
  <c r="CS28" i="4"/>
  <c r="CS29" i="4"/>
  <c r="CS30" i="4"/>
  <c r="CS31" i="4"/>
  <c r="CS32" i="4"/>
  <c r="CS33" i="4"/>
  <c r="CS34" i="4"/>
  <c r="CS35" i="4"/>
  <c r="CS36" i="4"/>
  <c r="CS37" i="4"/>
  <c r="CS38" i="4"/>
  <c r="CS39" i="4"/>
  <c r="CS40" i="4"/>
  <c r="CS41" i="4"/>
  <c r="CS42" i="4"/>
  <c r="CS43" i="4"/>
  <c r="CS44" i="4"/>
  <c r="CS45" i="4"/>
  <c r="CS46" i="4"/>
  <c r="CS47" i="4"/>
  <c r="CS48" i="4"/>
  <c r="CS49" i="4"/>
  <c r="CS50" i="4"/>
  <c r="CS51" i="4"/>
  <c r="CS52" i="4"/>
  <c r="CS53" i="4"/>
  <c r="CS54" i="4"/>
  <c r="CS55" i="4"/>
  <c r="CS56" i="4"/>
  <c r="CS57" i="4"/>
  <c r="CS58" i="4"/>
  <c r="CS59" i="4"/>
  <c r="CS60" i="4"/>
  <c r="CS61" i="4"/>
  <c r="CS62" i="4"/>
  <c r="CS63" i="4"/>
  <c r="CS64" i="4"/>
  <c r="CS65" i="4"/>
  <c r="CS66" i="4"/>
  <c r="CS67" i="4"/>
  <c r="CS68" i="4"/>
  <c r="CS69" i="4"/>
  <c r="CS70" i="4"/>
  <c r="CS71" i="4"/>
  <c r="CS72" i="4"/>
  <c r="CS73" i="4"/>
  <c r="CS74" i="4"/>
  <c r="CS75" i="4"/>
  <c r="CS76" i="4"/>
  <c r="CS77" i="4"/>
  <c r="CS78" i="4"/>
  <c r="CS79" i="4"/>
  <c r="CS80" i="4"/>
  <c r="CS81" i="4"/>
  <c r="CS82" i="4"/>
  <c r="CS83" i="4"/>
  <c r="CS84" i="4"/>
  <c r="CS85" i="4"/>
  <c r="CS86" i="4"/>
  <c r="CS87" i="4"/>
  <c r="CS88" i="4"/>
  <c r="CS89" i="4"/>
  <c r="CS90" i="4"/>
  <c r="CS91" i="4"/>
  <c r="CS92" i="4"/>
  <c r="CS93" i="4"/>
  <c r="CS94" i="4"/>
  <c r="CS95" i="4"/>
  <c r="CS96" i="4"/>
  <c r="CS97" i="4"/>
  <c r="CS98" i="4"/>
  <c r="CS99" i="4"/>
  <c r="CS100" i="4"/>
  <c r="CS101" i="4"/>
  <c r="CS102" i="4"/>
  <c r="CS103" i="4"/>
  <c r="CS104" i="4"/>
  <c r="CS105" i="4"/>
  <c r="CS106" i="4"/>
  <c r="CS107" i="4"/>
  <c r="CS108" i="4"/>
  <c r="CS109" i="4"/>
  <c r="CS110" i="4"/>
  <c r="CS111" i="4"/>
  <c r="CS112" i="4"/>
  <c r="CS113" i="4"/>
  <c r="CS114" i="4"/>
  <c r="CS115" i="4"/>
  <c r="CS116" i="4"/>
  <c r="CS117" i="4"/>
  <c r="CS118" i="4"/>
  <c r="CS119" i="4"/>
  <c r="CS120" i="4"/>
  <c r="CS121" i="4"/>
  <c r="CS122" i="4"/>
  <c r="CS123" i="4"/>
  <c r="CS124" i="4"/>
  <c r="CS125" i="4"/>
  <c r="CS126" i="4"/>
  <c r="CS127" i="4"/>
  <c r="CS128" i="4"/>
  <c r="CS129" i="4"/>
  <c r="CS130" i="4"/>
  <c r="CS131" i="4"/>
  <c r="CS132" i="4"/>
  <c r="CS133" i="4"/>
  <c r="CS134" i="4"/>
  <c r="CS135" i="4"/>
  <c r="CS136" i="4"/>
  <c r="CS137" i="4"/>
  <c r="CS138" i="4"/>
  <c r="CS139" i="4"/>
  <c r="CS140" i="4"/>
  <c r="CS141" i="4"/>
  <c r="CS142" i="4"/>
  <c r="CS143" i="4"/>
  <c r="CS144" i="4"/>
  <c r="CS145" i="4"/>
  <c r="CS146" i="4"/>
  <c r="CS147" i="4"/>
  <c r="CS148" i="4"/>
  <c r="CS149" i="4"/>
  <c r="CS150" i="4"/>
  <c r="CS151" i="4"/>
  <c r="CS152" i="4"/>
  <c r="CS153" i="4"/>
  <c r="CS154" i="4"/>
  <c r="CS155" i="4"/>
  <c r="CS156" i="4"/>
  <c r="CS157" i="4"/>
  <c r="CS158" i="4"/>
  <c r="CS159" i="4"/>
  <c r="CS160" i="4"/>
  <c r="CS161" i="4"/>
  <c r="CS162" i="4"/>
  <c r="CS163" i="4"/>
  <c r="CS164" i="4"/>
  <c r="CS165" i="4"/>
  <c r="CS166" i="4"/>
  <c r="CS167" i="4"/>
  <c r="CS168" i="4"/>
  <c r="CS169" i="4"/>
  <c r="CS170" i="4"/>
  <c r="CS171" i="4"/>
  <c r="CS172" i="4"/>
  <c r="CS173" i="4"/>
  <c r="CS174" i="4"/>
  <c r="CS175" i="4"/>
  <c r="CS176" i="4"/>
  <c r="CS177" i="4"/>
  <c r="CS178" i="4"/>
  <c r="CS179" i="4"/>
  <c r="CS180" i="4"/>
  <c r="CS181" i="4"/>
  <c r="CS182" i="4"/>
  <c r="CS183" i="4"/>
  <c r="CS184" i="4"/>
  <c r="CS185" i="4"/>
  <c r="CS186" i="4"/>
  <c r="CS187" i="4"/>
  <c r="CS188" i="4"/>
  <c r="CS189" i="4"/>
  <c r="CS190" i="4"/>
  <c r="CS191" i="4"/>
  <c r="D311" i="3"/>
  <c r="E311" i="3"/>
  <c r="F311" i="3"/>
  <c r="G311" i="3"/>
  <c r="H311" i="3"/>
  <c r="I311" i="3" s="1"/>
  <c r="D310" i="3"/>
  <c r="E310" i="3"/>
  <c r="F310" i="3"/>
  <c r="G310" i="3"/>
  <c r="H310" i="3"/>
  <c r="I310" i="3"/>
  <c r="D308" i="3"/>
  <c r="D315" i="3" s="1"/>
  <c r="D316" i="3" s="1"/>
  <c r="E308" i="3"/>
  <c r="E315" i="3" s="1"/>
  <c r="E316" i="3" s="1"/>
  <c r="F308" i="3"/>
  <c r="F315" i="3" s="1"/>
  <c r="F316" i="3" s="1"/>
  <c r="G308" i="3"/>
  <c r="G315" i="3" s="1"/>
  <c r="G316" i="3" s="1"/>
  <c r="H308" i="3"/>
  <c r="I308" i="3" s="1"/>
  <c r="I315" i="3" s="1"/>
  <c r="I316" i="3" s="1"/>
  <c r="D307" i="3"/>
  <c r="D314" i="3" s="1"/>
  <c r="E307" i="3"/>
  <c r="E314" i="3" s="1"/>
  <c r="F307" i="3"/>
  <c r="F314" i="3" s="1"/>
  <c r="V21" i="2" s="1" a="1"/>
  <c r="V21" i="2" s="1"/>
  <c r="G307" i="3"/>
  <c r="H307" i="3"/>
  <c r="H314" i="3" s="1"/>
  <c r="D306" i="3"/>
  <c r="D313" i="3" s="1"/>
  <c r="E306" i="3"/>
  <c r="E313" i="3" s="1"/>
  <c r="F306" i="3"/>
  <c r="G306" i="3"/>
  <c r="G313" i="3" s="1"/>
  <c r="H306" i="3"/>
  <c r="I306" i="3" s="1"/>
  <c r="I313" i="3" s="1"/>
  <c r="D305" i="3"/>
  <c r="E305" i="3"/>
  <c r="F305" i="3"/>
  <c r="G305" i="3"/>
  <c r="H305" i="3"/>
  <c r="I305" i="3" s="1"/>
  <c r="D304" i="3"/>
  <c r="E304" i="3"/>
  <c r="F304" i="3"/>
  <c r="G304" i="3"/>
  <c r="H304" i="3"/>
  <c r="I304" i="3" s="1"/>
  <c r="D303" i="3"/>
  <c r="E303" i="3"/>
  <c r="F303" i="3"/>
  <c r="G303" i="3"/>
  <c r="H303" i="3"/>
  <c r="I303" i="3" s="1"/>
  <c r="D296" i="3"/>
  <c r="E296" i="3"/>
  <c r="F296" i="3"/>
  <c r="G296" i="3"/>
  <c r="H296" i="3"/>
  <c r="I296" i="3"/>
  <c r="D295" i="3"/>
  <c r="E295" i="3"/>
  <c r="F295" i="3"/>
  <c r="G295" i="3"/>
  <c r="H295" i="3"/>
  <c r="I295" i="3" s="1"/>
  <c r="D293" i="3"/>
  <c r="D300" i="3" s="1"/>
  <c r="D301" i="3" s="1"/>
  <c r="E293" i="3"/>
  <c r="E300" i="3" s="1"/>
  <c r="E301" i="3" s="1"/>
  <c r="F293" i="3"/>
  <c r="G293" i="3"/>
  <c r="G300" i="3" s="1"/>
  <c r="G301" i="3" s="1"/>
  <c r="H293" i="3"/>
  <c r="I293" i="3" s="1"/>
  <c r="I300" i="3" s="1"/>
  <c r="I301" i="3" s="1"/>
  <c r="D292" i="3"/>
  <c r="D299" i="3" s="1"/>
  <c r="E292" i="3"/>
  <c r="E299" i="3" s="1"/>
  <c r="F292" i="3"/>
  <c r="G292" i="3"/>
  <c r="G299" i="3" s="1"/>
  <c r="H292" i="3"/>
  <c r="D291" i="3"/>
  <c r="D298" i="3" s="1"/>
  <c r="E291" i="3"/>
  <c r="E298" i="3" s="1"/>
  <c r="F291" i="3"/>
  <c r="G291" i="3"/>
  <c r="H291" i="3"/>
  <c r="I291" i="3" s="1"/>
  <c r="D290" i="3"/>
  <c r="E290" i="3"/>
  <c r="F290" i="3"/>
  <c r="G290" i="3"/>
  <c r="H290" i="3"/>
  <c r="I290" i="3" s="1"/>
  <c r="D289" i="3"/>
  <c r="E289" i="3"/>
  <c r="F289" i="3"/>
  <c r="G289" i="3"/>
  <c r="H289" i="3"/>
  <c r="I289" i="3"/>
  <c r="J289" i="3" s="1"/>
  <c r="D288" i="3"/>
  <c r="E288" i="3"/>
  <c r="F288" i="3"/>
  <c r="G288" i="3"/>
  <c r="H288" i="3"/>
  <c r="I288" i="3" s="1"/>
  <c r="D281" i="3"/>
  <c r="E281" i="3"/>
  <c r="F281" i="3"/>
  <c r="G281" i="3"/>
  <c r="H281" i="3"/>
  <c r="I281" i="3"/>
  <c r="D280" i="3"/>
  <c r="E280" i="3"/>
  <c r="F280" i="3"/>
  <c r="G280" i="3"/>
  <c r="H280" i="3"/>
  <c r="I280" i="3"/>
  <c r="D278" i="3"/>
  <c r="D285" i="3" s="1"/>
  <c r="D286" i="3" s="1"/>
  <c r="E278" i="3"/>
  <c r="F278" i="3"/>
  <c r="F285" i="3" s="1"/>
  <c r="F286" i="3" s="1"/>
  <c r="G278" i="3"/>
  <c r="G285" i="3" s="1"/>
  <c r="G286" i="3" s="1"/>
  <c r="H278" i="3"/>
  <c r="H285" i="3" s="1"/>
  <c r="H286" i="3" s="1"/>
  <c r="D277" i="3"/>
  <c r="E277" i="3"/>
  <c r="F277" i="3"/>
  <c r="F284" i="3" s="1"/>
  <c r="T21" i="2" s="1" a="1"/>
  <c r="T21" i="2" s="1"/>
  <c r="G277" i="3"/>
  <c r="G284" i="3" s="1"/>
  <c r="H277" i="3"/>
  <c r="I277" i="3" s="1"/>
  <c r="I284" i="3" s="1"/>
  <c r="D276" i="3"/>
  <c r="E276" i="3"/>
  <c r="F276" i="3"/>
  <c r="F283" i="3" s="1"/>
  <c r="T20" i="2" s="1" a="1"/>
  <c r="T20" i="2" s="1"/>
  <c r="G276" i="3"/>
  <c r="G283" i="3" s="1"/>
  <c r="H276" i="3"/>
  <c r="I276" i="3" s="1"/>
  <c r="I283" i="3" s="1"/>
  <c r="D275" i="3"/>
  <c r="E275" i="3"/>
  <c r="F275" i="3"/>
  <c r="G275" i="3"/>
  <c r="H275" i="3"/>
  <c r="I275" i="3"/>
  <c r="D274" i="3"/>
  <c r="E274" i="3"/>
  <c r="F274" i="3"/>
  <c r="G274" i="3"/>
  <c r="H274" i="3"/>
  <c r="I274" i="3" s="1"/>
  <c r="D273" i="3"/>
  <c r="E273" i="3"/>
  <c r="F273" i="3"/>
  <c r="G273" i="3"/>
  <c r="H273" i="3"/>
  <c r="I273" i="3" s="1"/>
  <c r="D266" i="3"/>
  <c r="E266" i="3"/>
  <c r="F266" i="3"/>
  <c r="G266" i="3"/>
  <c r="H266" i="3"/>
  <c r="I266" i="3"/>
  <c r="D265" i="3"/>
  <c r="E265" i="3"/>
  <c r="F265" i="3"/>
  <c r="F269" i="3" s="1"/>
  <c r="S21" i="2" s="1" a="1"/>
  <c r="S21" i="2" s="1"/>
  <c r="G265" i="3"/>
  <c r="H265" i="3"/>
  <c r="I265" i="3"/>
  <c r="D263" i="3"/>
  <c r="D270" i="3" s="1"/>
  <c r="D271" i="3" s="1"/>
  <c r="E263" i="3"/>
  <c r="F263" i="3"/>
  <c r="G263" i="3"/>
  <c r="H263" i="3"/>
  <c r="I263" i="3"/>
  <c r="D262" i="3"/>
  <c r="E262" i="3"/>
  <c r="E269" i="3" s="1"/>
  <c r="F262" i="3"/>
  <c r="G262" i="3"/>
  <c r="H262" i="3"/>
  <c r="I262" i="3" s="1"/>
  <c r="I269" i="3" s="1"/>
  <c r="D261" i="3"/>
  <c r="E261" i="3"/>
  <c r="F261" i="3"/>
  <c r="F268" i="3" s="1"/>
  <c r="S20" i="2" s="1" a="1"/>
  <c r="S20" i="2" s="1"/>
  <c r="G261" i="3"/>
  <c r="G268" i="3" s="1"/>
  <c r="H261" i="3"/>
  <c r="I261" i="3" s="1"/>
  <c r="I268" i="3" s="1"/>
  <c r="D260" i="3"/>
  <c r="E260" i="3"/>
  <c r="F260" i="3"/>
  <c r="G260" i="3"/>
  <c r="H260" i="3"/>
  <c r="I260" i="3" s="1"/>
  <c r="D259" i="3"/>
  <c r="E259" i="3"/>
  <c r="F259" i="3"/>
  <c r="G259" i="3"/>
  <c r="H259" i="3"/>
  <c r="I259" i="3" s="1"/>
  <c r="D258" i="3"/>
  <c r="E258" i="3"/>
  <c r="F258" i="3"/>
  <c r="G258" i="3"/>
  <c r="H258" i="3"/>
  <c r="I258" i="3" s="1"/>
  <c r="D251" i="3"/>
  <c r="E251" i="3"/>
  <c r="F251" i="3"/>
  <c r="G251" i="3"/>
  <c r="H251" i="3"/>
  <c r="I251" i="3"/>
  <c r="D250" i="3"/>
  <c r="E250" i="3"/>
  <c r="F250" i="3"/>
  <c r="G250" i="3"/>
  <c r="H250" i="3"/>
  <c r="I250" i="3"/>
  <c r="J250" i="3" s="1"/>
  <c r="D248" i="3"/>
  <c r="E248" i="3"/>
  <c r="F248" i="3"/>
  <c r="G248" i="3"/>
  <c r="G255" i="3" s="1"/>
  <c r="G256" i="3" s="1"/>
  <c r="H248" i="3"/>
  <c r="I248" i="3"/>
  <c r="D247" i="3"/>
  <c r="E247" i="3"/>
  <c r="F247" i="3"/>
  <c r="F254" i="3" s="1"/>
  <c r="R21" i="2" s="1" a="1"/>
  <c r="R21" i="2" s="1"/>
  <c r="G247" i="3"/>
  <c r="G254" i="3" s="1"/>
  <c r="H247" i="3"/>
  <c r="D246" i="3"/>
  <c r="D253" i="3" s="1"/>
  <c r="E246" i="3"/>
  <c r="E253" i="3" s="1"/>
  <c r="F246" i="3"/>
  <c r="F253" i="3" s="1"/>
  <c r="R20" i="2" s="1" a="1"/>
  <c r="R20" i="2" s="1"/>
  <c r="G246" i="3"/>
  <c r="G253" i="3" s="1"/>
  <c r="H246" i="3"/>
  <c r="I246" i="3" s="1"/>
  <c r="I253" i="3" s="1"/>
  <c r="D245" i="3"/>
  <c r="E245" i="3"/>
  <c r="F245" i="3"/>
  <c r="G245" i="3"/>
  <c r="H245" i="3"/>
  <c r="I245" i="3"/>
  <c r="D244" i="3"/>
  <c r="E244" i="3"/>
  <c r="F244" i="3"/>
  <c r="G244" i="3"/>
  <c r="H244" i="3"/>
  <c r="I244" i="3" s="1"/>
  <c r="D243" i="3"/>
  <c r="E243" i="3"/>
  <c r="F243" i="3"/>
  <c r="G243" i="3"/>
  <c r="H243" i="3"/>
  <c r="I243" i="3" s="1"/>
  <c r="D236" i="3"/>
  <c r="E236" i="3"/>
  <c r="F236" i="3"/>
  <c r="G236" i="3"/>
  <c r="H236" i="3"/>
  <c r="I236" i="3" s="1"/>
  <c r="D235" i="3"/>
  <c r="E235" i="3"/>
  <c r="F235" i="3"/>
  <c r="G235" i="3"/>
  <c r="G238" i="3" s="1"/>
  <c r="H235" i="3"/>
  <c r="H238" i="3" s="1"/>
  <c r="I235" i="3"/>
  <c r="D233" i="3"/>
  <c r="D240" i="3" s="1"/>
  <c r="D241" i="3" s="1"/>
  <c r="E233" i="3"/>
  <c r="E240" i="3" s="1"/>
  <c r="E241" i="3" s="1"/>
  <c r="F233" i="3"/>
  <c r="F240" i="3" s="1"/>
  <c r="F241" i="3" s="1"/>
  <c r="G233" i="3"/>
  <c r="G240" i="3" s="1"/>
  <c r="G241" i="3" s="1"/>
  <c r="H233" i="3"/>
  <c r="I233" i="3" s="1"/>
  <c r="D232" i="3"/>
  <c r="D239" i="3" s="1"/>
  <c r="E232" i="3"/>
  <c r="E239" i="3" s="1"/>
  <c r="F232" i="3"/>
  <c r="F239" i="3" s="1"/>
  <c r="Q21" i="2" s="1" a="1"/>
  <c r="Q21" i="2" s="1"/>
  <c r="G232" i="3"/>
  <c r="G239" i="3" s="1"/>
  <c r="H232" i="3"/>
  <c r="I232" i="3" s="1"/>
  <c r="I239" i="3" s="1"/>
  <c r="D231" i="3"/>
  <c r="D238" i="3" s="1"/>
  <c r="E231" i="3"/>
  <c r="E238" i="3" s="1"/>
  <c r="F231" i="3"/>
  <c r="G231" i="3"/>
  <c r="H231" i="3"/>
  <c r="I231" i="3" s="1"/>
  <c r="D230" i="3"/>
  <c r="E230" i="3"/>
  <c r="F230" i="3"/>
  <c r="G230" i="3"/>
  <c r="H230" i="3"/>
  <c r="I230" i="3" s="1"/>
  <c r="D229" i="3"/>
  <c r="E229" i="3"/>
  <c r="F229" i="3"/>
  <c r="G229" i="3"/>
  <c r="H229" i="3"/>
  <c r="I229" i="3" s="1"/>
  <c r="D228" i="3"/>
  <c r="E228" i="3"/>
  <c r="F228" i="3"/>
  <c r="G228" i="3"/>
  <c r="H228" i="3"/>
  <c r="I228" i="3"/>
  <c r="D221" i="3"/>
  <c r="E221" i="3"/>
  <c r="F221" i="3"/>
  <c r="G221" i="3"/>
  <c r="H221" i="3"/>
  <c r="I221" i="3"/>
  <c r="J221" i="3" s="1"/>
  <c r="D220" i="3"/>
  <c r="E220" i="3"/>
  <c r="F220" i="3"/>
  <c r="G220" i="3"/>
  <c r="H220" i="3"/>
  <c r="I220" i="3" s="1"/>
  <c r="D218" i="3"/>
  <c r="E218" i="3"/>
  <c r="E225" i="3" s="1"/>
  <c r="E226" i="3" s="1"/>
  <c r="F218" i="3"/>
  <c r="F225" i="3" s="1"/>
  <c r="F226" i="3" s="1"/>
  <c r="G218" i="3"/>
  <c r="G225" i="3" s="1"/>
  <c r="G226" i="3" s="1"/>
  <c r="H218" i="3"/>
  <c r="I218" i="3" s="1"/>
  <c r="D217" i="3"/>
  <c r="E217" i="3"/>
  <c r="F217" i="3"/>
  <c r="G217" i="3"/>
  <c r="H217" i="3"/>
  <c r="D216" i="3"/>
  <c r="E216" i="3"/>
  <c r="F216" i="3"/>
  <c r="G216" i="3"/>
  <c r="G223" i="3" s="1"/>
  <c r="H216" i="3"/>
  <c r="I216" i="3" s="1"/>
  <c r="I223" i="3" s="1"/>
  <c r="D215" i="3"/>
  <c r="E215" i="3"/>
  <c r="F215" i="3"/>
  <c r="G215" i="3"/>
  <c r="H215" i="3"/>
  <c r="I215" i="3" s="1"/>
  <c r="D214" i="3"/>
  <c r="E214" i="3"/>
  <c r="F214" i="3"/>
  <c r="G214" i="3"/>
  <c r="H214" i="3"/>
  <c r="I214" i="3" s="1"/>
  <c r="J214" i="3" s="1"/>
  <c r="D213" i="3"/>
  <c r="E213" i="3"/>
  <c r="F213" i="3"/>
  <c r="G213" i="3"/>
  <c r="H213" i="3"/>
  <c r="I213" i="3" s="1"/>
  <c r="D206" i="3"/>
  <c r="E206" i="3"/>
  <c r="F206" i="3"/>
  <c r="G206" i="3"/>
  <c r="H206" i="3"/>
  <c r="I206" i="3"/>
  <c r="D205" i="3"/>
  <c r="E205" i="3"/>
  <c r="E208" i="3" s="1"/>
  <c r="F205" i="3"/>
  <c r="G205" i="3"/>
  <c r="H205" i="3"/>
  <c r="I205" i="3"/>
  <c r="D203" i="3"/>
  <c r="E203" i="3"/>
  <c r="F203" i="3"/>
  <c r="G203" i="3"/>
  <c r="G210" i="3" s="1"/>
  <c r="G211" i="3" s="1"/>
  <c r="H203" i="3"/>
  <c r="H210" i="3" s="1"/>
  <c r="H211" i="3" s="1"/>
  <c r="I203" i="3"/>
  <c r="I210" i="3" s="1"/>
  <c r="I211" i="3" s="1"/>
  <c r="D202" i="3"/>
  <c r="D209" i="3" s="1"/>
  <c r="E202" i="3"/>
  <c r="E209" i="3" s="1"/>
  <c r="F202" i="3"/>
  <c r="F209" i="3" s="1"/>
  <c r="O21" i="2" s="1" a="1"/>
  <c r="O21" i="2" s="1"/>
  <c r="G202" i="3"/>
  <c r="G209" i="3" s="1"/>
  <c r="H202" i="3"/>
  <c r="D201" i="3"/>
  <c r="E201" i="3"/>
  <c r="F201" i="3"/>
  <c r="F208" i="3" s="1"/>
  <c r="O20" i="2" s="1" a="1"/>
  <c r="O20" i="2" s="1"/>
  <c r="G201" i="3"/>
  <c r="G208" i="3" s="1"/>
  <c r="H201" i="3"/>
  <c r="I201" i="3" s="1"/>
  <c r="I208" i="3" s="1"/>
  <c r="D200" i="3"/>
  <c r="E200" i="3"/>
  <c r="F200" i="3"/>
  <c r="G200" i="3"/>
  <c r="H200" i="3"/>
  <c r="I200" i="3" s="1"/>
  <c r="D199" i="3"/>
  <c r="E199" i="3"/>
  <c r="F199" i="3"/>
  <c r="G199" i="3"/>
  <c r="H199" i="3"/>
  <c r="I199" i="3" s="1"/>
  <c r="D198" i="3"/>
  <c r="E198" i="3"/>
  <c r="F198" i="3"/>
  <c r="G198" i="3"/>
  <c r="H198" i="3"/>
  <c r="I198" i="3" s="1"/>
  <c r="D191" i="3"/>
  <c r="E191" i="3"/>
  <c r="F191" i="3"/>
  <c r="G191" i="3"/>
  <c r="H191" i="3"/>
  <c r="I191" i="3"/>
  <c r="J191" i="3" s="1"/>
  <c r="D190" i="3"/>
  <c r="E190" i="3"/>
  <c r="F190" i="3"/>
  <c r="F194" i="3" s="1"/>
  <c r="N21" i="2" s="1" a="1"/>
  <c r="N21" i="2" s="1"/>
  <c r="G190" i="3"/>
  <c r="G194" i="3" s="1"/>
  <c r="H190" i="3"/>
  <c r="H194" i="3" s="1"/>
  <c r="I190" i="3"/>
  <c r="D188" i="3"/>
  <c r="D195" i="3" s="1"/>
  <c r="D196" i="3" s="1"/>
  <c r="E188" i="3"/>
  <c r="E195" i="3" s="1"/>
  <c r="E196" i="3" s="1"/>
  <c r="F188" i="3"/>
  <c r="F195" i="3" s="1"/>
  <c r="F196" i="3" s="1"/>
  <c r="G188" i="3"/>
  <c r="H188" i="3"/>
  <c r="D187" i="3"/>
  <c r="E187" i="3"/>
  <c r="F187" i="3"/>
  <c r="G187" i="3"/>
  <c r="H187" i="3"/>
  <c r="I187" i="3" s="1"/>
  <c r="D186" i="3"/>
  <c r="E186" i="3"/>
  <c r="F186" i="3"/>
  <c r="G186" i="3"/>
  <c r="H186" i="3"/>
  <c r="D185" i="3"/>
  <c r="E185" i="3"/>
  <c r="F185" i="3"/>
  <c r="G185" i="3"/>
  <c r="H185" i="3"/>
  <c r="I185" i="3" s="1"/>
  <c r="D184" i="3"/>
  <c r="E184" i="3"/>
  <c r="F184" i="3"/>
  <c r="G184" i="3"/>
  <c r="H184" i="3"/>
  <c r="I184" i="3" s="1"/>
  <c r="D183" i="3"/>
  <c r="E183" i="3"/>
  <c r="F183" i="3"/>
  <c r="G183" i="3"/>
  <c r="H183" i="3"/>
  <c r="I183" i="3"/>
  <c r="D176" i="3"/>
  <c r="E176" i="3"/>
  <c r="F176" i="3"/>
  <c r="G176" i="3"/>
  <c r="H176" i="3"/>
  <c r="I176" i="3"/>
  <c r="D175" i="3"/>
  <c r="E175" i="3"/>
  <c r="F175" i="3"/>
  <c r="G175" i="3"/>
  <c r="G178" i="3" s="1"/>
  <c r="H175" i="3"/>
  <c r="I175" i="3" s="1"/>
  <c r="D173" i="3"/>
  <c r="E173" i="3"/>
  <c r="F173" i="3"/>
  <c r="G173" i="3"/>
  <c r="G180" i="3" s="1"/>
  <c r="G181" i="3" s="1"/>
  <c r="H173" i="3"/>
  <c r="I173" i="3"/>
  <c r="I180" i="3" s="1"/>
  <c r="I181" i="3" s="1"/>
  <c r="D172" i="3"/>
  <c r="D179" i="3" s="1"/>
  <c r="E172" i="3"/>
  <c r="E179" i="3" s="1"/>
  <c r="F172" i="3"/>
  <c r="G172" i="3"/>
  <c r="H172" i="3"/>
  <c r="D171" i="3"/>
  <c r="E171" i="3"/>
  <c r="E178" i="3" s="1"/>
  <c r="F171" i="3"/>
  <c r="G171" i="3"/>
  <c r="H171" i="3"/>
  <c r="I171" i="3"/>
  <c r="D170" i="3"/>
  <c r="E170" i="3"/>
  <c r="F170" i="3"/>
  <c r="G170" i="3"/>
  <c r="H170" i="3"/>
  <c r="I170" i="3"/>
  <c r="D169" i="3"/>
  <c r="E169" i="3"/>
  <c r="F169" i="3"/>
  <c r="G169" i="3"/>
  <c r="H169" i="3"/>
  <c r="I169" i="3"/>
  <c r="D168" i="3"/>
  <c r="E168" i="3"/>
  <c r="F168" i="3"/>
  <c r="G168" i="3"/>
  <c r="H168" i="3"/>
  <c r="I168" i="3" s="1"/>
  <c r="D161" i="3"/>
  <c r="E161" i="3"/>
  <c r="F161" i="3"/>
  <c r="G161" i="3"/>
  <c r="H161" i="3"/>
  <c r="I161" i="3"/>
  <c r="D160" i="3"/>
  <c r="E160" i="3"/>
  <c r="F160" i="3"/>
  <c r="G160" i="3"/>
  <c r="H160" i="3"/>
  <c r="I160" i="3"/>
  <c r="D158" i="3"/>
  <c r="E158" i="3"/>
  <c r="F158" i="3"/>
  <c r="G158" i="3"/>
  <c r="H158" i="3"/>
  <c r="H165" i="3" s="1"/>
  <c r="D157" i="3"/>
  <c r="D164" i="3" s="1"/>
  <c r="E157" i="3"/>
  <c r="E164" i="3" s="1"/>
  <c r="F157" i="3"/>
  <c r="F164" i="3" s="1"/>
  <c r="L21" i="2" s="1" a="1"/>
  <c r="L21" i="2" s="1"/>
  <c r="G157" i="3"/>
  <c r="G164" i="3" s="1"/>
  <c r="H157" i="3"/>
  <c r="H164" i="3" s="1"/>
  <c r="I157" i="3"/>
  <c r="I164" i="3" s="1"/>
  <c r="D156" i="3"/>
  <c r="D163" i="3" s="1"/>
  <c r="E156" i="3"/>
  <c r="E163" i="3" s="1"/>
  <c r="F156" i="3"/>
  <c r="F163" i="3" s="1"/>
  <c r="L20" i="2" s="1" a="1"/>
  <c r="L20" i="2" s="1"/>
  <c r="G156" i="3"/>
  <c r="H156" i="3"/>
  <c r="H163" i="3" s="1"/>
  <c r="D155" i="3"/>
  <c r="E155" i="3"/>
  <c r="F155" i="3"/>
  <c r="G155" i="3"/>
  <c r="H155" i="3"/>
  <c r="I155" i="3" s="1"/>
  <c r="D154" i="3"/>
  <c r="E154" i="3"/>
  <c r="F154" i="3"/>
  <c r="G154" i="3"/>
  <c r="H154" i="3"/>
  <c r="I154" i="3"/>
  <c r="D153" i="3"/>
  <c r="E153" i="3"/>
  <c r="F153" i="3"/>
  <c r="G153" i="3"/>
  <c r="H153" i="3"/>
  <c r="I153" i="3"/>
  <c r="D146" i="3"/>
  <c r="E146" i="3"/>
  <c r="F146" i="3"/>
  <c r="G146" i="3"/>
  <c r="H146" i="3"/>
  <c r="I146" i="3"/>
  <c r="D145" i="3"/>
  <c r="E145" i="3"/>
  <c r="F145" i="3"/>
  <c r="G145" i="3"/>
  <c r="H145" i="3"/>
  <c r="I145" i="3" s="1"/>
  <c r="D143" i="3"/>
  <c r="D150" i="3" s="1"/>
  <c r="D151" i="3" s="1"/>
  <c r="E143" i="3"/>
  <c r="F143" i="3"/>
  <c r="F150" i="3" s="1"/>
  <c r="F151" i="3" s="1"/>
  <c r="G143" i="3"/>
  <c r="G150" i="3" s="1"/>
  <c r="G151" i="3" s="1"/>
  <c r="H143" i="3"/>
  <c r="H150" i="3" s="1"/>
  <c r="H151" i="3" s="1"/>
  <c r="I143" i="3"/>
  <c r="D142" i="3"/>
  <c r="E142" i="3"/>
  <c r="F142" i="3"/>
  <c r="F149" i="3" s="1"/>
  <c r="K21" i="2" s="1" a="1"/>
  <c r="K21" i="2" s="1"/>
  <c r="G142" i="3"/>
  <c r="G149" i="3" s="1"/>
  <c r="H142" i="3"/>
  <c r="H149" i="3" s="1"/>
  <c r="D141" i="3"/>
  <c r="D148" i="3" s="1"/>
  <c r="E141" i="3"/>
  <c r="E148" i="3" s="1"/>
  <c r="F141" i="3"/>
  <c r="F148" i="3" s="1"/>
  <c r="K20" i="2" s="1" a="1"/>
  <c r="K20" i="2" s="1"/>
  <c r="G141" i="3"/>
  <c r="G148" i="3" s="1"/>
  <c r="H141" i="3"/>
  <c r="D140" i="3"/>
  <c r="E140" i="3"/>
  <c r="F140" i="3"/>
  <c r="G140" i="3"/>
  <c r="H140" i="3"/>
  <c r="I140" i="3" s="1"/>
  <c r="D139" i="3"/>
  <c r="E139" i="3"/>
  <c r="F139" i="3"/>
  <c r="G139" i="3"/>
  <c r="H139" i="3"/>
  <c r="I139" i="3" s="1"/>
  <c r="D138" i="3"/>
  <c r="E138" i="3"/>
  <c r="F138" i="3"/>
  <c r="G138" i="3"/>
  <c r="H138" i="3"/>
  <c r="I138" i="3" s="1"/>
  <c r="D131" i="3"/>
  <c r="J131" i="3" s="1"/>
  <c r="E131" i="3"/>
  <c r="F131" i="3"/>
  <c r="G131" i="3"/>
  <c r="H131" i="3"/>
  <c r="I131" i="3"/>
  <c r="D130" i="3"/>
  <c r="E130" i="3"/>
  <c r="F130" i="3"/>
  <c r="G130" i="3"/>
  <c r="H130" i="3"/>
  <c r="I130" i="3"/>
  <c r="D128" i="3"/>
  <c r="D135" i="3" s="1"/>
  <c r="D136" i="3" s="1"/>
  <c r="E128" i="3"/>
  <c r="E135" i="3" s="1"/>
  <c r="E136" i="3" s="1"/>
  <c r="F128" i="3"/>
  <c r="F135" i="3" s="1"/>
  <c r="F136" i="3" s="1"/>
  <c r="G128" i="3"/>
  <c r="G135" i="3" s="1"/>
  <c r="G136" i="3" s="1"/>
  <c r="H128" i="3"/>
  <c r="I128" i="3" s="1"/>
  <c r="I135" i="3" s="1"/>
  <c r="I136" i="3" s="1"/>
  <c r="D127" i="3"/>
  <c r="D134" i="3" s="1"/>
  <c r="E127" i="3"/>
  <c r="F127" i="3"/>
  <c r="F134" i="3" s="1"/>
  <c r="J21" i="2" s="1" a="1"/>
  <c r="J21" i="2" s="1"/>
  <c r="G127" i="3"/>
  <c r="G134" i="3" s="1"/>
  <c r="H127" i="3"/>
  <c r="D126" i="3"/>
  <c r="D133" i="3" s="1"/>
  <c r="E126" i="3"/>
  <c r="F126" i="3"/>
  <c r="F133" i="3" s="1"/>
  <c r="J20" i="2" s="1" a="1"/>
  <c r="J20" i="2" s="1"/>
  <c r="G126" i="3"/>
  <c r="G133" i="3" s="1"/>
  <c r="H126" i="3"/>
  <c r="H133" i="3" s="1"/>
  <c r="D125" i="3"/>
  <c r="E125" i="3"/>
  <c r="F125" i="3"/>
  <c r="G125" i="3"/>
  <c r="H125" i="3"/>
  <c r="I125" i="3"/>
  <c r="D124" i="3"/>
  <c r="E124" i="3"/>
  <c r="F124" i="3"/>
  <c r="G124" i="3"/>
  <c r="H124" i="3"/>
  <c r="I124" i="3" s="1"/>
  <c r="D123" i="3"/>
  <c r="E123" i="3"/>
  <c r="F123" i="3"/>
  <c r="G123" i="3"/>
  <c r="H123" i="3"/>
  <c r="I123" i="3" s="1"/>
  <c r="D116" i="3"/>
  <c r="E116" i="3"/>
  <c r="F116" i="3"/>
  <c r="G116" i="3"/>
  <c r="H116" i="3"/>
  <c r="I116" i="3"/>
  <c r="D115" i="3"/>
  <c r="E115" i="3"/>
  <c r="F115" i="3"/>
  <c r="G115" i="3"/>
  <c r="H115" i="3"/>
  <c r="I115" i="3"/>
  <c r="J115" i="3" s="1"/>
  <c r="D113" i="3"/>
  <c r="D120" i="3" s="1"/>
  <c r="D121" i="3" s="1"/>
  <c r="E113" i="3"/>
  <c r="E120" i="3" s="1"/>
  <c r="E121" i="3" s="1"/>
  <c r="F113" i="3"/>
  <c r="F120" i="3" s="1"/>
  <c r="F121" i="3" s="1"/>
  <c r="G113" i="3"/>
  <c r="H113" i="3"/>
  <c r="H120" i="3" s="1"/>
  <c r="H121" i="3" s="1"/>
  <c r="I113" i="3"/>
  <c r="I120" i="3" s="1"/>
  <c r="I121" i="3" s="1"/>
  <c r="D112" i="3"/>
  <c r="D119" i="3" s="1"/>
  <c r="E112" i="3"/>
  <c r="E119" i="3" s="1"/>
  <c r="F112" i="3"/>
  <c r="F119" i="3" s="1"/>
  <c r="I21" i="2" s="1" a="1"/>
  <c r="I21" i="2" s="1"/>
  <c r="G112" i="3"/>
  <c r="G119" i="3" s="1"/>
  <c r="H112" i="3"/>
  <c r="I112" i="3" s="1"/>
  <c r="D111" i="3"/>
  <c r="E111" i="3"/>
  <c r="F111" i="3"/>
  <c r="F118" i="3" s="1"/>
  <c r="I20" i="2" s="1" a="1"/>
  <c r="I20" i="2" s="1"/>
  <c r="G111" i="3"/>
  <c r="G118" i="3" s="1"/>
  <c r="H111" i="3"/>
  <c r="H118" i="3" s="1"/>
  <c r="I111" i="3"/>
  <c r="I118" i="3" s="1"/>
  <c r="D110" i="3"/>
  <c r="E110" i="3"/>
  <c r="F110" i="3"/>
  <c r="G110" i="3"/>
  <c r="H110" i="3"/>
  <c r="I110" i="3" s="1"/>
  <c r="D109" i="3"/>
  <c r="E109" i="3"/>
  <c r="F109" i="3"/>
  <c r="G109" i="3"/>
  <c r="H109" i="3"/>
  <c r="I109" i="3"/>
  <c r="D108" i="3"/>
  <c r="E108" i="3"/>
  <c r="F108" i="3"/>
  <c r="G108" i="3"/>
  <c r="H108" i="3"/>
  <c r="I108" i="3" s="1"/>
  <c r="D101" i="3"/>
  <c r="E101" i="3"/>
  <c r="F101" i="3"/>
  <c r="G101" i="3"/>
  <c r="H101" i="3"/>
  <c r="I101" i="3"/>
  <c r="D100" i="3"/>
  <c r="E100" i="3"/>
  <c r="F100" i="3"/>
  <c r="G100" i="3"/>
  <c r="H100" i="3"/>
  <c r="I100" i="3"/>
  <c r="D98" i="3"/>
  <c r="E98" i="3"/>
  <c r="E105" i="3" s="1"/>
  <c r="E106" i="3" s="1"/>
  <c r="F98" i="3"/>
  <c r="G98" i="3"/>
  <c r="H98" i="3"/>
  <c r="I98" i="3" s="1"/>
  <c r="D97" i="3"/>
  <c r="E97" i="3"/>
  <c r="E104" i="3" s="1"/>
  <c r="F97" i="3"/>
  <c r="F104" i="3" s="1"/>
  <c r="H21" i="2" s="1" a="1"/>
  <c r="H21" i="2" s="1"/>
  <c r="G97" i="3"/>
  <c r="G104" i="3" s="1"/>
  <c r="H97" i="3"/>
  <c r="I97" i="3" s="1"/>
  <c r="D96" i="3"/>
  <c r="E96" i="3"/>
  <c r="E103" i="3" s="1"/>
  <c r="F96" i="3"/>
  <c r="F103" i="3" s="1"/>
  <c r="H20" i="2" s="1" a="1"/>
  <c r="H20" i="2" s="1"/>
  <c r="G96" i="3"/>
  <c r="H96" i="3"/>
  <c r="I96" i="3" s="1"/>
  <c r="D95" i="3"/>
  <c r="E95" i="3"/>
  <c r="F95" i="3"/>
  <c r="G95" i="3"/>
  <c r="H95" i="3"/>
  <c r="I95" i="3"/>
  <c r="D94" i="3"/>
  <c r="E94" i="3"/>
  <c r="F94" i="3"/>
  <c r="G94" i="3"/>
  <c r="H94" i="3"/>
  <c r="I94" i="3" s="1"/>
  <c r="D93" i="3"/>
  <c r="E93" i="3"/>
  <c r="F93" i="3"/>
  <c r="G93" i="3"/>
  <c r="H93" i="3"/>
  <c r="I93" i="3" s="1"/>
  <c r="D86" i="3"/>
  <c r="E86" i="3"/>
  <c r="F86" i="3"/>
  <c r="G86" i="3"/>
  <c r="H86" i="3"/>
  <c r="I86" i="3"/>
  <c r="D85" i="3"/>
  <c r="E85" i="3"/>
  <c r="F85" i="3"/>
  <c r="G85" i="3"/>
  <c r="G88" i="3" s="1"/>
  <c r="H85" i="3"/>
  <c r="I85" i="3"/>
  <c r="D83" i="3"/>
  <c r="E83" i="3"/>
  <c r="F83" i="3"/>
  <c r="F90" i="3" s="1"/>
  <c r="F91" i="3" s="1"/>
  <c r="G83" i="3"/>
  <c r="G90" i="3" s="1"/>
  <c r="G91" i="3" s="1"/>
  <c r="H83" i="3"/>
  <c r="H90" i="3" s="1"/>
  <c r="H91" i="3" s="1"/>
  <c r="D82" i="3"/>
  <c r="D89" i="3" s="1"/>
  <c r="E82" i="3"/>
  <c r="E89" i="3" s="1"/>
  <c r="F82" i="3"/>
  <c r="F89" i="3" s="1"/>
  <c r="G21" i="2" s="1" a="1"/>
  <c r="G21" i="2" s="1"/>
  <c r="G82" i="3"/>
  <c r="G89" i="3" s="1"/>
  <c r="H82" i="3"/>
  <c r="I82" i="3" s="1"/>
  <c r="I89" i="3" s="1"/>
  <c r="D81" i="3"/>
  <c r="E81" i="3"/>
  <c r="E88" i="3" s="1"/>
  <c r="F81" i="3"/>
  <c r="F88" i="3" s="1"/>
  <c r="G20" i="2" s="1" a="1"/>
  <c r="G20" i="2" s="1"/>
  <c r="G81" i="3"/>
  <c r="H81" i="3"/>
  <c r="I81" i="3"/>
  <c r="D80" i="3"/>
  <c r="E80" i="3"/>
  <c r="F80" i="3"/>
  <c r="G80" i="3"/>
  <c r="H80" i="3"/>
  <c r="I80" i="3" s="1"/>
  <c r="D79" i="3"/>
  <c r="E79" i="3"/>
  <c r="F79" i="3"/>
  <c r="G79" i="3"/>
  <c r="H79" i="3"/>
  <c r="I79" i="3"/>
  <c r="D78" i="3"/>
  <c r="E78" i="3"/>
  <c r="F78" i="3"/>
  <c r="G78" i="3"/>
  <c r="H78" i="3"/>
  <c r="I78" i="3" s="1"/>
  <c r="D71" i="3"/>
  <c r="E71" i="3"/>
  <c r="F71" i="3"/>
  <c r="G71" i="3"/>
  <c r="H71" i="3"/>
  <c r="I71" i="3"/>
  <c r="D70" i="3"/>
  <c r="E70" i="3"/>
  <c r="F70" i="3"/>
  <c r="G70" i="3"/>
  <c r="H70" i="3"/>
  <c r="D68" i="3"/>
  <c r="E68" i="3"/>
  <c r="E75" i="3" s="1"/>
  <c r="E76" i="3" s="1"/>
  <c r="F68" i="3"/>
  <c r="F75" i="3" s="1"/>
  <c r="F76" i="3" s="1"/>
  <c r="G68" i="3"/>
  <c r="G75" i="3" s="1"/>
  <c r="G76" i="3" s="1"/>
  <c r="H68" i="3"/>
  <c r="I68" i="3"/>
  <c r="I75" i="3" s="1"/>
  <c r="I76" i="3" s="1"/>
  <c r="D67" i="3"/>
  <c r="E67" i="3"/>
  <c r="E74" i="3" s="1"/>
  <c r="F67" i="3"/>
  <c r="F74" i="3" s="1"/>
  <c r="F21" i="2" s="1" a="1"/>
  <c r="F21" i="2" s="1"/>
  <c r="G67" i="3"/>
  <c r="H67" i="3"/>
  <c r="I67" i="3" s="1"/>
  <c r="D66" i="3"/>
  <c r="D73" i="3" s="1"/>
  <c r="E66" i="3"/>
  <c r="E73" i="3" s="1"/>
  <c r="F66" i="3"/>
  <c r="F73" i="3" s="1"/>
  <c r="F20" i="2" s="1" a="1"/>
  <c r="F20" i="2" s="1"/>
  <c r="G66" i="3"/>
  <c r="H66" i="3"/>
  <c r="I66" i="3"/>
  <c r="D65" i="3"/>
  <c r="E65" i="3"/>
  <c r="F65" i="3"/>
  <c r="G65" i="3"/>
  <c r="H65" i="3"/>
  <c r="I65" i="3"/>
  <c r="D64" i="3"/>
  <c r="E64" i="3"/>
  <c r="F64" i="3"/>
  <c r="G64" i="3"/>
  <c r="H64" i="3"/>
  <c r="I64" i="3"/>
  <c r="D63" i="3"/>
  <c r="E63" i="3"/>
  <c r="F63" i="3"/>
  <c r="G63" i="3"/>
  <c r="H63" i="3"/>
  <c r="I63" i="3" s="1"/>
  <c r="D56" i="3"/>
  <c r="E56" i="3"/>
  <c r="F56" i="3"/>
  <c r="G56" i="3"/>
  <c r="H56" i="3"/>
  <c r="I56" i="3" s="1"/>
  <c r="D55" i="3"/>
  <c r="J55" i="3" s="1"/>
  <c r="E55" i="3"/>
  <c r="F55" i="3"/>
  <c r="G55" i="3"/>
  <c r="H55" i="3"/>
  <c r="I55" i="3"/>
  <c r="D53" i="3"/>
  <c r="D60" i="3" s="1"/>
  <c r="D61" i="3" s="1"/>
  <c r="E53" i="3"/>
  <c r="E60" i="3" s="1"/>
  <c r="E61" i="3" s="1"/>
  <c r="F53" i="3"/>
  <c r="G53" i="3"/>
  <c r="G60" i="3" s="1"/>
  <c r="G61" i="3" s="1"/>
  <c r="H53" i="3"/>
  <c r="I53" i="3" s="1"/>
  <c r="I60" i="3" s="1"/>
  <c r="I61" i="3" s="1"/>
  <c r="D52" i="3"/>
  <c r="D59" i="3" s="1"/>
  <c r="E52" i="3"/>
  <c r="F52" i="3"/>
  <c r="F59" i="3" s="1"/>
  <c r="E21" i="2" s="1" a="1"/>
  <c r="E21" i="2" s="1"/>
  <c r="G52" i="3"/>
  <c r="G59" i="3" s="1"/>
  <c r="H52" i="3"/>
  <c r="I52" i="3" s="1"/>
  <c r="I59" i="3" s="1"/>
  <c r="D51" i="3"/>
  <c r="E51" i="3"/>
  <c r="E58" i="3" s="1"/>
  <c r="F51" i="3"/>
  <c r="F58" i="3" s="1"/>
  <c r="E20" i="2" s="1" a="1"/>
  <c r="E20" i="2" s="1"/>
  <c r="G51" i="3"/>
  <c r="G58" i="3" s="1"/>
  <c r="H51" i="3"/>
  <c r="H58" i="3" s="1"/>
  <c r="I51" i="3"/>
  <c r="I58" i="3" s="1"/>
  <c r="D50" i="3"/>
  <c r="E50" i="3"/>
  <c r="F50" i="3"/>
  <c r="G50" i="3"/>
  <c r="H50" i="3"/>
  <c r="I50" i="3" s="1"/>
  <c r="D49" i="3"/>
  <c r="E49" i="3"/>
  <c r="F49" i="3"/>
  <c r="G49" i="3"/>
  <c r="H49" i="3"/>
  <c r="I49" i="3" s="1"/>
  <c r="D48" i="3"/>
  <c r="E48" i="3"/>
  <c r="F48" i="3"/>
  <c r="G48" i="3"/>
  <c r="H48" i="3"/>
  <c r="I48" i="3"/>
  <c r="D41" i="3"/>
  <c r="E41" i="3"/>
  <c r="F41" i="3"/>
  <c r="G41" i="3"/>
  <c r="H41" i="3"/>
  <c r="I41" i="3"/>
  <c r="D40" i="3"/>
  <c r="E40" i="3"/>
  <c r="F40" i="3"/>
  <c r="G40" i="3"/>
  <c r="H40" i="3"/>
  <c r="I40" i="3"/>
  <c r="D38" i="3"/>
  <c r="D45" i="3" s="1"/>
  <c r="D46" i="3" s="1"/>
  <c r="E38" i="3"/>
  <c r="E45" i="3" s="1"/>
  <c r="E46" i="3" s="1"/>
  <c r="F38" i="3"/>
  <c r="F45" i="3" s="1"/>
  <c r="F46" i="3" s="1"/>
  <c r="G38" i="3"/>
  <c r="H38" i="3"/>
  <c r="H45" i="3" s="1"/>
  <c r="H46" i="3" s="1"/>
  <c r="D37" i="3"/>
  <c r="D44" i="3" s="1"/>
  <c r="E37" i="3"/>
  <c r="F37" i="3"/>
  <c r="F44" i="3" s="1"/>
  <c r="D21" i="2" s="1" a="1"/>
  <c r="D21" i="2" s="1"/>
  <c r="G37" i="3"/>
  <c r="G44" i="3" s="1"/>
  <c r="H37" i="3"/>
  <c r="I37" i="3" s="1"/>
  <c r="I44" i="3" s="1"/>
  <c r="D36" i="3"/>
  <c r="D43" i="3" s="1"/>
  <c r="E36" i="3"/>
  <c r="E43" i="3" s="1"/>
  <c r="F36" i="3"/>
  <c r="G36" i="3"/>
  <c r="H36" i="3"/>
  <c r="I36" i="3"/>
  <c r="D35" i="3"/>
  <c r="E35" i="3"/>
  <c r="F35" i="3"/>
  <c r="G35" i="3"/>
  <c r="H35" i="3"/>
  <c r="I35" i="3" s="1"/>
  <c r="D34" i="3"/>
  <c r="E34" i="3"/>
  <c r="F34" i="3"/>
  <c r="G34" i="3"/>
  <c r="H34" i="3"/>
  <c r="I34" i="3"/>
  <c r="D33" i="3"/>
  <c r="E33" i="3"/>
  <c r="F33" i="3"/>
  <c r="G33" i="3"/>
  <c r="H33" i="3"/>
  <c r="I33" i="3" s="1"/>
  <c r="D26" i="3"/>
  <c r="E26" i="3"/>
  <c r="F26" i="3"/>
  <c r="G26" i="3"/>
  <c r="H26" i="3"/>
  <c r="I26" i="3" s="1"/>
  <c r="D25" i="3"/>
  <c r="E25" i="3"/>
  <c r="F25" i="3"/>
  <c r="G25" i="3"/>
  <c r="H25" i="3"/>
  <c r="I25" i="3" s="1"/>
  <c r="D23" i="3"/>
  <c r="E23" i="3"/>
  <c r="F23" i="3"/>
  <c r="G23" i="3"/>
  <c r="G30" i="3" s="1"/>
  <c r="G31" i="3" s="1"/>
  <c r="H23" i="3"/>
  <c r="H30" i="3" s="1"/>
  <c r="H31" i="3" s="1"/>
  <c r="I23" i="3"/>
  <c r="D22" i="3"/>
  <c r="E22" i="3"/>
  <c r="F22" i="3"/>
  <c r="G22" i="3"/>
  <c r="H22" i="3"/>
  <c r="I22" i="3"/>
  <c r="D21" i="3"/>
  <c r="D28" i="3" s="1"/>
  <c r="E21" i="3"/>
  <c r="E28" i="3" s="1"/>
  <c r="F21" i="3"/>
  <c r="G21" i="3"/>
  <c r="H21" i="3"/>
  <c r="I21" i="3" s="1"/>
  <c r="D20" i="3"/>
  <c r="E20" i="3"/>
  <c r="F20" i="3"/>
  <c r="G20" i="3"/>
  <c r="H20" i="3"/>
  <c r="I20" i="3"/>
  <c r="D19" i="3"/>
  <c r="E19" i="3"/>
  <c r="F19" i="3"/>
  <c r="G19" i="3"/>
  <c r="H19" i="3"/>
  <c r="I19" i="3"/>
  <c r="D18" i="3"/>
  <c r="E18" i="3"/>
  <c r="F18" i="3"/>
  <c r="G18" i="3"/>
  <c r="H18" i="3"/>
  <c r="I18" i="3" s="1"/>
  <c r="D11" i="3"/>
  <c r="E11" i="3"/>
  <c r="F11" i="3"/>
  <c r="G11" i="3"/>
  <c r="H11" i="3"/>
  <c r="I11" i="3"/>
  <c r="D10" i="3"/>
  <c r="E10" i="3"/>
  <c r="F10" i="3"/>
  <c r="G10" i="3"/>
  <c r="H10" i="3"/>
  <c r="H13" i="3" s="1"/>
  <c r="I10" i="3"/>
  <c r="D8" i="3"/>
  <c r="D15" i="3" s="1"/>
  <c r="D16" i="3" s="1"/>
  <c r="E8" i="3"/>
  <c r="F8" i="3"/>
  <c r="G8" i="3"/>
  <c r="H8" i="3"/>
  <c r="H15" i="3" s="1"/>
  <c r="H16" i="3" s="1"/>
  <c r="I8" i="3"/>
  <c r="I15" i="3" s="1"/>
  <c r="I16" i="3" s="1"/>
  <c r="D7" i="3"/>
  <c r="E7" i="3"/>
  <c r="E14" i="3" s="1"/>
  <c r="F7" i="3"/>
  <c r="F14" i="3" s="1"/>
  <c r="B21" i="2" s="1" a="1"/>
  <c r="B21" i="2" s="1"/>
  <c r="G7" i="3"/>
  <c r="G14" i="3" s="1"/>
  <c r="H7" i="3"/>
  <c r="H14" i="3" s="1"/>
  <c r="D6" i="3"/>
  <c r="D13" i="3" s="1"/>
  <c r="E6" i="3"/>
  <c r="F6" i="3"/>
  <c r="F13" i="3" s="1"/>
  <c r="B20" i="2" s="1" a="1"/>
  <c r="B20" i="2" s="1"/>
  <c r="G6" i="3"/>
  <c r="H6" i="3"/>
  <c r="I6" i="3"/>
  <c r="D5" i="3"/>
  <c r="E5" i="3"/>
  <c r="F5" i="3"/>
  <c r="G5" i="3"/>
  <c r="H5" i="3"/>
  <c r="I5" i="3"/>
  <c r="D4" i="3"/>
  <c r="E4" i="3"/>
  <c r="F4" i="3"/>
  <c r="G4" i="3"/>
  <c r="H4" i="3"/>
  <c r="I4" i="3" s="1"/>
  <c r="D3" i="3"/>
  <c r="E3" i="3"/>
  <c r="F3" i="3"/>
  <c r="G3" i="3"/>
  <c r="H3" i="3"/>
  <c r="I3" i="3" s="1"/>
  <c r="T5" i="1"/>
  <c r="U5" i="1"/>
  <c r="V5" i="1"/>
  <c r="W5" i="1"/>
  <c r="X5" i="1"/>
  <c r="T6" i="1"/>
  <c r="U6" i="1"/>
  <c r="V6" i="1"/>
  <c r="W6" i="1"/>
  <c r="X6" i="1"/>
  <c r="T7" i="1"/>
  <c r="U7" i="1"/>
  <c r="V7" i="1"/>
  <c r="W7" i="1"/>
  <c r="X7" i="1"/>
  <c r="T8" i="1"/>
  <c r="U8" i="1"/>
  <c r="V8" i="1"/>
  <c r="W8" i="1"/>
  <c r="X8" i="1"/>
  <c r="T9" i="1"/>
  <c r="U9" i="1"/>
  <c r="V9" i="1"/>
  <c r="W9" i="1"/>
  <c r="X9" i="1"/>
  <c r="T10" i="1"/>
  <c r="U10" i="1"/>
  <c r="V10" i="1"/>
  <c r="W10" i="1"/>
  <c r="X10" i="1"/>
  <c r="T11" i="1"/>
  <c r="U11" i="1"/>
  <c r="V11" i="1"/>
  <c r="W11" i="1"/>
  <c r="X11" i="1"/>
  <c r="T12" i="1"/>
  <c r="U12" i="1"/>
  <c r="V12" i="1"/>
  <c r="W12" i="1"/>
  <c r="X12" i="1"/>
  <c r="T13" i="1"/>
  <c r="U13" i="1"/>
  <c r="V13" i="1"/>
  <c r="W13" i="1"/>
  <c r="X13" i="1"/>
  <c r="T14" i="1"/>
  <c r="U14" i="1"/>
  <c r="V14" i="1"/>
  <c r="W14" i="1"/>
  <c r="X14" i="1"/>
  <c r="T15" i="1"/>
  <c r="U15" i="1"/>
  <c r="V15" i="1"/>
  <c r="W15" i="1"/>
  <c r="X15" i="1"/>
  <c r="T16" i="1"/>
  <c r="U16" i="1"/>
  <c r="V16" i="1"/>
  <c r="W16" i="1"/>
  <c r="X16" i="1"/>
  <c r="T17" i="1"/>
  <c r="U17" i="1"/>
  <c r="V17" i="1"/>
  <c r="W17" i="1"/>
  <c r="X17" i="1"/>
  <c r="T18" i="1"/>
  <c r="U18" i="1"/>
  <c r="V18" i="1"/>
  <c r="W18" i="1"/>
  <c r="X18" i="1"/>
  <c r="T19" i="1"/>
  <c r="U19" i="1"/>
  <c r="V19" i="1"/>
  <c r="W19" i="1"/>
  <c r="X19" i="1"/>
  <c r="T20" i="1"/>
  <c r="U20" i="1"/>
  <c r="V20" i="1"/>
  <c r="W20" i="1"/>
  <c r="X20" i="1"/>
  <c r="T21" i="1"/>
  <c r="U21" i="1"/>
  <c r="V21" i="1"/>
  <c r="W21" i="1"/>
  <c r="X21" i="1"/>
  <c r="T22" i="1"/>
  <c r="U22" i="1"/>
  <c r="V22" i="1"/>
  <c r="W22" i="1"/>
  <c r="X22" i="1"/>
  <c r="T23" i="1"/>
  <c r="U23" i="1"/>
  <c r="V23" i="1"/>
  <c r="W23" i="1"/>
  <c r="X23" i="1"/>
  <c r="T24" i="1"/>
  <c r="U24" i="1"/>
  <c r="V24" i="1"/>
  <c r="W24" i="1"/>
  <c r="X24" i="1"/>
  <c r="T25" i="1"/>
  <c r="U25" i="1"/>
  <c r="V25" i="1"/>
  <c r="W25" i="1"/>
  <c r="X25" i="1"/>
  <c r="J311" i="3"/>
  <c r="J310" i="3"/>
  <c r="K316" i="3"/>
  <c r="G314" i="3"/>
  <c r="F313" i="3"/>
  <c r="V20" i="2" s="1" a="1"/>
  <c r="V20" i="2" s="1"/>
  <c r="K313" i="3"/>
  <c r="J296" i="3"/>
  <c r="K301" i="3"/>
  <c r="F300" i="3"/>
  <c r="F301" i="3" s="1"/>
  <c r="K298" i="3"/>
  <c r="K286" i="3"/>
  <c r="K283" i="3"/>
  <c r="K271" i="3"/>
  <c r="E270" i="3"/>
  <c r="E271" i="3" s="1"/>
  <c r="F270" i="3"/>
  <c r="F271" i="3" s="1"/>
  <c r="G270" i="3"/>
  <c r="G271" i="3" s="1"/>
  <c r="H270" i="3"/>
  <c r="H271" i="3" s="1"/>
  <c r="G269" i="3"/>
  <c r="H269" i="3"/>
  <c r="K268" i="3"/>
  <c r="K256" i="3"/>
  <c r="H255" i="3"/>
  <c r="H256" i="3" s="1"/>
  <c r="I255" i="3"/>
  <c r="I256" i="3" s="1"/>
  <c r="D254" i="3"/>
  <c r="E254" i="3"/>
  <c r="K253" i="3"/>
  <c r="J236" i="3"/>
  <c r="J235" i="3"/>
  <c r="K241" i="3"/>
  <c r="H240" i="3"/>
  <c r="H241" i="3" s="1"/>
  <c r="I240" i="3"/>
  <c r="I241" i="3" s="1"/>
  <c r="K238" i="3"/>
  <c r="K226" i="3"/>
  <c r="D225" i="3"/>
  <c r="D226" i="3" s="1"/>
  <c r="K223" i="3"/>
  <c r="K211" i="3"/>
  <c r="K208" i="3"/>
  <c r="K196" i="3"/>
  <c r="G195" i="3"/>
  <c r="G196" i="3" s="1"/>
  <c r="D193" i="3"/>
  <c r="E193" i="3"/>
  <c r="F193" i="3"/>
  <c r="N20" i="2" s="1" a="1"/>
  <c r="N20" i="2" s="1"/>
  <c r="G193" i="3"/>
  <c r="K193" i="3"/>
  <c r="K181" i="3"/>
  <c r="H180" i="3"/>
  <c r="H181" i="3" s="1"/>
  <c r="K178" i="3"/>
  <c r="J160" i="3"/>
  <c r="H166" i="3"/>
  <c r="K166" i="3"/>
  <c r="K163" i="3"/>
  <c r="K151" i="3"/>
  <c r="K148" i="3"/>
  <c r="K136" i="3"/>
  <c r="K133" i="3"/>
  <c r="K121" i="3"/>
  <c r="G120" i="3"/>
  <c r="G121" i="3" s="1"/>
  <c r="K118" i="3"/>
  <c r="J101" i="3"/>
  <c r="K106" i="3"/>
  <c r="K103" i="3"/>
  <c r="J85" i="3"/>
  <c r="K91" i="3"/>
  <c r="E90" i="3"/>
  <c r="E91" i="3" s="1"/>
  <c r="H88" i="3"/>
  <c r="I88" i="3"/>
  <c r="K88" i="3"/>
  <c r="K76" i="3"/>
  <c r="K73" i="3"/>
  <c r="K61" i="3"/>
  <c r="K58" i="3"/>
  <c r="J41" i="3"/>
  <c r="J40" i="3"/>
  <c r="K46" i="3"/>
  <c r="G45" i="3"/>
  <c r="G46" i="3" s="1"/>
  <c r="K43" i="3"/>
  <c r="K31" i="3"/>
  <c r="D30" i="3"/>
  <c r="D31" i="3" s="1"/>
  <c r="E30" i="3"/>
  <c r="E31" i="3" s="1"/>
  <c r="F30" i="3"/>
  <c r="F31" i="3" s="1"/>
  <c r="E29" i="3"/>
  <c r="K28" i="3"/>
  <c r="K16" i="3"/>
  <c r="E13" i="3"/>
  <c r="K13" i="3"/>
  <c r="H315" i="3" l="1"/>
  <c r="H316" i="3" s="1"/>
  <c r="H104" i="3"/>
  <c r="H239" i="3"/>
  <c r="H225" i="3"/>
  <c r="H226" i="3" s="1"/>
  <c r="F238" i="3"/>
  <c r="Q20" i="2" s="1" a="1"/>
  <c r="Q20" i="2" s="1"/>
  <c r="H208" i="3"/>
  <c r="H253" i="3"/>
  <c r="I278" i="3"/>
  <c r="I307" i="3"/>
  <c r="I314" i="3" s="1"/>
  <c r="H283" i="3"/>
  <c r="H300" i="3"/>
  <c r="H301" i="3" s="1"/>
  <c r="J95" i="3"/>
  <c r="J64" i="3"/>
  <c r="J93" i="3"/>
  <c r="J213" i="3"/>
  <c r="J111" i="3"/>
  <c r="J118" i="3" s="1"/>
  <c r="J231" i="3"/>
  <c r="J238" i="3" s="1"/>
  <c r="J140" i="3"/>
  <c r="E268" i="3"/>
  <c r="J81" i="3"/>
  <c r="J88" i="3" s="1"/>
  <c r="J18" i="3"/>
  <c r="D88" i="3"/>
  <c r="H89" i="3"/>
  <c r="J112" i="3"/>
  <c r="J119" i="3" s="1"/>
  <c r="I126" i="3"/>
  <c r="I133" i="3" s="1"/>
  <c r="I158" i="3"/>
  <c r="I165" i="3" s="1"/>
  <c r="I166" i="3" s="1"/>
  <c r="F180" i="3"/>
  <c r="F181" i="3" s="1"/>
  <c r="E180" i="3"/>
  <c r="E181" i="3" s="1"/>
  <c r="J260" i="3"/>
  <c r="H75" i="3"/>
  <c r="H76" i="3" s="1"/>
  <c r="G13" i="3"/>
  <c r="J98" i="3"/>
  <c r="J105" i="3" s="1"/>
  <c r="J106" i="3" s="1"/>
  <c r="E149" i="3"/>
  <c r="J248" i="3"/>
  <c r="J255" i="3" s="1"/>
  <c r="J256" i="3" s="1"/>
  <c r="I194" i="3"/>
  <c r="F299" i="3"/>
  <c r="U21" i="2" s="1" a="1"/>
  <c r="U21" i="2" s="1"/>
  <c r="J6" i="3"/>
  <c r="H44" i="3"/>
  <c r="E15" i="3"/>
  <c r="E16" i="3" s="1"/>
  <c r="AO30" i="11"/>
  <c r="J5" i="3"/>
  <c r="J113" i="3"/>
  <c r="J290" i="3"/>
  <c r="J139" i="3"/>
  <c r="J82" i="3"/>
  <c r="J89" i="3" s="1"/>
  <c r="J203" i="3"/>
  <c r="J277" i="3"/>
  <c r="AD24" i="11"/>
  <c r="J53" i="3"/>
  <c r="J60" i="3" s="1"/>
  <c r="J61" i="3" s="1"/>
  <c r="J306" i="3"/>
  <c r="J313" i="3" s="1"/>
  <c r="J261" i="3"/>
  <c r="J168" i="3"/>
  <c r="J80" i="3"/>
  <c r="J199" i="3"/>
  <c r="J37" i="3"/>
  <c r="J44" i="3" s="1"/>
  <c r="J201" i="3"/>
  <c r="H105" i="3"/>
  <c r="H106" i="3" s="1"/>
  <c r="J173" i="3"/>
  <c r="J243" i="3"/>
  <c r="J308" i="3"/>
  <c r="J315" i="3" s="1"/>
  <c r="J316" i="3" s="1"/>
  <c r="J288" i="3"/>
  <c r="E59" i="3"/>
  <c r="BA32" i="11"/>
  <c r="H284" i="3"/>
  <c r="E255" i="3"/>
  <c r="E256" i="3" s="1"/>
  <c r="J30" i="11"/>
  <c r="D90" i="3"/>
  <c r="D91" i="3" s="1"/>
  <c r="E44" i="3"/>
  <c r="I38" i="3"/>
  <c r="J38" i="3" s="1"/>
  <c r="J45" i="3" s="1"/>
  <c r="J46" i="3" s="1"/>
  <c r="G73" i="3"/>
  <c r="I83" i="3"/>
  <c r="I90" i="3" s="1"/>
  <c r="I91" i="3" s="1"/>
  <c r="G105" i="3"/>
  <c r="G106" i="3" s="1"/>
  <c r="H119" i="3"/>
  <c r="I156" i="3"/>
  <c r="I163" i="3" s="1"/>
  <c r="G163" i="3"/>
  <c r="BA24" i="11"/>
  <c r="J228" i="3"/>
  <c r="J157" i="3"/>
  <c r="J164" i="3" s="1"/>
  <c r="J274" i="3"/>
  <c r="F60" i="3"/>
  <c r="F61" i="3" s="1"/>
  <c r="F105" i="3"/>
  <c r="F106" i="3" s="1"/>
  <c r="J229" i="3"/>
  <c r="Y24" i="11"/>
  <c r="J170" i="3"/>
  <c r="J259" i="3"/>
  <c r="I104" i="3"/>
  <c r="J78" i="3"/>
  <c r="H313" i="3"/>
  <c r="H268" i="3"/>
  <c r="J138" i="3"/>
  <c r="J215" i="3"/>
  <c r="E223" i="3"/>
  <c r="J258" i="3"/>
  <c r="J35" i="3"/>
  <c r="R25" i="11"/>
  <c r="J34" i="3"/>
  <c r="I7" i="3"/>
  <c r="I14" i="3" s="1"/>
  <c r="J20" i="3"/>
  <c r="G28" i="3"/>
  <c r="D105" i="3"/>
  <c r="D106" i="3" s="1"/>
  <c r="J22" i="3"/>
  <c r="J183" i="3"/>
  <c r="F255" i="3"/>
  <c r="F256" i="3" s="1"/>
  <c r="I105" i="3"/>
  <c r="I106" i="3" s="1"/>
  <c r="E284" i="3"/>
  <c r="F29" i="3"/>
  <c r="C21" i="2" s="1" a="1"/>
  <c r="C21" i="2" s="1"/>
  <c r="J63" i="3"/>
  <c r="J97" i="3"/>
  <c r="J198" i="3"/>
  <c r="I238" i="3"/>
  <c r="AZ24" i="11"/>
  <c r="K38" i="11"/>
  <c r="AG31" i="11"/>
  <c r="AL38" i="11"/>
  <c r="BG25" i="11"/>
  <c r="AK38" i="11"/>
  <c r="C26" i="11"/>
  <c r="AT27" i="11"/>
  <c r="L27" i="11"/>
  <c r="AM26" i="11"/>
  <c r="BF25" i="11"/>
  <c r="AD25" i="11"/>
  <c r="AV24" i="11"/>
  <c r="L24" i="11"/>
  <c r="BF33" i="11"/>
  <c r="BF45" i="11" s="1"/>
  <c r="V33" i="11"/>
  <c r="AN32" i="11"/>
  <c r="L32" i="11"/>
  <c r="AD31" i="11"/>
  <c r="AV30" i="11"/>
  <c r="T30" i="11"/>
  <c r="BF39" i="11"/>
  <c r="T39" i="11"/>
  <c r="AJ38" i="11"/>
  <c r="AZ37" i="11"/>
  <c r="V37" i="11"/>
  <c r="AM36" i="11"/>
  <c r="B26" i="11"/>
  <c r="AS27" i="11"/>
  <c r="K27" i="11"/>
  <c r="AL26" i="11"/>
  <c r="BE25" i="11"/>
  <c r="V25" i="11"/>
  <c r="AU24" i="11"/>
  <c r="K24" i="11"/>
  <c r="AX33" i="11"/>
  <c r="U33" i="11"/>
  <c r="AM32" i="11"/>
  <c r="BF31" i="11"/>
  <c r="AC31" i="11"/>
  <c r="AU30" i="11"/>
  <c r="L30" i="11"/>
  <c r="BE39" i="11"/>
  <c r="S39" i="11"/>
  <c r="AI38" i="11"/>
  <c r="AY37" i="11"/>
  <c r="N37" i="11"/>
  <c r="AK36" i="11"/>
  <c r="X27" i="11"/>
  <c r="AA33" i="11"/>
  <c r="AA45" i="11" s="1"/>
  <c r="AR36" i="11"/>
  <c r="AH25" i="11"/>
  <c r="AH31" i="11"/>
  <c r="AH43" i="11" s="1"/>
  <c r="AO26" i="11"/>
  <c r="BH33" i="11"/>
  <c r="BH45" i="11" s="1"/>
  <c r="AO36" i="11"/>
  <c r="AW24" i="11"/>
  <c r="AE31" i="11"/>
  <c r="AR27" i="11"/>
  <c r="AT24" i="11"/>
  <c r="BD31" i="11"/>
  <c r="BC39" i="11"/>
  <c r="AS24" i="11"/>
  <c r="AB36" i="11"/>
  <c r="AP27" i="11"/>
  <c r="AT33" i="11"/>
  <c r="AR30" i="11"/>
  <c r="C25" i="11"/>
  <c r="AH27" i="11"/>
  <c r="BI26" i="11"/>
  <c r="AA26" i="11"/>
  <c r="BA25" i="11"/>
  <c r="Q25" i="11"/>
  <c r="AJ24" i="11"/>
  <c r="F33" i="11"/>
  <c r="F45" i="11" s="1"/>
  <c r="AS33" i="11"/>
  <c r="J33" i="11"/>
  <c r="AI32" i="11"/>
  <c r="BA31" i="11"/>
  <c r="BA34" i="11" s="1"/>
  <c r="R31" i="11"/>
  <c r="AQ30" i="11"/>
  <c r="F39" i="11"/>
  <c r="AR39" i="11"/>
  <c r="N39" i="11"/>
  <c r="AE38" i="11"/>
  <c r="AU37" i="11"/>
  <c r="I37" i="11"/>
  <c r="Y36" i="11"/>
  <c r="B25" i="11"/>
  <c r="AG27" i="11"/>
  <c r="BH26" i="11"/>
  <c r="Z26" i="11"/>
  <c r="AZ25" i="11"/>
  <c r="P25" i="11"/>
  <c r="AH24" i="11"/>
  <c r="E33" i="11"/>
  <c r="AR33" i="11"/>
  <c r="H33" i="11"/>
  <c r="AH32" i="11"/>
  <c r="AH44" i="11" s="1"/>
  <c r="AZ31" i="11"/>
  <c r="P31" i="11"/>
  <c r="AP30" i="11"/>
  <c r="E39" i="11"/>
  <c r="AQ39" i="11"/>
  <c r="BH38" i="11"/>
  <c r="AC38" i="11"/>
  <c r="AT37" i="11"/>
  <c r="H37" i="11"/>
  <c r="X36" i="11"/>
  <c r="AX27" i="11"/>
  <c r="AV38" i="11"/>
  <c r="V27" i="11"/>
  <c r="AN38" i="11"/>
  <c r="AV27" i="11"/>
  <c r="Y37" i="11"/>
  <c r="W33" i="11"/>
  <c r="AH38" i="11"/>
  <c r="AA31" i="11"/>
  <c r="AJ32" i="11"/>
  <c r="AJ44" i="11" s="1"/>
  <c r="F24" i="11"/>
  <c r="AF27" i="11"/>
  <c r="BG26" i="11"/>
  <c r="Y26" i="11"/>
  <c r="AY25" i="11"/>
  <c r="O25" i="11"/>
  <c r="AG24" i="11"/>
  <c r="D33" i="11"/>
  <c r="AQ33" i="11"/>
  <c r="AQ45" i="11" s="1"/>
  <c r="BI32" i="11"/>
  <c r="BI44" i="11" s="1"/>
  <c r="AG32" i="11"/>
  <c r="AG44" i="11" s="1"/>
  <c r="AY31" i="11"/>
  <c r="AY43" i="11" s="1"/>
  <c r="O31" i="11"/>
  <c r="O43" i="11" s="1"/>
  <c r="D39" i="11"/>
  <c r="AP39" i="11"/>
  <c r="BF38" i="11"/>
  <c r="AB38" i="11"/>
  <c r="AS37" i="11"/>
  <c r="BI36" i="11"/>
  <c r="W36" i="11"/>
  <c r="Q32" i="11"/>
  <c r="P32" i="11"/>
  <c r="AQ36" i="11"/>
  <c r="AW27" i="11"/>
  <c r="W39" i="11"/>
  <c r="V30" i="11"/>
  <c r="AU27" i="11"/>
  <c r="U39" i="11"/>
  <c r="AK26" i="11"/>
  <c r="AX37" i="11"/>
  <c r="K30" i="11"/>
  <c r="AE30" i="11"/>
  <c r="AY30" i="11"/>
  <c r="Q31" i="11"/>
  <c r="Q43" i="11" s="1"/>
  <c r="AK31" i="11"/>
  <c r="AK43" i="11" s="1"/>
  <c r="BE31" i="11"/>
  <c r="BE43" i="11" s="1"/>
  <c r="W32" i="11"/>
  <c r="AQ32" i="11"/>
  <c r="I33" i="11"/>
  <c r="AC33" i="11"/>
  <c r="AW33" i="11"/>
  <c r="D31" i="11"/>
  <c r="M30" i="11"/>
  <c r="AG30" i="11"/>
  <c r="BA30" i="11"/>
  <c r="S31" i="11"/>
  <c r="AM31" i="11"/>
  <c r="BG31" i="11"/>
  <c r="Y32" i="11"/>
  <c r="AS32" i="11"/>
  <c r="K33" i="11"/>
  <c r="AE33" i="11"/>
  <c r="AY33" i="11"/>
  <c r="F31" i="11"/>
  <c r="F43" i="11" s="1"/>
  <c r="N30" i="11"/>
  <c r="N42" i="11" s="1"/>
  <c r="AH30" i="11"/>
  <c r="AH42" i="11" s="1"/>
  <c r="BB30" i="11"/>
  <c r="T31" i="11"/>
  <c r="AN31" i="11"/>
  <c r="BH31" i="11"/>
  <c r="Z32" i="11"/>
  <c r="AT32" i="11"/>
  <c r="AT44" i="11" s="1"/>
  <c r="L33" i="11"/>
  <c r="AF33" i="11"/>
  <c r="AZ33" i="11"/>
  <c r="B32" i="11"/>
  <c r="O30" i="11"/>
  <c r="AI30" i="11"/>
  <c r="BC30" i="11"/>
  <c r="U31" i="11"/>
  <c r="AO31" i="11"/>
  <c r="BI31" i="11"/>
  <c r="AA32" i="11"/>
  <c r="AU32" i="11"/>
  <c r="AU44" i="11" s="1"/>
  <c r="M33" i="11"/>
  <c r="M45" i="11" s="1"/>
  <c r="AG33" i="11"/>
  <c r="AG45" i="11" s="1"/>
  <c r="BA33" i="11"/>
  <c r="C32" i="11"/>
  <c r="AS31" i="11"/>
  <c r="AS43" i="11" s="1"/>
  <c r="P30" i="11"/>
  <c r="AJ30" i="11"/>
  <c r="AJ34" i="11" s="1"/>
  <c r="BD30" i="11"/>
  <c r="BD42" i="11" s="1"/>
  <c r="V31" i="11"/>
  <c r="AP31" i="11"/>
  <c r="H32" i="11"/>
  <c r="AB32" i="11"/>
  <c r="AB44" i="11" s="1"/>
  <c r="AV32" i="11"/>
  <c r="N33" i="11"/>
  <c r="N45" i="11" s="1"/>
  <c r="AH33" i="11"/>
  <c r="AH45" i="11" s="1"/>
  <c r="BB33" i="11"/>
  <c r="BB45" i="11" s="1"/>
  <c r="D32" i="11"/>
  <c r="D44" i="11" s="1"/>
  <c r="K32" i="11"/>
  <c r="K44" i="11" s="1"/>
  <c r="Q30" i="11"/>
  <c r="Q42" i="11" s="1"/>
  <c r="AK30" i="11"/>
  <c r="AK42" i="11" s="1"/>
  <c r="BE30" i="11"/>
  <c r="BE42" i="11" s="1"/>
  <c r="W31" i="11"/>
  <c r="W43" i="11" s="1"/>
  <c r="AQ31" i="11"/>
  <c r="I32" i="11"/>
  <c r="AC32" i="11"/>
  <c r="AW32" i="11"/>
  <c r="O33" i="11"/>
  <c r="AI33" i="11"/>
  <c r="BC33" i="11"/>
  <c r="BC45" i="11" s="1"/>
  <c r="E32" i="11"/>
  <c r="Q33" i="11"/>
  <c r="R30" i="11"/>
  <c r="R42" i="11" s="1"/>
  <c r="AL30" i="11"/>
  <c r="AL42" i="11" s="1"/>
  <c r="BF30" i="11"/>
  <c r="BF42" i="11" s="1"/>
  <c r="X31" i="11"/>
  <c r="X43" i="11" s="1"/>
  <c r="AR31" i="11"/>
  <c r="AR43" i="11" s="1"/>
  <c r="J32" i="11"/>
  <c r="J44" i="11" s="1"/>
  <c r="AD32" i="11"/>
  <c r="AD44" i="11" s="1"/>
  <c r="AX32" i="11"/>
  <c r="AX44" i="11" s="1"/>
  <c r="P33" i="11"/>
  <c r="P45" i="11" s="1"/>
  <c r="AJ33" i="11"/>
  <c r="AJ45" i="11" s="1"/>
  <c r="BD33" i="11"/>
  <c r="BD45" i="11" s="1"/>
  <c r="F32" i="11"/>
  <c r="F44" i="11" s="1"/>
  <c r="S30" i="11"/>
  <c r="S42" i="11" s="1"/>
  <c r="AM30" i="11"/>
  <c r="BG30" i="11"/>
  <c r="Y31" i="11"/>
  <c r="AE32" i="11"/>
  <c r="AY32" i="11"/>
  <c r="AK33" i="11"/>
  <c r="BE33" i="11"/>
  <c r="B33" i="11"/>
  <c r="B45" i="11" s="1"/>
  <c r="BB39" i="11"/>
  <c r="AR24" i="11"/>
  <c r="E24" i="11"/>
  <c r="AE27" i="11"/>
  <c r="BF26" i="11"/>
  <c r="X26" i="11"/>
  <c r="AX25" i="11"/>
  <c r="N25" i="11"/>
  <c r="AF24" i="11"/>
  <c r="C33" i="11"/>
  <c r="C45" i="11" s="1"/>
  <c r="AP33" i="11"/>
  <c r="BH32" i="11"/>
  <c r="AF32" i="11"/>
  <c r="AX31" i="11"/>
  <c r="N31" i="11"/>
  <c r="AN30" i="11"/>
  <c r="C39" i="11"/>
  <c r="AO39" i="11"/>
  <c r="BE38" i="11"/>
  <c r="T38" i="11"/>
  <c r="AQ37" i="11"/>
  <c r="BH36" i="11"/>
  <c r="V36" i="11"/>
  <c r="AQ26" i="11"/>
  <c r="X39" i="11"/>
  <c r="H26" i="11"/>
  <c r="I38" i="11"/>
  <c r="N27" i="11"/>
  <c r="H38" i="11"/>
  <c r="BG33" i="11"/>
  <c r="BD25" i="11"/>
  <c r="L37" i="11"/>
  <c r="I27" i="11"/>
  <c r="K37" i="11"/>
  <c r="O39" i="11"/>
  <c r="AE24" i="11"/>
  <c r="M31" i="11"/>
  <c r="B39" i="11"/>
  <c r="BG36" i="11"/>
  <c r="AA36" i="11"/>
  <c r="AU36" i="11"/>
  <c r="M37" i="11"/>
  <c r="AG37" i="11"/>
  <c r="BA37" i="11"/>
  <c r="S38" i="11"/>
  <c r="AM38" i="11"/>
  <c r="BG38" i="11"/>
  <c r="Y39" i="11"/>
  <c r="AS39" i="11"/>
  <c r="E36" i="11"/>
  <c r="I36" i="11"/>
  <c r="AC36" i="11"/>
  <c r="AW36" i="11"/>
  <c r="O37" i="11"/>
  <c r="AI37" i="11"/>
  <c r="BC37" i="11"/>
  <c r="U38" i="11"/>
  <c r="AO38" i="11"/>
  <c r="BI38" i="11"/>
  <c r="AA39" i="11"/>
  <c r="AU39" i="11"/>
  <c r="B37" i="11"/>
  <c r="J36" i="11"/>
  <c r="J40" i="11" s="1"/>
  <c r="AD36" i="11"/>
  <c r="AD40" i="11" s="1"/>
  <c r="AX36" i="11"/>
  <c r="AX40" i="11" s="1"/>
  <c r="P37" i="11"/>
  <c r="AJ37" i="11"/>
  <c r="BD37" i="11"/>
  <c r="V38" i="11"/>
  <c r="AP38" i="11"/>
  <c r="H39" i="11"/>
  <c r="AB39" i="11"/>
  <c r="AV39" i="11"/>
  <c r="C37" i="11"/>
  <c r="K36" i="11"/>
  <c r="AE36" i="11"/>
  <c r="AY36" i="11"/>
  <c r="Q37" i="11"/>
  <c r="AK37" i="11"/>
  <c r="BE37" i="11"/>
  <c r="W38" i="11"/>
  <c r="W40" i="11" s="1"/>
  <c r="AQ38" i="11"/>
  <c r="AQ40" i="11" s="1"/>
  <c r="I39" i="11"/>
  <c r="AC39" i="11"/>
  <c r="AW39" i="11"/>
  <c r="D37" i="11"/>
  <c r="L36" i="11"/>
  <c r="AF36" i="11"/>
  <c r="AF40" i="11" s="1"/>
  <c r="AZ36" i="11"/>
  <c r="AZ40" i="11" s="1"/>
  <c r="R37" i="11"/>
  <c r="AL37" i="11"/>
  <c r="BF37" i="11"/>
  <c r="X38" i="11"/>
  <c r="AR38" i="11"/>
  <c r="J39" i="11"/>
  <c r="AD39" i="11"/>
  <c r="AX39" i="11"/>
  <c r="E37" i="11"/>
  <c r="M36" i="11"/>
  <c r="AG36" i="11"/>
  <c r="BA36" i="11"/>
  <c r="S37" i="11"/>
  <c r="AM37" i="11"/>
  <c r="BG37" i="11"/>
  <c r="Y38" i="11"/>
  <c r="AS38" i="11"/>
  <c r="K39" i="11"/>
  <c r="AE39" i="11"/>
  <c r="AY39" i="11"/>
  <c r="F37" i="11"/>
  <c r="N36" i="11"/>
  <c r="AH36" i="11"/>
  <c r="BB36" i="11"/>
  <c r="T37" i="11"/>
  <c r="AN37" i="11"/>
  <c r="BH37" i="11"/>
  <c r="Z38" i="11"/>
  <c r="AT38" i="11"/>
  <c r="L39" i="11"/>
  <c r="AF39" i="11"/>
  <c r="AZ39" i="11"/>
  <c r="B38" i="11"/>
  <c r="O36" i="11"/>
  <c r="O40" i="11" s="1"/>
  <c r="AI36" i="11"/>
  <c r="AI40" i="11" s="1"/>
  <c r="BC36" i="11"/>
  <c r="BC40" i="11" s="1"/>
  <c r="U37" i="11"/>
  <c r="U40" i="11" s="1"/>
  <c r="AO37" i="11"/>
  <c r="AO40" i="11" s="1"/>
  <c r="BI37" i="11"/>
  <c r="BI40" i="11" s="1"/>
  <c r="AA38" i="11"/>
  <c r="AA40" i="11" s="1"/>
  <c r="AU38" i="11"/>
  <c r="M39" i="11"/>
  <c r="AG39" i="11"/>
  <c r="BA39" i="11"/>
  <c r="C38" i="11"/>
  <c r="R36" i="11"/>
  <c r="AL36" i="11"/>
  <c r="BF36" i="11"/>
  <c r="X37" i="11"/>
  <c r="AR37" i="11"/>
  <c r="J38" i="11"/>
  <c r="AD38" i="11"/>
  <c r="AX38" i="11"/>
  <c r="P39" i="11"/>
  <c r="AJ39" i="11"/>
  <c r="BD39" i="11"/>
  <c r="C30" i="11"/>
  <c r="L38" i="11"/>
  <c r="B30" i="11"/>
  <c r="B42" i="11" s="1"/>
  <c r="BH30" i="11"/>
  <c r="AY24" i="11"/>
  <c r="Y33" i="11"/>
  <c r="Z37" i="11"/>
  <c r="AF25" i="11"/>
  <c r="AP32" i="11"/>
  <c r="AP44" i="11" s="1"/>
  <c r="AE25" i="11"/>
  <c r="AW30" i="11"/>
  <c r="T33" i="11"/>
  <c r="T45" i="11" s="1"/>
  <c r="AW37" i="11"/>
  <c r="D25" i="11"/>
  <c r="H24" i="11"/>
  <c r="Z31" i="11"/>
  <c r="Z43" i="11" s="1"/>
  <c r="W26" i="11"/>
  <c r="AF30" i="11"/>
  <c r="C24" i="11"/>
  <c r="AC27" i="11"/>
  <c r="BD26" i="11"/>
  <c r="V26" i="11"/>
  <c r="AN25" i="11"/>
  <c r="L25" i="11"/>
  <c r="C31" i="11"/>
  <c r="AN33" i="11"/>
  <c r="AN45" i="11" s="1"/>
  <c r="BF32" i="11"/>
  <c r="V32" i="11"/>
  <c r="AV31" i="11"/>
  <c r="L31" i="11"/>
  <c r="L43" i="11" s="1"/>
  <c r="AD30" i="11"/>
  <c r="F38" i="11"/>
  <c r="AM39" i="11"/>
  <c r="BC38" i="11"/>
  <c r="Q38" i="11"/>
  <c r="AH37" i="11"/>
  <c r="BE36" i="11"/>
  <c r="T36" i="11"/>
  <c r="AI25" i="11"/>
  <c r="Y30" i="11"/>
  <c r="Y42" i="11" s="1"/>
  <c r="Z39" i="11"/>
  <c r="AW38" i="11"/>
  <c r="W27" i="11"/>
  <c r="Z33" i="11"/>
  <c r="Z45" i="11" s="1"/>
  <c r="X30" i="11"/>
  <c r="B36" i="11"/>
  <c r="AP26" i="11"/>
  <c r="AZ30" i="11"/>
  <c r="BI39" i="11"/>
  <c r="F26" i="11"/>
  <c r="N24" i="11"/>
  <c r="AX30" i="11"/>
  <c r="V39" i="11"/>
  <c r="AN26" i="11"/>
  <c r="M32" i="11"/>
  <c r="M44" i="11" s="1"/>
  <c r="BG39" i="11"/>
  <c r="AN36" i="11"/>
  <c r="F25" i="11"/>
  <c r="J24" i="11"/>
  <c r="AB31" i="11"/>
  <c r="R39" i="11"/>
  <c r="AQ27" i="11"/>
  <c r="I24" i="11"/>
  <c r="BC31" i="11"/>
  <c r="BC43" i="11" s="1"/>
  <c r="I30" i="11"/>
  <c r="AG38" i="11"/>
  <c r="H27" i="11"/>
  <c r="R33" i="11"/>
  <c r="AV37" i="11"/>
  <c r="O24" i="11"/>
  <c r="AI24" i="11"/>
  <c r="BC24" i="11"/>
  <c r="U25" i="11"/>
  <c r="AO25" i="11"/>
  <c r="BI25" i="11"/>
  <c r="Q24" i="11"/>
  <c r="AK24" i="11"/>
  <c r="BE24" i="11"/>
  <c r="W25" i="11"/>
  <c r="AQ25" i="11"/>
  <c r="I26" i="11"/>
  <c r="AC26" i="11"/>
  <c r="AW26" i="11"/>
  <c r="O27" i="11"/>
  <c r="AI27" i="11"/>
  <c r="BC27" i="11"/>
  <c r="E26" i="11"/>
  <c r="R24" i="11"/>
  <c r="AL24" i="11"/>
  <c r="BF24" i="11"/>
  <c r="X25" i="11"/>
  <c r="AR25" i="11"/>
  <c r="J26" i="11"/>
  <c r="AD26" i="11"/>
  <c r="AX26" i="11"/>
  <c r="P27" i="11"/>
  <c r="AJ27" i="11"/>
  <c r="BD27" i="11"/>
  <c r="S24" i="11"/>
  <c r="AM24" i="11"/>
  <c r="BG24" i="11"/>
  <c r="Y25" i="11"/>
  <c r="AS25" i="11"/>
  <c r="K26" i="11"/>
  <c r="AE26" i="11"/>
  <c r="AY26" i="11"/>
  <c r="Q27" i="11"/>
  <c r="AK27" i="11"/>
  <c r="BE27" i="11"/>
  <c r="B27" i="11"/>
  <c r="I25" i="11"/>
  <c r="AI26" i="11"/>
  <c r="F27" i="11"/>
  <c r="T24" i="11"/>
  <c r="AN24" i="11"/>
  <c r="BH24" i="11"/>
  <c r="Z25" i="11"/>
  <c r="AT25" i="11"/>
  <c r="L26" i="11"/>
  <c r="AF26" i="11"/>
  <c r="AZ26" i="11"/>
  <c r="R27" i="11"/>
  <c r="AL27" i="11"/>
  <c r="BF27" i="11"/>
  <c r="C27" i="11"/>
  <c r="AQ24" i="11"/>
  <c r="O26" i="11"/>
  <c r="BI27" i="11"/>
  <c r="U24" i="11"/>
  <c r="AO24" i="11"/>
  <c r="BI24" i="11"/>
  <c r="AA25" i="11"/>
  <c r="AU25" i="11"/>
  <c r="M26" i="11"/>
  <c r="AG26" i="11"/>
  <c r="BA26" i="11"/>
  <c r="S27" i="11"/>
  <c r="AM27" i="11"/>
  <c r="BG27" i="11"/>
  <c r="D27" i="11"/>
  <c r="U27" i="11"/>
  <c r="V24" i="11"/>
  <c r="AP24" i="11"/>
  <c r="H25" i="11"/>
  <c r="AB25" i="11"/>
  <c r="AV25" i="11"/>
  <c r="N26" i="11"/>
  <c r="AH26" i="11"/>
  <c r="BB26" i="11"/>
  <c r="T27" i="11"/>
  <c r="AN27" i="11"/>
  <c r="BH27" i="11"/>
  <c r="E27" i="11"/>
  <c r="W24" i="11"/>
  <c r="AC25" i="11"/>
  <c r="AW25" i="11"/>
  <c r="BC26" i="11"/>
  <c r="AO27" i="11"/>
  <c r="AD27" i="11"/>
  <c r="M25" i="11"/>
  <c r="X32" i="11"/>
  <c r="X44" i="11" s="1"/>
  <c r="R38" i="11"/>
  <c r="AV26" i="11"/>
  <c r="AM25" i="11"/>
  <c r="AM33" i="11"/>
  <c r="AM45" i="11" s="1"/>
  <c r="BE32" i="11"/>
  <c r="BE44" i="11" s="1"/>
  <c r="U32" i="11"/>
  <c r="AU31" i="11"/>
  <c r="AL39" i="11"/>
  <c r="BB38" i="11"/>
  <c r="P38" i="11"/>
  <c r="AF37" i="11"/>
  <c r="BD36" i="11"/>
  <c r="S36" i="11"/>
  <c r="Q26" i="11"/>
  <c r="BI30" i="11"/>
  <c r="BI42" i="11" s="1"/>
  <c r="X24" i="11"/>
  <c r="AR32" i="11"/>
  <c r="AR44" i="11" s="1"/>
  <c r="AP36" i="11"/>
  <c r="BH25" i="11"/>
  <c r="X33" i="11"/>
  <c r="X45" i="11" s="1"/>
  <c r="M27" i="11"/>
  <c r="AO32" i="11"/>
  <c r="AO44" i="11" s="1"/>
  <c r="BB37" i="11"/>
  <c r="T25" i="11"/>
  <c r="AT30" i="11"/>
  <c r="BC25" i="11"/>
  <c r="S33" i="11"/>
  <c r="S45" i="11" s="1"/>
  <c r="BB25" i="11"/>
  <c r="Z36" i="11"/>
  <c r="AP25" i="11"/>
  <c r="BG32" i="11"/>
  <c r="AN39" i="11"/>
  <c r="B24" i="11"/>
  <c r="B31" i="11"/>
  <c r="AC30" i="11"/>
  <c r="BB27" i="11"/>
  <c r="AA27" i="11"/>
  <c r="AU26" i="11"/>
  <c r="T26" i="11"/>
  <c r="AL25" i="11"/>
  <c r="J25" i="11"/>
  <c r="AB24" i="11"/>
  <c r="F30" i="11"/>
  <c r="F42" i="11" s="1"/>
  <c r="AL33" i="11"/>
  <c r="BD32" i="11"/>
  <c r="T32" i="11"/>
  <c r="AT31" i="11"/>
  <c r="J31" i="11"/>
  <c r="J43" i="11" s="1"/>
  <c r="AB30" i="11"/>
  <c r="D38" i="11"/>
  <c r="AK39" i="11"/>
  <c r="BA38" i="11"/>
  <c r="O38" i="11"/>
  <c r="AE37" i="11"/>
  <c r="AV36" i="11"/>
  <c r="Q36" i="11"/>
  <c r="AR26" i="11"/>
  <c r="AI31" i="11"/>
  <c r="AI43" i="11" s="1"/>
  <c r="C36" i="11"/>
  <c r="P26" i="11"/>
  <c r="AZ32" i="11"/>
  <c r="AZ44" i="11" s="1"/>
  <c r="AA37" i="11"/>
  <c r="P24" i="11"/>
  <c r="O32" i="11"/>
  <c r="N32" i="11"/>
  <c r="D26" i="11"/>
  <c r="AL32" i="11"/>
  <c r="AL44" i="11" s="1"/>
  <c r="AJ36" i="11"/>
  <c r="AJ26" i="11"/>
  <c r="AU33" i="11"/>
  <c r="AB26" i="11"/>
  <c r="J37" i="11"/>
  <c r="D24" i="11"/>
  <c r="E31" i="11"/>
  <c r="E43" i="11" s="1"/>
  <c r="AP37" i="11"/>
  <c r="AP43" i="11" s="1"/>
  <c r="AB27" i="11"/>
  <c r="K25" i="11"/>
  <c r="K31" i="11"/>
  <c r="K43" i="11" s="1"/>
  <c r="BA27" i="11"/>
  <c r="Z27" i="11"/>
  <c r="AT26" i="11"/>
  <c r="S26" i="11"/>
  <c r="AK25" i="11"/>
  <c r="BD24" i="11"/>
  <c r="AA24" i="11"/>
  <c r="E30" i="11"/>
  <c r="E42" i="11" s="1"/>
  <c r="AD33" i="11"/>
  <c r="AD45" i="11" s="1"/>
  <c r="BC32" i="11"/>
  <c r="S32" i="11"/>
  <c r="AL31" i="11"/>
  <c r="AL43" i="11" s="1"/>
  <c r="I31" i="11"/>
  <c r="AA30" i="11"/>
  <c r="F36" i="11"/>
  <c r="AI39" i="11"/>
  <c r="AZ38" i="11"/>
  <c r="N38" i="11"/>
  <c r="AD37" i="11"/>
  <c r="AT36" i="11"/>
  <c r="P36" i="11"/>
  <c r="AY27" i="11"/>
  <c r="AB37" i="11"/>
  <c r="AG25" i="11"/>
  <c r="BI33" i="11"/>
  <c r="BI45" i="11" s="1"/>
  <c r="W30" i="11"/>
  <c r="AX24" i="11"/>
  <c r="AF31" i="11"/>
  <c r="BH39" i="11"/>
  <c r="M24" i="11"/>
  <c r="U30" i="11"/>
  <c r="U42" i="11" s="1"/>
  <c r="W37" i="11"/>
  <c r="J27" i="11"/>
  <c r="AV33" i="11"/>
  <c r="E25" i="11"/>
  <c r="S25" i="11"/>
  <c r="AK32" i="11"/>
  <c r="AK44" i="11" s="1"/>
  <c r="AS30" i="11"/>
  <c r="AS42" i="11" s="1"/>
  <c r="Q39" i="11"/>
  <c r="BB31" i="11"/>
  <c r="H30" i="11"/>
  <c r="AT39" i="11"/>
  <c r="AF38" i="11"/>
  <c r="BE26" i="11"/>
  <c r="AO33" i="11"/>
  <c r="AO45" i="11" s="1"/>
  <c r="AW31" i="11"/>
  <c r="AW43" i="11" s="1"/>
  <c r="BD38" i="11"/>
  <c r="U26" i="11"/>
  <c r="AC24" i="11"/>
  <c r="E38" i="11"/>
  <c r="E44" i="11" s="1"/>
  <c r="AZ27" i="11"/>
  <c r="Y27" i="11"/>
  <c r="AS26" i="11"/>
  <c r="R26" i="11"/>
  <c r="AJ25" i="11"/>
  <c r="BB24" i="11"/>
  <c r="Z24" i="11"/>
  <c r="D30" i="11"/>
  <c r="AB33" i="11"/>
  <c r="AB45" i="11" s="1"/>
  <c r="BB32" i="11"/>
  <c r="BB44" i="11" s="1"/>
  <c r="R32" i="11"/>
  <c r="AJ31" i="11"/>
  <c r="H31" i="11"/>
  <c r="H43" i="11" s="1"/>
  <c r="Z30" i="11"/>
  <c r="D36" i="11"/>
  <c r="AH39" i="11"/>
  <c r="AY38" i="11"/>
  <c r="M38" i="11"/>
  <c r="AC37" i="11"/>
  <c r="AS36" i="11"/>
  <c r="H36" i="11"/>
  <c r="F224" i="3"/>
  <c r="P21" i="2" s="1" a="1"/>
  <c r="P21" i="2" s="1"/>
  <c r="F223" i="3"/>
  <c r="P20" i="2" s="1" a="1"/>
  <c r="P20" i="2" s="1"/>
  <c r="J3" i="3"/>
  <c r="J220" i="3"/>
  <c r="J216" i="3"/>
  <c r="J223" i="3" s="1"/>
  <c r="J307" i="3"/>
  <c r="J314" i="3" s="1"/>
  <c r="J184" i="3"/>
  <c r="J230" i="3"/>
  <c r="I178" i="3"/>
  <c r="J4" i="3"/>
  <c r="J143" i="3"/>
  <c r="J154" i="3"/>
  <c r="I217" i="3"/>
  <c r="I224" i="3" s="1"/>
  <c r="H224" i="3"/>
  <c r="I298" i="3"/>
  <c r="H29" i="3"/>
  <c r="J130" i="3"/>
  <c r="F210" i="3"/>
  <c r="F211" i="3" s="1"/>
  <c r="G224" i="3"/>
  <c r="I28" i="3"/>
  <c r="J206" i="3"/>
  <c r="D284" i="3"/>
  <c r="J280" i="3"/>
  <c r="D269" i="3"/>
  <c r="J262" i="3"/>
  <c r="J273" i="3"/>
  <c r="J26" i="3"/>
  <c r="F15" i="3"/>
  <c r="F16" i="3" s="1"/>
  <c r="I186" i="3"/>
  <c r="I193" i="3" s="1"/>
  <c r="H193" i="3"/>
  <c r="J33" i="3"/>
  <c r="E133" i="3"/>
  <c r="J200" i="3"/>
  <c r="H299" i="3"/>
  <c r="I292" i="3"/>
  <c r="E224" i="3"/>
  <c r="I30" i="3"/>
  <c r="I31" i="3" s="1"/>
  <c r="J23" i="3"/>
  <c r="J30" i="3" s="1"/>
  <c r="J31" i="3" s="1"/>
  <c r="D149" i="3"/>
  <c r="J145" i="3"/>
  <c r="F179" i="3"/>
  <c r="M21" i="2" s="1" a="1"/>
  <c r="M21" i="2" s="1"/>
  <c r="J100" i="3"/>
  <c r="D104" i="3"/>
  <c r="D29" i="3"/>
  <c r="J68" i="3"/>
  <c r="D75" i="3"/>
  <c r="D76" i="3" s="1"/>
  <c r="E134" i="3"/>
  <c r="I202" i="3"/>
  <c r="I209" i="3" s="1"/>
  <c r="H209" i="3"/>
  <c r="E283" i="3"/>
  <c r="J276" i="3"/>
  <c r="J283" i="3" s="1"/>
  <c r="J175" i="3"/>
  <c r="E210" i="3"/>
  <c r="E211" i="3" s="1"/>
  <c r="J281" i="3"/>
  <c r="H223" i="3"/>
  <c r="J36" i="3"/>
  <c r="J43" i="3" s="1"/>
  <c r="J29" i="3"/>
  <c r="J176" i="3"/>
  <c r="D180" i="3"/>
  <c r="D181" i="3" s="1"/>
  <c r="I70" i="3"/>
  <c r="I73" i="3" s="1"/>
  <c r="H73" i="3"/>
  <c r="D103" i="3"/>
  <c r="J96" i="3"/>
  <c r="J155" i="3"/>
  <c r="H254" i="3"/>
  <c r="I247" i="3"/>
  <c r="I254" i="3" s="1"/>
  <c r="E285" i="3"/>
  <c r="E286" i="3" s="1"/>
  <c r="J278" i="3"/>
  <c r="J285" i="3" s="1"/>
  <c r="J286" i="3" s="1"/>
  <c r="H195" i="3"/>
  <c r="H196" i="3" s="1"/>
  <c r="I188" i="3"/>
  <c r="I195" i="3" s="1"/>
  <c r="I196" i="3" s="1"/>
  <c r="J21" i="3"/>
  <c r="H28" i="3"/>
  <c r="H59" i="3"/>
  <c r="H178" i="3"/>
  <c r="I29" i="3"/>
  <c r="J123" i="3"/>
  <c r="I172" i="3"/>
  <c r="I179" i="3" s="1"/>
  <c r="H179" i="3"/>
  <c r="G29" i="3"/>
  <c r="G179" i="3"/>
  <c r="J19" i="3"/>
  <c r="D224" i="3"/>
  <c r="I13" i="3"/>
  <c r="J169" i="3"/>
  <c r="J65" i="3"/>
  <c r="J124" i="3"/>
  <c r="J265" i="3"/>
  <c r="D268" i="3"/>
  <c r="J275" i="3"/>
  <c r="J293" i="3"/>
  <c r="J300" i="3" s="1"/>
  <c r="J301" i="3" s="1"/>
  <c r="J295" i="3"/>
  <c r="J25" i="3"/>
  <c r="J120" i="3"/>
  <c r="J121" i="3" s="1"/>
  <c r="J153" i="3"/>
  <c r="J161" i="3"/>
  <c r="J190" i="3"/>
  <c r="D194" i="3"/>
  <c r="D210" i="3"/>
  <c r="D211" i="3" s="1"/>
  <c r="J50" i="3"/>
  <c r="G165" i="3"/>
  <c r="G166" i="3" s="1"/>
  <c r="H148" i="3"/>
  <c r="I141" i="3"/>
  <c r="F165" i="3"/>
  <c r="F166" i="3" s="1"/>
  <c r="E165" i="3"/>
  <c r="E166" i="3" s="1"/>
  <c r="J10" i="3"/>
  <c r="J13" i="3" s="1"/>
  <c r="D58" i="3"/>
  <c r="J51" i="3"/>
  <c r="J58" i="3" s="1"/>
  <c r="J79" i="3"/>
  <c r="J251" i="3"/>
  <c r="D255" i="3"/>
  <c r="D256" i="3" s="1"/>
  <c r="D165" i="3"/>
  <c r="D166" i="3" s="1"/>
  <c r="I270" i="3"/>
  <c r="I271" i="3" s="1"/>
  <c r="D283" i="3"/>
  <c r="J263" i="3"/>
  <c r="F28" i="3"/>
  <c r="C20" i="2" s="1" a="1"/>
  <c r="C20" i="2" s="1"/>
  <c r="J56" i="3"/>
  <c r="H135" i="3"/>
  <c r="H136" i="3" s="1"/>
  <c r="J245" i="3"/>
  <c r="J304" i="3"/>
  <c r="J71" i="3"/>
  <c r="J171" i="3"/>
  <c r="J218" i="3"/>
  <c r="J225" i="3" s="1"/>
  <c r="J226" i="3" s="1"/>
  <c r="D14" i="3"/>
  <c r="I142" i="3"/>
  <c r="I225" i="3"/>
  <c r="I226" i="3" s="1"/>
  <c r="J11" i="3"/>
  <c r="J48" i="3"/>
  <c r="J110" i="3"/>
  <c r="H298" i="3"/>
  <c r="J146" i="3"/>
  <c r="I43" i="3"/>
  <c r="E118" i="3"/>
  <c r="F298" i="3"/>
  <c r="U20" i="2" s="1" a="1"/>
  <c r="U20" i="2" s="1"/>
  <c r="H60" i="3"/>
  <c r="H61" i="3" s="1"/>
  <c r="J49" i="3"/>
  <c r="J116" i="3"/>
  <c r="I285" i="3"/>
  <c r="I286" i="3" s="1"/>
  <c r="G43" i="3"/>
  <c r="H74" i="3"/>
  <c r="J94" i="3"/>
  <c r="I119" i="3"/>
  <c r="J187" i="3"/>
  <c r="J232" i="3"/>
  <c r="J239" i="3" s="1"/>
  <c r="J246" i="3"/>
  <c r="J253" i="3" s="1"/>
  <c r="J291" i="3"/>
  <c r="J298" i="3" s="1"/>
  <c r="J305" i="3"/>
  <c r="E150" i="3"/>
  <c r="E151" i="3" s="1"/>
  <c r="G298" i="3"/>
  <c r="G15" i="3"/>
  <c r="G16" i="3" s="1"/>
  <c r="J66" i="3"/>
  <c r="J125" i="3"/>
  <c r="J128" i="3"/>
  <c r="J135" i="3" s="1"/>
  <c r="J136" i="3" s="1"/>
  <c r="J205" i="3"/>
  <c r="H43" i="3"/>
  <c r="D118" i="3"/>
  <c r="E194" i="3"/>
  <c r="D74" i="3"/>
  <c r="J233" i="3"/>
  <c r="J240" i="3" s="1"/>
  <c r="J241" i="3" s="1"/>
  <c r="J8" i="3"/>
  <c r="J15" i="3" s="1"/>
  <c r="J16" i="3" s="1"/>
  <c r="F43" i="3"/>
  <c r="G74" i="3"/>
  <c r="J108" i="3"/>
  <c r="I150" i="3"/>
  <c r="I151" i="3" s="1"/>
  <c r="F178" i="3"/>
  <c r="M20" i="2" s="1" a="1"/>
  <c r="M20" i="2" s="1"/>
  <c r="D178" i="3"/>
  <c r="J303" i="3"/>
  <c r="J188" i="3"/>
  <c r="J195" i="3" s="1"/>
  <c r="J196" i="3" s="1"/>
  <c r="J266" i="3"/>
  <c r="J52" i="3"/>
  <c r="J59" i="3" s="1"/>
  <c r="I103" i="3"/>
  <c r="H103" i="3"/>
  <c r="J109" i="3"/>
  <c r="H134" i="3"/>
  <c r="I127" i="3"/>
  <c r="I134" i="3" s="1"/>
  <c r="J185" i="3"/>
  <c r="D223" i="3"/>
  <c r="J244" i="3"/>
  <c r="D208" i="3"/>
  <c r="J86" i="3"/>
  <c r="G103" i="3"/>
  <c r="J67" i="3"/>
  <c r="S5" i="1" a="1"/>
  <c r="S5" i="1" s="1"/>
  <c r="S6" i="1" a="1"/>
  <c r="S6" i="1" s="1"/>
  <c r="S7" i="1" a="1"/>
  <c r="S7" i="1" s="1"/>
  <c r="S8" i="1" a="1"/>
  <c r="S8" i="1" s="1"/>
  <c r="S9" i="1" a="1"/>
  <c r="S9" i="1" s="1"/>
  <c r="S10" i="1" a="1"/>
  <c r="S10" i="1" s="1"/>
  <c r="S11" i="1" a="1"/>
  <c r="S11" i="1" s="1"/>
  <c r="S12" i="1" a="1"/>
  <c r="S12" i="1" s="1"/>
  <c r="S13" i="1" a="1"/>
  <c r="S13" i="1" s="1"/>
  <c r="S14" i="1" a="1"/>
  <c r="S14" i="1" s="1"/>
  <c r="S15" i="1" a="1"/>
  <c r="S15" i="1" s="1"/>
  <c r="S16" i="1" a="1"/>
  <c r="S16" i="1" s="1"/>
  <c r="S17" i="1" a="1"/>
  <c r="S17" i="1" s="1"/>
  <c r="S18" i="1" a="1"/>
  <c r="S18" i="1" s="1"/>
  <c r="S19" i="1" a="1"/>
  <c r="S19" i="1" s="1"/>
  <c r="S20" i="1" a="1"/>
  <c r="S20" i="1" s="1"/>
  <c r="S21" i="1" a="1"/>
  <c r="S21" i="1" s="1"/>
  <c r="S22" i="1" a="1"/>
  <c r="S22" i="1" s="1"/>
  <c r="S23" i="1" a="1"/>
  <c r="S23" i="1" s="1"/>
  <c r="S24" i="1" a="1"/>
  <c r="S24" i="1" s="1"/>
  <c r="S25" i="1" a="1"/>
  <c r="S25" i="1" s="1"/>
  <c r="R5" i="1" a="1"/>
  <c r="R5" i="1" s="1"/>
  <c r="R6" i="1" a="1"/>
  <c r="R6" i="1" s="1"/>
  <c r="R7" i="1" a="1"/>
  <c r="R7" i="1" s="1"/>
  <c r="R8" i="1" a="1"/>
  <c r="R8" i="1" s="1"/>
  <c r="R9" i="1" a="1"/>
  <c r="R9" i="1" s="1"/>
  <c r="R10" i="1" a="1"/>
  <c r="R10" i="1" s="1"/>
  <c r="R11" i="1" a="1"/>
  <c r="R11" i="1" s="1"/>
  <c r="R12" i="1" a="1"/>
  <c r="R12" i="1" s="1"/>
  <c r="R13" i="1" a="1"/>
  <c r="R13" i="1" s="1"/>
  <c r="R14" i="1" a="1"/>
  <c r="R14" i="1" s="1"/>
  <c r="R15" i="1" a="1"/>
  <c r="R15" i="1" s="1"/>
  <c r="R16" i="1" a="1"/>
  <c r="R16" i="1" s="1"/>
  <c r="R17" i="1" a="1"/>
  <c r="R17" i="1" s="1"/>
  <c r="R18" i="1" a="1"/>
  <c r="R18" i="1" s="1"/>
  <c r="R19" i="1" a="1"/>
  <c r="R19" i="1" s="1"/>
  <c r="R20" i="1" a="1"/>
  <c r="R20" i="1" s="1"/>
  <c r="R21" i="1" a="1"/>
  <c r="R21" i="1" s="1"/>
  <c r="R22" i="1" a="1"/>
  <c r="R22" i="1" s="1"/>
  <c r="R23" i="1" a="1"/>
  <c r="R23" i="1" s="1"/>
  <c r="R24" i="1" a="1"/>
  <c r="R24" i="1" s="1"/>
  <c r="R25" i="1" a="1"/>
  <c r="R25" i="1" s="1"/>
  <c r="Q5" i="1" a="1"/>
  <c r="Q5" i="1" s="1"/>
  <c r="Q6" i="1" a="1"/>
  <c r="Q6" i="1" s="1"/>
  <c r="Q7" i="1" a="1"/>
  <c r="Q7" i="1"/>
  <c r="Q8" i="1" a="1"/>
  <c r="Q8" i="1" s="1"/>
  <c r="Q9" i="1" a="1"/>
  <c r="Q9" i="1" s="1"/>
  <c r="Q10" i="1" a="1"/>
  <c r="Q10" i="1" s="1"/>
  <c r="Q11" i="1" a="1"/>
  <c r="Q11" i="1" s="1"/>
  <c r="Q12" i="1" a="1"/>
  <c r="Q12" i="1" s="1"/>
  <c r="Q13" i="1" a="1"/>
  <c r="Q13" i="1" s="1"/>
  <c r="Q14" i="1" a="1"/>
  <c r="Q14" i="1" s="1"/>
  <c r="Q15" i="1" a="1"/>
  <c r="Q15" i="1" s="1"/>
  <c r="Q16" i="1" a="1"/>
  <c r="Q16" i="1" s="1"/>
  <c r="Q17" i="1" a="1"/>
  <c r="Q17" i="1" s="1"/>
  <c r="Q18" i="1" a="1"/>
  <c r="Q18" i="1" s="1"/>
  <c r="Q19" i="1" a="1"/>
  <c r="Q19" i="1" s="1"/>
  <c r="Q20" i="1" a="1"/>
  <c r="Q20" i="1" s="1"/>
  <c r="Q21" i="1" a="1"/>
  <c r="Q21" i="1" s="1"/>
  <c r="Q22" i="1" a="1"/>
  <c r="Q22" i="1" s="1"/>
  <c r="Q23" i="1" a="1"/>
  <c r="Q23" i="1" s="1"/>
  <c r="Q24" i="1" a="1"/>
  <c r="Q24" i="1" s="1"/>
  <c r="Q25" i="1" a="1"/>
  <c r="Q25" i="1" s="1"/>
  <c r="P5" i="1" a="1"/>
  <c r="P5" i="1" s="1"/>
  <c r="P6" i="1" a="1"/>
  <c r="P6" i="1" s="1"/>
  <c r="P7" i="1" a="1"/>
  <c r="P7" i="1" s="1"/>
  <c r="P8" i="1" a="1"/>
  <c r="P8" i="1" s="1"/>
  <c r="P9" i="1" a="1"/>
  <c r="P9" i="1" s="1"/>
  <c r="P10" i="1" a="1"/>
  <c r="P10" i="1" s="1"/>
  <c r="P11" i="1" a="1"/>
  <c r="P11" i="1" s="1"/>
  <c r="P12" i="1" a="1"/>
  <c r="P12" i="1" s="1"/>
  <c r="P13" i="1" a="1"/>
  <c r="P13" i="1" s="1"/>
  <c r="P14" i="1" a="1"/>
  <c r="P14" i="1" s="1"/>
  <c r="P15" i="1" a="1"/>
  <c r="P15" i="1" s="1"/>
  <c r="P16" i="1" a="1"/>
  <c r="P16" i="1" s="1"/>
  <c r="P17" i="1" a="1"/>
  <c r="P17" i="1" s="1"/>
  <c r="P18" i="1" a="1"/>
  <c r="P18" i="1" s="1"/>
  <c r="P19" i="1" a="1"/>
  <c r="P19" i="1" s="1"/>
  <c r="P20" i="1" a="1"/>
  <c r="P20" i="1" s="1"/>
  <c r="P21" i="1" a="1"/>
  <c r="P21" i="1" s="1"/>
  <c r="P22" i="1" a="1"/>
  <c r="P22" i="1" s="1"/>
  <c r="P23" i="1" a="1"/>
  <c r="P23" i="1" s="1"/>
  <c r="P24" i="1" a="1"/>
  <c r="P24" i="1" s="1"/>
  <c r="P25" i="1" a="1"/>
  <c r="P25" i="1" s="1"/>
  <c r="D16" i="11"/>
  <c r="C16" i="11"/>
  <c r="B16" i="11"/>
  <c r="J16" i="11"/>
  <c r="K16" i="11"/>
  <c r="S16" i="11"/>
  <c r="R16" i="11"/>
  <c r="Q16" i="11"/>
  <c r="P16" i="11"/>
  <c r="O16" i="11"/>
  <c r="N16" i="11"/>
  <c r="M16" i="11"/>
  <c r="L16" i="11"/>
  <c r="I16" i="11"/>
  <c r="H16" i="11"/>
  <c r="F16" i="11"/>
  <c r="E16" i="11"/>
  <c r="B11" i="11"/>
  <c r="C11" i="11" s="1"/>
  <c r="D11" i="11" s="1"/>
  <c r="E11" i="11" s="1"/>
  <c r="F11" i="11" s="1"/>
  <c r="H11" i="11" s="1"/>
  <c r="I11" i="11" s="1"/>
  <c r="J11" i="11" s="1"/>
  <c r="K11" i="11" s="1"/>
  <c r="L11" i="11" s="1"/>
  <c r="M11" i="11" s="1"/>
  <c r="N11" i="11" s="1"/>
  <c r="O11" i="11" s="1"/>
  <c r="P11" i="11" s="1"/>
  <c r="Q11" i="11" s="1"/>
  <c r="R11" i="11" s="1"/>
  <c r="S11" i="11" s="1"/>
  <c r="B4" i="11"/>
  <c r="C4" i="11"/>
  <c r="B6" i="11"/>
  <c r="B3" i="11"/>
  <c r="C3" i="11" s="1"/>
  <c r="C7" i="11" s="1"/>
  <c r="L6" i="1" a="1"/>
  <c r="L6" i="1" s="1"/>
  <c r="M6" i="1" a="1"/>
  <c r="M6" i="1" s="1"/>
  <c r="N6" i="1" a="1"/>
  <c r="N6" i="1" s="1"/>
  <c r="O6" i="1" a="1"/>
  <c r="O6" i="1" s="1"/>
  <c r="L7" i="1" a="1"/>
  <c r="L7" i="1" s="1"/>
  <c r="M7" i="1" a="1"/>
  <c r="M7" i="1" s="1"/>
  <c r="N7" i="1" a="1"/>
  <c r="N7" i="1" s="1"/>
  <c r="L8" i="1" a="1"/>
  <c r="L8" i="1" s="1"/>
  <c r="M8" i="1" a="1"/>
  <c r="M8" i="1" s="1"/>
  <c r="N8" i="1" a="1"/>
  <c r="N8" i="1" s="1"/>
  <c r="O8" i="1" a="1"/>
  <c r="O8" i="1" s="1"/>
  <c r="L9" i="1" a="1"/>
  <c r="L9" i="1" s="1"/>
  <c r="M9" i="1" a="1"/>
  <c r="M9" i="1" s="1"/>
  <c r="N9" i="1" a="1"/>
  <c r="N9" i="1" s="1"/>
  <c r="O9" i="1" a="1"/>
  <c r="O9" i="1" s="1"/>
  <c r="L10" i="1" a="1"/>
  <c r="L10" i="1" s="1"/>
  <c r="M10" i="1" a="1"/>
  <c r="M10" i="1" s="1"/>
  <c r="N10" i="1" a="1"/>
  <c r="N10" i="1" s="1"/>
  <c r="O10" i="1" a="1"/>
  <c r="O10" i="1" s="1"/>
  <c r="L11" i="1" a="1"/>
  <c r="L11" i="1" s="1"/>
  <c r="M11" i="1" a="1"/>
  <c r="M11" i="1" s="1"/>
  <c r="N11" i="1" a="1"/>
  <c r="N11" i="1" s="1"/>
  <c r="O11" i="1" a="1"/>
  <c r="O11" i="1" s="1"/>
  <c r="L12" i="1" a="1"/>
  <c r="L12" i="1" s="1"/>
  <c r="M12" i="1" a="1"/>
  <c r="M12" i="1" s="1"/>
  <c r="N12" i="1" a="1"/>
  <c r="N12" i="1" s="1"/>
  <c r="O12" i="1" a="1"/>
  <c r="O12" i="1" s="1"/>
  <c r="G5" i="11" s="1"/>
  <c r="L13" i="1" a="1"/>
  <c r="L13" i="1" s="1"/>
  <c r="M13" i="1" a="1"/>
  <c r="M13" i="1" s="1"/>
  <c r="N13" i="1" a="1"/>
  <c r="N13" i="1" s="1"/>
  <c r="O13" i="1" a="1"/>
  <c r="O13" i="1" s="1"/>
  <c r="L14" i="1" a="1"/>
  <c r="L14" i="1" s="1"/>
  <c r="M14" i="1" a="1"/>
  <c r="M14" i="1" s="1"/>
  <c r="N14" i="1" a="1"/>
  <c r="N14" i="1" s="1"/>
  <c r="O14" i="1" a="1"/>
  <c r="O14" i="1" s="1"/>
  <c r="L15" i="1" a="1"/>
  <c r="L15" i="1" s="1"/>
  <c r="M15" i="1" a="1"/>
  <c r="M15" i="1" s="1"/>
  <c r="N15" i="1" a="1"/>
  <c r="N15" i="1" s="1"/>
  <c r="O15" i="1" a="1"/>
  <c r="O15" i="1" s="1"/>
  <c r="L16" i="1" a="1"/>
  <c r="L16" i="1" s="1"/>
  <c r="M16" i="1" a="1"/>
  <c r="M16" i="1" s="1"/>
  <c r="N16" i="1" a="1"/>
  <c r="N16" i="1" s="1"/>
  <c r="L17" i="1" a="1"/>
  <c r="L17" i="1" s="1"/>
  <c r="M17" i="1" a="1"/>
  <c r="M17" i="1" s="1"/>
  <c r="N17" i="1" a="1"/>
  <c r="N17" i="1" s="1"/>
  <c r="O17" i="1" a="1"/>
  <c r="O17" i="1" s="1"/>
  <c r="L18" i="1" a="1"/>
  <c r="L18" i="1" s="1"/>
  <c r="M18" i="1" a="1"/>
  <c r="M18" i="1" s="1"/>
  <c r="N18" i="1" a="1"/>
  <c r="N18" i="1" s="1"/>
  <c r="O18" i="1" a="1"/>
  <c r="O18" i="1" s="1"/>
  <c r="L19" i="1" a="1"/>
  <c r="L19" i="1" s="1"/>
  <c r="M19" i="1" a="1"/>
  <c r="M19" i="1" s="1"/>
  <c r="N19" i="1" a="1"/>
  <c r="N19" i="1" s="1"/>
  <c r="O19" i="1" a="1"/>
  <c r="O19" i="1" s="1"/>
  <c r="G6" i="11" s="1"/>
  <c r="L20" i="1" a="1"/>
  <c r="L20" i="1" s="1"/>
  <c r="M20" i="1" a="1"/>
  <c r="M20" i="1" s="1"/>
  <c r="N20" i="1" a="1"/>
  <c r="N20" i="1" s="1"/>
  <c r="L21" i="1" a="1"/>
  <c r="L21" i="1" s="1"/>
  <c r="M21" i="1" a="1"/>
  <c r="M21" i="1" s="1"/>
  <c r="N21" i="1" a="1"/>
  <c r="N21" i="1" s="1"/>
  <c r="O21" i="1" a="1"/>
  <c r="O21" i="1" s="1"/>
  <c r="L22" i="1" a="1"/>
  <c r="L22" i="1" s="1"/>
  <c r="M22" i="1" a="1"/>
  <c r="M22" i="1" s="1"/>
  <c r="N22" i="1" a="1"/>
  <c r="N22" i="1" s="1"/>
  <c r="O22" i="1" a="1"/>
  <c r="O22" i="1" s="1"/>
  <c r="L23" i="1" a="1"/>
  <c r="L23" i="1" s="1"/>
  <c r="M23" i="1" a="1"/>
  <c r="M23" i="1" s="1"/>
  <c r="N23" i="1" a="1"/>
  <c r="N23" i="1" s="1"/>
  <c r="O23" i="1" a="1"/>
  <c r="O23" i="1" s="1"/>
  <c r="L24" i="1" a="1"/>
  <c r="L24" i="1" s="1"/>
  <c r="M24" i="1" a="1"/>
  <c r="M24" i="1" s="1"/>
  <c r="N24" i="1" a="1"/>
  <c r="N24" i="1" s="1"/>
  <c r="O24" i="1" a="1"/>
  <c r="O24" i="1" s="1"/>
  <c r="G7" i="11" s="1"/>
  <c r="L25" i="1" a="1"/>
  <c r="L25" i="1" s="1"/>
  <c r="M25" i="1" a="1"/>
  <c r="M25" i="1" s="1"/>
  <c r="N25" i="1" a="1"/>
  <c r="N25" i="1" s="1"/>
  <c r="O25" i="1" a="1"/>
  <c r="O25" i="1" s="1"/>
  <c r="O5" i="1" a="1"/>
  <c r="O5" i="1" s="1"/>
  <c r="N5" i="1" a="1"/>
  <c r="N5" i="1" s="1"/>
  <c r="M5" i="1" a="1"/>
  <c r="M5" i="1" s="1"/>
  <c r="L5" i="1" a="1"/>
  <c r="L5" i="1" s="1"/>
  <c r="X26" i="1"/>
  <c r="W26" i="1"/>
  <c r="V26" i="1"/>
  <c r="U26" i="1"/>
  <c r="T26" i="1"/>
  <c r="J156" i="3" l="1"/>
  <c r="J163" i="3" s="1"/>
  <c r="AO42" i="11"/>
  <c r="P34" i="11"/>
  <c r="O20" i="1" a="1"/>
  <c r="O20" i="1" s="1"/>
  <c r="D34" i="11"/>
  <c r="V28" i="11"/>
  <c r="J284" i="3"/>
  <c r="B28" i="11"/>
  <c r="AF34" i="11"/>
  <c r="AR34" i="11"/>
  <c r="V43" i="11"/>
  <c r="J210" i="3"/>
  <c r="J211" i="3" s="1"/>
  <c r="BA44" i="11"/>
  <c r="J158" i="3"/>
  <c r="J165" i="3" s="1"/>
  <c r="J166" i="3" s="1"/>
  <c r="J126" i="3"/>
  <c r="AL34" i="11"/>
  <c r="O34" i="11"/>
  <c r="J268" i="3"/>
  <c r="AP34" i="11"/>
  <c r="I45" i="3"/>
  <c r="I46" i="3" s="1"/>
  <c r="J7" i="3"/>
  <c r="J14" i="3" s="1"/>
  <c r="O16" i="1" a="1"/>
  <c r="O16" i="1" s="1"/>
  <c r="J104" i="3"/>
  <c r="P28" i="11"/>
  <c r="H28" i="11"/>
  <c r="AF28" i="11"/>
  <c r="AJ28" i="11"/>
  <c r="O7" i="1" a="1"/>
  <c r="O7" i="1" s="1"/>
  <c r="D20" i="2" a="1"/>
  <c r="D20" i="2" s="1"/>
  <c r="Y43" i="11"/>
  <c r="J172" i="3"/>
  <c r="J179" i="3" s="1"/>
  <c r="AP28" i="11"/>
  <c r="AS28" i="11"/>
  <c r="BB34" i="11"/>
  <c r="AH28" i="11"/>
  <c r="J208" i="3"/>
  <c r="J180" i="3"/>
  <c r="J181" i="3" s="1"/>
  <c r="L34" i="11"/>
  <c r="Y28" i="11"/>
  <c r="BA28" i="11"/>
  <c r="AD28" i="11"/>
  <c r="J83" i="3"/>
  <c r="J90" i="3" s="1"/>
  <c r="J91" i="3" s="1"/>
  <c r="AH46" i="11"/>
  <c r="BG28" i="11"/>
  <c r="L28" i="11"/>
  <c r="AJ43" i="11"/>
  <c r="C34" i="11"/>
  <c r="K45" i="11"/>
  <c r="S40" i="11"/>
  <c r="Y44" i="11"/>
  <c r="AC42" i="11"/>
  <c r="AC34" i="11"/>
  <c r="Q28" i="11"/>
  <c r="AR28" i="11"/>
  <c r="BB28" i="11"/>
  <c r="BE40" i="11"/>
  <c r="W28" i="11"/>
  <c r="T28" i="11"/>
  <c r="M40" i="11"/>
  <c r="AK40" i="11"/>
  <c r="BG40" i="11"/>
  <c r="R34" i="11"/>
  <c r="B44" i="11"/>
  <c r="S43" i="11"/>
  <c r="V42" i="11"/>
  <c r="N34" i="11"/>
  <c r="BG42" i="11"/>
  <c r="AV45" i="11"/>
  <c r="AA42" i="11"/>
  <c r="AA34" i="11"/>
  <c r="BD40" i="11"/>
  <c r="E28" i="11"/>
  <c r="AU28" i="11"/>
  <c r="F28" i="11"/>
  <c r="AT40" i="11"/>
  <c r="E40" i="11"/>
  <c r="Q40" i="11"/>
  <c r="BE45" i="11"/>
  <c r="BE46" i="11" s="1"/>
  <c r="Q45" i="11"/>
  <c r="H44" i="11"/>
  <c r="AZ45" i="11"/>
  <c r="BA42" i="11"/>
  <c r="AB40" i="11"/>
  <c r="BI43" i="11"/>
  <c r="BI46" i="11" s="1"/>
  <c r="BG43" i="11"/>
  <c r="BG44" i="11"/>
  <c r="AA28" i="11"/>
  <c r="BC28" i="11"/>
  <c r="AX34" i="11"/>
  <c r="AX42" i="11"/>
  <c r="Z40" i="11"/>
  <c r="AY40" i="11"/>
  <c r="M43" i="11"/>
  <c r="AK45" i="11"/>
  <c r="AK46" i="11" s="1"/>
  <c r="E34" i="11"/>
  <c r="AF45" i="11"/>
  <c r="AG42" i="11"/>
  <c r="AG43" i="11"/>
  <c r="BH34" i="11"/>
  <c r="BH42" i="11"/>
  <c r="AP40" i="11"/>
  <c r="AC28" i="11"/>
  <c r="AT45" i="11"/>
  <c r="AH34" i="11"/>
  <c r="BI28" i="11"/>
  <c r="I28" i="11"/>
  <c r="AI28" i="11"/>
  <c r="N28" i="11"/>
  <c r="AD34" i="11"/>
  <c r="AD42" i="11"/>
  <c r="AW34" i="11"/>
  <c r="AW42" i="11"/>
  <c r="BH40" i="11"/>
  <c r="AE40" i="11"/>
  <c r="AE28" i="11"/>
  <c r="AY44" i="11"/>
  <c r="V34" i="11"/>
  <c r="L45" i="11"/>
  <c r="M42" i="11"/>
  <c r="AP42" i="11"/>
  <c r="L42" i="11"/>
  <c r="BD34" i="11"/>
  <c r="L40" i="11"/>
  <c r="AB43" i="11"/>
  <c r="AF42" i="11"/>
  <c r="AW28" i="11"/>
  <c r="C28" i="11"/>
  <c r="AG28" i="11"/>
  <c r="BF28" i="11"/>
  <c r="AN40" i="11"/>
  <c r="K40" i="11"/>
  <c r="AN34" i="11"/>
  <c r="AN42" i="11"/>
  <c r="AE44" i="11"/>
  <c r="AI45" i="11"/>
  <c r="D43" i="11"/>
  <c r="P44" i="11"/>
  <c r="P43" i="11"/>
  <c r="AQ34" i="11"/>
  <c r="AQ42" i="11"/>
  <c r="BD43" i="11"/>
  <c r="AU42" i="11"/>
  <c r="AU34" i="11"/>
  <c r="T34" i="11"/>
  <c r="T42" i="11"/>
  <c r="AZ28" i="11"/>
  <c r="AA44" i="11"/>
  <c r="AM28" i="11"/>
  <c r="F46" i="11"/>
  <c r="S28" i="11"/>
  <c r="AS44" i="11"/>
  <c r="BC42" i="11"/>
  <c r="AR42" i="11"/>
  <c r="AV44" i="11"/>
  <c r="S44" i="11"/>
  <c r="AO28" i="11"/>
  <c r="O28" i="11"/>
  <c r="U34" i="11"/>
  <c r="M28" i="11"/>
  <c r="BC44" i="11"/>
  <c r="AJ40" i="11"/>
  <c r="U28" i="11"/>
  <c r="AL28" i="11"/>
  <c r="AV43" i="11"/>
  <c r="T40" i="11"/>
  <c r="AR40" i="11"/>
  <c r="C40" i="11"/>
  <c r="N43" i="11"/>
  <c r="Y34" i="11"/>
  <c r="O45" i="11"/>
  <c r="AJ42" i="11"/>
  <c r="Z44" i="11"/>
  <c r="AW45" i="11"/>
  <c r="Q44" i="11"/>
  <c r="AZ43" i="11"/>
  <c r="R43" i="11"/>
  <c r="AC43" i="11"/>
  <c r="AV42" i="11"/>
  <c r="AV34" i="11"/>
  <c r="AL46" i="11"/>
  <c r="P40" i="11"/>
  <c r="J28" i="11"/>
  <c r="AO43" i="11"/>
  <c r="AO46" i="11" s="1"/>
  <c r="BE28" i="11"/>
  <c r="D42" i="11"/>
  <c r="V40" i="11"/>
  <c r="M34" i="11"/>
  <c r="BA40" i="11"/>
  <c r="AI42" i="11"/>
  <c r="B43" i="11"/>
  <c r="AG40" i="11"/>
  <c r="D28" i="11"/>
  <c r="AB42" i="11"/>
  <c r="AB34" i="11"/>
  <c r="G4" i="11"/>
  <c r="G8" i="11" s="1"/>
  <c r="AO34" i="11"/>
  <c r="AT43" i="11"/>
  <c r="AU43" i="11"/>
  <c r="R28" i="11"/>
  <c r="R45" i="11"/>
  <c r="R46" i="11" s="1"/>
  <c r="AZ42" i="11"/>
  <c r="V44" i="11"/>
  <c r="BB40" i="11"/>
  <c r="X40" i="11"/>
  <c r="AW40" i="11"/>
  <c r="AX43" i="11"/>
  <c r="BG34" i="11"/>
  <c r="AW44" i="11"/>
  <c r="P42" i="11"/>
  <c r="BH43" i="11"/>
  <c r="AC45" i="11"/>
  <c r="BA43" i="11"/>
  <c r="BF43" i="11"/>
  <c r="BF46" i="11" s="1"/>
  <c r="AD43" i="11"/>
  <c r="J42" i="11"/>
  <c r="K28" i="11"/>
  <c r="AY34" i="11"/>
  <c r="AY42" i="11"/>
  <c r="R44" i="11"/>
  <c r="AT28" i="11"/>
  <c r="U43" i="11"/>
  <c r="B34" i="11"/>
  <c r="X28" i="11"/>
  <c r="O42" i="11"/>
  <c r="BF34" i="11"/>
  <c r="AI34" i="11"/>
  <c r="BI34" i="11"/>
  <c r="AF43" i="11"/>
  <c r="T44" i="11"/>
  <c r="U44" i="11"/>
  <c r="BF44" i="11"/>
  <c r="AH40" i="11"/>
  <c r="BF40" i="11"/>
  <c r="AC40" i="11"/>
  <c r="AF44" i="11"/>
  <c r="AM34" i="11"/>
  <c r="AC44" i="11"/>
  <c r="AS34" i="11"/>
  <c r="AN43" i="11"/>
  <c r="I45" i="11"/>
  <c r="AA43" i="11"/>
  <c r="H45" i="11"/>
  <c r="AI44" i="11"/>
  <c r="AE43" i="11"/>
  <c r="AM44" i="11"/>
  <c r="L44" i="11"/>
  <c r="J34" i="11"/>
  <c r="Z42" i="11"/>
  <c r="Z34" i="11"/>
  <c r="D40" i="11"/>
  <c r="AE34" i="11"/>
  <c r="AE42" i="11"/>
  <c r="K34" i="11"/>
  <c r="K42" i="11"/>
  <c r="AK28" i="11"/>
  <c r="AV40" i="11"/>
  <c r="D45" i="11"/>
  <c r="AM43" i="11"/>
  <c r="H40" i="11"/>
  <c r="N44" i="11"/>
  <c r="AT42" i="11"/>
  <c r="AT34" i="11"/>
  <c r="AQ28" i="11"/>
  <c r="B40" i="11"/>
  <c r="Y45" i="11"/>
  <c r="N40" i="11"/>
  <c r="AL40" i="11"/>
  <c r="I40" i="11"/>
  <c r="BH44" i="11"/>
  <c r="S34" i="11"/>
  <c r="I44" i="11"/>
  <c r="C44" i="11"/>
  <c r="T43" i="11"/>
  <c r="AQ44" i="11"/>
  <c r="AR45" i="11"/>
  <c r="AR46" i="11" s="1"/>
  <c r="J45" i="11"/>
  <c r="U45" i="11"/>
  <c r="AN44" i="11"/>
  <c r="AS40" i="11"/>
  <c r="AY45" i="11"/>
  <c r="H42" i="11"/>
  <c r="H34" i="11"/>
  <c r="Y40" i="11"/>
  <c r="AE45" i="11"/>
  <c r="BB43" i="11"/>
  <c r="AZ34" i="11"/>
  <c r="Q34" i="11"/>
  <c r="AK34" i="11"/>
  <c r="Z28" i="11"/>
  <c r="BE34" i="11"/>
  <c r="BH28" i="11"/>
  <c r="AM40" i="11"/>
  <c r="AG34" i="11"/>
  <c r="AN28" i="11"/>
  <c r="AM42" i="11"/>
  <c r="I43" i="11"/>
  <c r="AU45" i="11"/>
  <c r="BC34" i="11"/>
  <c r="C42" i="11"/>
  <c r="AX28" i="11"/>
  <c r="BD44" i="11"/>
  <c r="AV28" i="11"/>
  <c r="X34" i="11"/>
  <c r="W34" i="11"/>
  <c r="W42" i="11"/>
  <c r="BD28" i="11"/>
  <c r="O44" i="11"/>
  <c r="AL45" i="11"/>
  <c r="AB28" i="11"/>
  <c r="I42" i="11"/>
  <c r="I34" i="11"/>
  <c r="X42" i="11"/>
  <c r="X46" i="11" s="1"/>
  <c r="C43" i="11"/>
  <c r="AY28" i="11"/>
  <c r="AU40" i="11"/>
  <c r="F40" i="11"/>
  <c r="R40" i="11"/>
  <c r="BG45" i="11"/>
  <c r="AP45" i="11"/>
  <c r="F34" i="11"/>
  <c r="AQ43" i="11"/>
  <c r="BA45" i="11"/>
  <c r="BB42" i="11"/>
  <c r="W44" i="11"/>
  <c r="W45" i="11"/>
  <c r="E45" i="11"/>
  <c r="E46" i="11" s="1"/>
  <c r="AS45" i="11"/>
  <c r="AX45" i="11"/>
  <c r="V45" i="11"/>
  <c r="B7" i="11"/>
  <c r="C6" i="11"/>
  <c r="C5" i="11"/>
  <c r="B5" i="11"/>
  <c r="I148" i="3"/>
  <c r="J141" i="3"/>
  <c r="J148" i="3" s="1"/>
  <c r="J127" i="3"/>
  <c r="J134" i="3" s="1"/>
  <c r="J133" i="3"/>
  <c r="J186" i="3"/>
  <c r="J193" i="3" s="1"/>
  <c r="J103" i="3"/>
  <c r="J150" i="3"/>
  <c r="J151" i="3" s="1"/>
  <c r="J178" i="3"/>
  <c r="J75" i="3"/>
  <c r="J76" i="3" s="1"/>
  <c r="J269" i="3"/>
  <c r="J247" i="3"/>
  <c r="J254" i="3" s="1"/>
  <c r="J73" i="3"/>
  <c r="J270" i="3"/>
  <c r="J271" i="3" s="1"/>
  <c r="I74" i="3"/>
  <c r="I299" i="3"/>
  <c r="J292" i="3"/>
  <c r="J299" i="3" s="1"/>
  <c r="J217" i="3"/>
  <c r="J224" i="3" s="1"/>
  <c r="J74" i="3"/>
  <c r="J202" i="3"/>
  <c r="J209" i="3" s="1"/>
  <c r="J28" i="3"/>
  <c r="I149" i="3"/>
  <c r="J142" i="3"/>
  <c r="J149" i="3" s="1"/>
  <c r="J194" i="3"/>
  <c r="J70" i="3"/>
  <c r="R26" i="1"/>
  <c r="Q26" i="1"/>
  <c r="P26" i="1"/>
  <c r="S26" i="1"/>
  <c r="D3" i="11"/>
  <c r="L26" i="1"/>
  <c r="M26" i="1"/>
  <c r="N26" i="1"/>
  <c r="Q46" i="11" l="1"/>
  <c r="O26" i="1"/>
  <c r="U46" i="11"/>
  <c r="B46" i="11"/>
  <c r="AD46" i="11"/>
  <c r="Y46" i="11"/>
  <c r="J46" i="11"/>
  <c r="P46" i="11"/>
  <c r="AI46" i="11"/>
  <c r="N46" i="11"/>
  <c r="W46" i="11"/>
  <c r="AT46" i="11"/>
  <c r="D46" i="11"/>
  <c r="S46" i="11"/>
  <c r="H46" i="11"/>
  <c r="AQ46" i="11"/>
  <c r="AU46" i="11"/>
  <c r="AA46" i="11"/>
  <c r="AV46" i="11"/>
  <c r="AW46" i="11"/>
  <c r="Z46" i="11"/>
  <c r="BC46" i="11"/>
  <c r="AJ46" i="11"/>
  <c r="AS46" i="11"/>
  <c r="O46" i="11"/>
  <c r="C46" i="11"/>
  <c r="AF46" i="11"/>
  <c r="AZ46" i="11"/>
  <c r="V46" i="11"/>
  <c r="AM46" i="11"/>
  <c r="BD46" i="11"/>
  <c r="AX46" i="11"/>
  <c r="BG46" i="11"/>
  <c r="AN46" i="11"/>
  <c r="AY46" i="11"/>
  <c r="L46" i="11"/>
  <c r="BH46" i="11"/>
  <c r="AP46" i="11"/>
  <c r="K46" i="11"/>
  <c r="T46" i="11"/>
  <c r="BA46" i="11"/>
  <c r="BB46" i="11"/>
  <c r="AC46" i="11"/>
  <c r="M46" i="11"/>
  <c r="I46" i="11"/>
  <c r="AE46" i="11"/>
  <c r="AB46" i="11"/>
  <c r="AG46" i="11"/>
  <c r="B8" i="11"/>
  <c r="D7" i="11"/>
  <c r="D4" i="11"/>
  <c r="D5" i="11"/>
  <c r="D6" i="11"/>
  <c r="C8" i="11"/>
  <c r="E3" i="11"/>
  <c r="E7" i="11" l="1"/>
  <c r="E4" i="11"/>
  <c r="E6" i="11"/>
  <c r="E5" i="11"/>
  <c r="F3" i="11"/>
  <c r="D8" i="11"/>
  <c r="E8" i="11" l="1"/>
  <c r="F6" i="11"/>
  <c r="F7" i="11"/>
  <c r="F5" i="11"/>
  <c r="F4" i="11"/>
  <c r="H3" i="11" l="1"/>
  <c r="F8" i="11"/>
  <c r="H5" i="11" l="1"/>
  <c r="H4" i="11"/>
  <c r="H6" i="11"/>
  <c r="H7" i="11"/>
  <c r="I3" i="11"/>
  <c r="H8" i="11" l="1"/>
  <c r="I4" i="11"/>
  <c r="I7" i="11"/>
  <c r="I5" i="11"/>
  <c r="I6" i="11"/>
  <c r="J3" i="11"/>
  <c r="J4" i="11" l="1"/>
  <c r="J6" i="11"/>
  <c r="J7" i="11"/>
  <c r="J5" i="11"/>
  <c r="K3" i="11"/>
  <c r="I8" i="11"/>
  <c r="K6" i="11" l="1"/>
  <c r="K7" i="11"/>
  <c r="K5" i="11"/>
  <c r="K4" i="11"/>
  <c r="L3" i="11"/>
  <c r="J8" i="11"/>
  <c r="L4" i="11" l="1"/>
  <c r="L5" i="11"/>
  <c r="L6" i="11"/>
  <c r="L7" i="11"/>
  <c r="M3" i="11"/>
  <c r="K8" i="11"/>
  <c r="M4" i="11" l="1"/>
  <c r="M5" i="11"/>
  <c r="M6" i="11"/>
  <c r="M7" i="11"/>
  <c r="N3" i="11"/>
  <c r="L8" i="11"/>
  <c r="M8" i="11" l="1"/>
  <c r="N5" i="11"/>
  <c r="N7" i="11"/>
  <c r="N6" i="11"/>
  <c r="N4" i="11"/>
  <c r="O3" i="11"/>
  <c r="O5" i="11" l="1"/>
  <c r="O7" i="11"/>
  <c r="O4" i="11"/>
  <c r="O6" i="11"/>
  <c r="N8" i="11"/>
  <c r="P3" i="11"/>
  <c r="O8" i="11" l="1"/>
  <c r="P4" i="11"/>
  <c r="P7" i="11"/>
  <c r="P5" i="11"/>
  <c r="P6" i="11"/>
  <c r="Q3" i="11"/>
  <c r="P8" i="11" l="1"/>
  <c r="Q5" i="11"/>
  <c r="Q7" i="11"/>
  <c r="Q6" i="11"/>
  <c r="Q4" i="11"/>
  <c r="R3" i="11"/>
  <c r="Q8" i="11" l="1"/>
  <c r="R7" i="11"/>
  <c r="R4" i="11"/>
  <c r="R6" i="11"/>
  <c r="R5" i="11"/>
  <c r="S3" i="11"/>
  <c r="R8" i="11" l="1"/>
  <c r="S7" i="11"/>
  <c r="S5" i="11"/>
  <c r="S4" i="11"/>
  <c r="S6" i="11"/>
  <c r="S8" i="1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<sst xmlns="http://schemas.openxmlformats.org/spreadsheetml/2006/main" count="11393" uniqueCount="1116">
  <si>
    <t>Initiative Portfolio — Consolidated Overview</t>
  </si>
  <si>
    <t>Reference</t>
  </si>
  <si>
    <t>Initiative</t>
  </si>
  <si>
    <t>Workstream</t>
  </si>
  <si>
    <t>Business Units</t>
  </si>
  <si>
    <t>Type</t>
  </si>
  <si>
    <t>Tag</t>
  </si>
  <si>
    <t>Stage</t>
  </si>
  <si>
    <t>RAG</t>
  </si>
  <si>
    <t>Priority</t>
  </si>
  <si>
    <t>Owner</t>
  </si>
  <si>
    <t>Planned Start</t>
  </si>
  <si>
    <t>Planned Completion</t>
  </si>
  <si>
    <t>Cost Plan
(USD m)</t>
  </si>
  <si>
    <t>Mile-
stones</t>
  </si>
  <si>
    <t>KPIs</t>
  </si>
  <si>
    <t>Risks</t>
  </si>
  <si>
    <t>Actions</t>
  </si>
  <si>
    <t>Updates</t>
  </si>
  <si>
    <t>TOR-1</t>
  </si>
  <si>
    <t>CAL Accounting System Integration &amp; Automation</t>
  </si>
  <si>
    <t>Westmark Region</t>
  </si>
  <si>
    <t>CAL</t>
  </si>
  <si>
    <t>revenue</t>
  </si>
  <si>
    <t>automation</t>
  </si>
  <si>
    <t>green</t>
  </si>
  <si>
    <t>high</t>
  </si>
  <si>
    <t>Dana Reyes</t>
  </si>
  <si>
    <t>Arman Saputra</t>
  </si>
  <si>
    <t>TOR-2</t>
  </si>
  <si>
    <t>CAL CoSec System Implementation, Integration &amp; Automation</t>
  </si>
  <si>
    <t>Olivia Tan</t>
  </si>
  <si>
    <t>TOR-3</t>
  </si>
  <si>
    <t>cost_reduction</t>
  </si>
  <si>
    <t>offshoring</t>
  </si>
  <si>
    <t>Marcus Lee</t>
  </si>
  <si>
    <t>TOR-4</t>
  </si>
  <si>
    <t>Verland-Norvia New Logos - FDI</t>
  </si>
  <si>
    <t>VER</t>
  </si>
  <si>
    <t>commercial</t>
  </si>
  <si>
    <t>Lukas Brandt</t>
  </si>
  <si>
    <t>Daniel Foster</t>
  </si>
  <si>
    <t>TOR-5</t>
  </si>
  <si>
    <t>TOR-6</t>
  </si>
  <si>
    <t>[GROUP] Revenue Retention: Reinvent CSM for Proactive Churn Management (Westmark)</t>
  </si>
  <si>
    <t>GROUP, CAL, VER</t>
  </si>
  <si>
    <t>Julien Moreau</t>
  </si>
  <si>
    <t>PORTFOLIO TOTAL</t>
  </si>
  <si>
    <t>Initiative Charter Details</t>
  </si>
  <si>
    <t>Field</t>
  </si>
  <si>
    <t>TOR-1
CAL Accounting System Integration &amp; Automation</t>
  </si>
  <si>
    <t>TOR-2
CAL CoSec System Implementation, Integration &amp; Automation</t>
  </si>
  <si>
    <t>TOR-4
Verland-Norvia New Logos - FDI</t>
  </si>
  <si>
    <t>TOR-6
[GROUP] Revenue Retention: Reinvent CSM for Proactive Churn Management (Westmark)</t>
  </si>
  <si>
    <t>Name</t>
  </si>
  <si>
    <t>RAG Status</t>
  </si>
  <si>
    <t>Initiative Type</t>
  </si>
  <si>
    <t>Initiative Tag</t>
  </si>
  <si>
    <t>Impact Type</t>
  </si>
  <si>
    <t>Value Step</t>
  </si>
  <si>
    <t>Service Line</t>
  </si>
  <si>
    <t>Workstream Lead</t>
  </si>
  <si>
    <t>Workstream Sponsor</t>
  </si>
  <si>
    <t>Planned Completion Date</t>
  </si>
  <si>
    <t>Actual Completion Date</t>
  </si>
  <si>
    <t>Description</t>
  </si>
  <si>
    <t>End‑to‑end accounting process automation by using CoreLedger (or an alternative software) as an enabling platform and/ or additional tools to minimize manual steps across the full workflow - from client data submission and document ingestion to automated posting and final deliverables</t>
  </si>
  <si>
    <t>Accelerate Helix implementation across NA, review implementation status across other markets, and enhance with additional automation use cases within and/ or on-top of the Bluemeg</t>
  </si>
  <si>
    <t>Start by offshoring standard tax compliance work to the Tavel SSC via the Apex platform, then progressively expand scope as capability matures. In parallel, deploy automation and training to improve throughput and quality, with a longer-term pathway to train SSC staff to support selected advisory work under onshore oversight</t>
  </si>
  <si>
    <t>Systematically develop the Norvia market targeting Verland FDI clients 
Build a repeatable GTM engine: target segment definition, channel/partner strategy (associations, conferences, intermediaries), content and sales enablement, and an accountable coverage model with clear KPI</t>
  </si>
  <si>
    <t>Work with group commercial to execute 3 main pillars in the retention program:
• Voice of Customer &amp; Proactive Client Health Scores
• Build a RAG-based health score for all Protect-tier accounts (&gt;$100k FY25 billings, 30-50 per market) across three dimensions: relationship depth, commercial engagement, and service friction.
• Attach risk flags to every Protect and Watch account: no recent commercial contact, open delivery escalation, single-service client, billing friction, contact risk, renewal &lt;90 days, scope contraction.
• Track a leading indicator — commercial coverage rate (% of Protect clients with a commercial touchpoint in the last 30 days). Target: 100%. - Build toward analytics-driven early warning system; manual RAG tracker is sufficient for Months 1-6.
• Retention Cadence &amp; Governance
• Appoint a named Market Retention Owner per market — portfolio-level accountability, not account-level delivery.
• Install a structured operating cadence: weekly portfolio hygiene (2 hrs), monthly health review with finance pull (half-day), quarterly reset with lost-client debrief (full day).
• Embed trigger-based escalation protocols: delivery escalation on Protect account (24 hrs), scope reduction (1 week), key contact change (2 weeks), billing dispute (48 hrs), account owner departure (immediate).
• Group Commercial fortnightly sync across all market retention owners — standing agenda: which Protect-tier accounts are at risk this week.
• Joint RACI Clarity: Group, Market, CSM &amp; Delivery
• Define and ratify group-wide RACI for client retention across Group Commercial, Market Retention Owner, CSM, Account Owner, and Delivery Lead.
• Reframe CSM from reactive NPS/support function to proactive retention taskforce for top clients.
• Define delivery-to-commercial escalation SLAs so that service friction reaches commercial within defined timeframes — not after a contract is already at risk.
• Embed RACI accountability into commercial scorecards (aligned with Pillar 6 — Incentives).</t>
  </si>
  <si>
    <t>Context &amp; Problem</t>
  </si>
  <si>
    <t>CAL Accounting teams currently operate across a mix of on‑premise tools and spreadsheets (e.g., OrchardBooks, GridSheet), with limited integration into the cloud platform (CoreLedger 360)
Many core bookkeeping steps remain manual and time‑consuming (e.g., invoicing, data capture / data entry, reconciliations and preparation of end outputs), driving rework, errors and inconsistent turnaround times
This constrains scalability and limits the ability to absorb growth without adding headcount, while also reducing standardisation and consistency across teams</t>
  </si>
  <si>
    <t>There are currently 4 different systems used by different teams (COS, CSA, VP1 and VP2)
VP1 has been migrated to Helix, while VP2 and other teams remain in progress, facing technical issues during implementation due to resource constraints, Helix support issues</t>
  </si>
  <si>
    <t>Tax compliance work is relatively standardised and can be delivered from a lower-cost shared service centre. To unlock sustainable benefits, offshoring needs to be paired with technology, workflow discipline and targeted automation The Tavel SSC (via Apex platform) provides an established offshore delivery base that can be scaled with the right training and controls</t>
  </si>
  <si>
    <t>We would need to invest at least USD 200,000+ for hiring a new experienced BD Director by latest Q4 2026. However, currently no budget approved to hire.</t>
  </si>
  <si>
    <t>Northgate's overall churn rate is ~11% (89% retention rate) in FY25, which is lagging behind its peers average of 4-8%. Retention management today is fragmented and informal, with no structured framework in place to proactively track customer voice and pre-empt customer churn in a forward looking manner. Today, churn signals sits largely with service delivery team who are neither incentivised nor structured to escalate and act on them commercially. At the same time, commercial team are also not formally incentivised to be at the driving seat in retaining clients, and typically gets involved/informed only when a contract is already at risk.
Structurally, there is no formal mechanisms and motions to track customer health in near real time, structured commercial cadence with clients, named owners, and no agreed RACI between commercial, CSM, and delivery. While there is rich internal data available (e.g. billing data) that could signal churn, they are underutilised and not translated into actions to manage churn risk pre-emptively</t>
  </si>
  <si>
    <t>Value Logic / Assumptions</t>
  </si>
  <si>
    <t>25–30% productivity uplift through system integration and targeted automation Gross margin improvement driven by revenue growth with fixed cost base, enabled by productivity gains</t>
  </si>
  <si>
    <t>15–20% productivity uplift through system integration and targeted automation
Gross margin improvement driven by revenue growth with fixed cost base, enabled by productivity gains</t>
  </si>
  <si>
    <t>Additional FTEs to be invested with ramping up ACV targets</t>
  </si>
  <si>
    <t>ACV &amp; Revenue uplift from new logo acquisition based on market share target assumptions</t>
  </si>
  <si>
    <t>• In FY25, VER's retention rate is 92% while CAL retained 89% (vs Northgate group average of ~89% retention)
• External benchmark suggests best-in-class churn rates of 4-8% (implying retention of 92-96%.)
• Overall target retention rate is 94–95%, representing a 5% uplift from group average retention rate
• To achieve that, VER requires a ~1-2% improvement. CAL requires a ~5-6% improvement.</t>
  </si>
  <si>
    <t>Initiative Value (Base, USD m)</t>
  </si>
  <si>
    <t>Initiative Value (High, USD m)</t>
  </si>
  <si>
    <t>Financial Summary — Annual (USD m, plan basis)</t>
  </si>
  <si>
    <t>Metric</t>
  </si>
  <si>
    <t>FY26</t>
  </si>
  <si>
    <t>FY27</t>
  </si>
  <si>
    <t>FY28</t>
  </si>
  <si>
    <t>FY29</t>
  </si>
  <si>
    <t>FY30</t>
  </si>
  <si>
    <t>FY31</t>
  </si>
  <si>
    <t>All Years</t>
  </si>
  <si>
    <t>Revenue Plan — Base (USD m)</t>
  </si>
  <si>
    <t>Revenue Plan — High (USD m)</t>
  </si>
  <si>
    <t>Revenue Actual (USD m)</t>
  </si>
  <si>
    <t>Gross Margin Plan — Base (USD m)</t>
  </si>
  <si>
    <t>Gross Margin Plan — High (USD m)</t>
  </si>
  <si>
    <t>Gross Margin Actual (USD m)</t>
  </si>
  <si>
    <t>COSTS</t>
  </si>
  <si>
    <t>Cost Plan (USD m)</t>
  </si>
  <si>
    <t>Cost Actual (USD m)</t>
  </si>
  <si>
    <t>NET VALUE</t>
  </si>
  <si>
    <t>Net Value — Plan Base (USD m)</t>
  </si>
  <si>
    <t>Net Value — Plan High (USD m)</t>
  </si>
  <si>
    <t>Net Value — Actual (USD m)</t>
  </si>
  <si>
    <t>ROI (Actual, %)</t>
  </si>
  <si>
    <t>Benefits</t>
  </si>
  <si>
    <t>Lane</t>
  </si>
  <si>
    <t>Benefit Type</t>
  </si>
  <si>
    <t>Denomination</t>
  </si>
  <si>
    <t>P&amp;L Line</t>
  </si>
  <si>
    <t>Timing</t>
  </si>
  <si>
    <t>Confidence</t>
  </si>
  <si>
    <t>_id</t>
  </si>
  <si>
    <t>_value_translation</t>
  </si>
  <si>
    <t>_sort_order</t>
  </si>
  <si>
    <t>_is_draft</t>
  </si>
  <si>
    <t>_metadata</t>
  </si>
  <si>
    <t>_created_at</t>
  </si>
  <si>
    <t>_updated_at</t>
  </si>
  <si>
    <t>FY26-Jan</t>
  </si>
  <si>
    <t>FY26-Feb</t>
  </si>
  <si>
    <t>FY26-Mar</t>
  </si>
  <si>
    <t>FY26-Apr</t>
  </si>
  <si>
    <t>FY26-May</t>
  </si>
  <si>
    <t>FY26-Jun</t>
  </si>
  <si>
    <t>FY26-Jul</t>
  </si>
  <si>
    <t>FY26-Aug</t>
  </si>
  <si>
    <t>FY26-Sep</t>
  </si>
  <si>
    <t>FY26-Oct</t>
  </si>
  <si>
    <t>FY26-Nov</t>
  </si>
  <si>
    <t>FY26-Dec</t>
  </si>
  <si>
    <t>FY27-Jan</t>
  </si>
  <si>
    <t>FY27-Feb</t>
  </si>
  <si>
    <t>FY27-Mar</t>
  </si>
  <si>
    <t>FY27-Apr</t>
  </si>
  <si>
    <t>FY27-May</t>
  </si>
  <si>
    <t>FY27-Jun</t>
  </si>
  <si>
    <t>FY27-Jul</t>
  </si>
  <si>
    <t>FY27-Aug</t>
  </si>
  <si>
    <t>FY27-Sep</t>
  </si>
  <si>
    <t>FY27-Oct</t>
  </si>
  <si>
    <t>FY27-Nov</t>
  </si>
  <si>
    <t>FY27-Dec</t>
  </si>
  <si>
    <t>FY28-Jan</t>
  </si>
  <si>
    <t>FY28-Feb</t>
  </si>
  <si>
    <t>FY28-Mar</t>
  </si>
  <si>
    <t>FY28-Apr</t>
  </si>
  <si>
    <t>FY28-May</t>
  </si>
  <si>
    <t>FY28-Jun</t>
  </si>
  <si>
    <t>FY28-Jul</t>
  </si>
  <si>
    <t>FY28-Aug</t>
  </si>
  <si>
    <t>FY28-Sep</t>
  </si>
  <si>
    <t>FY28-Oct</t>
  </si>
  <si>
    <t>FY28-Nov</t>
  </si>
  <si>
    <t>FY28-Dec</t>
  </si>
  <si>
    <t>FY29-Jan</t>
  </si>
  <si>
    <t>FY29-Feb</t>
  </si>
  <si>
    <t>FY29-Mar</t>
  </si>
  <si>
    <t>FY29-Apr</t>
  </si>
  <si>
    <t>FY29-May</t>
  </si>
  <si>
    <t>FY29-Jun</t>
  </si>
  <si>
    <t>FY29-Jul</t>
  </si>
  <si>
    <t>FY29-Aug</t>
  </si>
  <si>
    <t>FY29-Sep</t>
  </si>
  <si>
    <t>FY29-Oct</t>
  </si>
  <si>
    <t>FY29-Nov</t>
  </si>
  <si>
    <t>FY29-Dec</t>
  </si>
  <si>
    <t>FY30-Jan</t>
  </si>
  <si>
    <t>FY30-Feb</t>
  </si>
  <si>
    <t>FY30-Mar</t>
  </si>
  <si>
    <t>FY30-Apr</t>
  </si>
  <si>
    <t>FY30-May</t>
  </si>
  <si>
    <t>FY30-Jun</t>
  </si>
  <si>
    <t>FY30-Jul</t>
  </si>
  <si>
    <t>FY30-Aug</t>
  </si>
  <si>
    <t>FY30-Sep</t>
  </si>
  <si>
    <t>FY30-Oct</t>
  </si>
  <si>
    <t>FY30-Nov</t>
  </si>
  <si>
    <t>FY30-Dec</t>
  </si>
  <si>
    <t>FY31-Jan</t>
  </si>
  <si>
    <t>FY31-Feb</t>
  </si>
  <si>
    <t>FY31-Mar</t>
  </si>
  <si>
    <t>FY31-Apr</t>
  </si>
  <si>
    <t>FY31-May</t>
  </si>
  <si>
    <t>FY31-Jun</t>
  </si>
  <si>
    <t>FY31-Jul</t>
  </si>
  <si>
    <t>FY31-Aug</t>
  </si>
  <si>
    <t>FY31-Sep</t>
  </si>
  <si>
    <t>FY31-Oct</t>
  </si>
  <si>
    <t>FY31-Nov</t>
  </si>
  <si>
    <t>FY31-Dec</t>
  </si>
  <si>
    <t>Revenue Uplift</t>
  </si>
  <si>
    <t>Plan Base</t>
  </si>
  <si>
    <t>Revenue</t>
  </si>
  <si>
    <t>USD</t>
  </si>
  <si>
    <t>398b9357-10b7-4338-8cb9-f65eb9c47aa4</t>
  </si>
  <si>
    <t>{"mode":"none"}</t>
  </si>
  <si>
    <t>false</t>
  </si>
  <si>
    <t>{"show_in_summary":true}</t>
  </si>
  <si>
    <t>2026-04-27T10:23:44.167183+00:00</t>
  </si>
  <si>
    <t>Plan High</t>
  </si>
  <si>
    <t>Actual</t>
  </si>
  <si>
    <t>Gross Margin Uplift</t>
  </si>
  <si>
    <t>Gross Margin</t>
  </si>
  <si>
    <t>%</t>
  </si>
  <si>
    <t>708ab643-5017-484d-8f3b-35ac0e05f00b</t>
  </si>
  <si>
    <t>c61fa686-4626-4dca-89e7-aaa82f5f0e37</t>
  </si>
  <si>
    <t>2026-04-29T09:27:02.622157+00:00</t>
  </si>
  <si>
    <t>2dc7831d-40f1-4124-972c-f7b19f697ce7</t>
  </si>
  <si>
    <t>2026-04-27T10:43:06.620542+00:00</t>
  </si>
  <si>
    <t>9dd59b86-4431-4cb2-bf0b-01dc318a0af2</t>
  </si>
  <si>
    <t>992c4d64-39fb-4ef3-a1b0-a0c5a0cab8e7</t>
  </si>
  <si>
    <t>Recurring</t>
  </si>
  <si>
    <t>Immediate</t>
  </si>
  <si>
    <t>5c5a3065-1910-4b55-8e90-85e84378689f</t>
  </si>
  <si>
    <t>{}</t>
  </si>
  <si>
    <t>2026-04-27T11:06:51.149827+00:00</t>
  </si>
  <si>
    <t>3f06a798-d932-4a88-a539-008f35071bcd</t>
  </si>
  <si>
    <t>9d2e89ae-bc6e-47cc-befb-9fbe16477af5</t>
  </si>
  <si>
    <t>6fb087db-45f1-431d-814f-d8fbec183669</t>
  </si>
  <si>
    <t>2026-04-28T06:18:58.694637+00:00</t>
  </si>
  <si>
    <t>dda503e0-0d5b-448b-baef-f45e886c0feb</t>
  </si>
  <si>
    <t>7d0ac71e-64a8-41d6-9347-b731f98ba9bd</t>
  </si>
  <si>
    <t>40221e94-3030-4d8f-a582-e4a6f16210ac</t>
  </si>
  <si>
    <t>2026-04-28T06:33:32.401234+00:00</t>
  </si>
  <si>
    <t>405a06d7-5984-47e0-92ec-0cc4b33b7c9e</t>
  </si>
  <si>
    <t>c5f8fd30-82c0-496d-ba08-231893489e83</t>
  </si>
  <si>
    <t>Revenue Uplift from Improved Retention</t>
  </si>
  <si>
    <t>8e0ef73d-caf0-4d56-b463-6fe2c36d52df</t>
  </si>
  <si>
    <t>2026-04-28T06:37:12.600553+00:00</t>
  </si>
  <si>
    <t>b00cf264-655c-49ad-b26b-af49c8e2cc28</t>
  </si>
  <si>
    <t>Gross Margin Uplift from Improved Retention</t>
  </si>
  <si>
    <t>9d814ced-2dac-4324-8ad9-c495264ed3ce</t>
  </si>
  <si>
    <t>Costs</t>
  </si>
  <si>
    <t>Plan Mode</t>
  </si>
  <si>
    <t>Amount</t>
  </si>
  <si>
    <t>Start FY</t>
  </si>
  <si>
    <t>Start Month</t>
  </si>
  <si>
    <t>End FY</t>
  </si>
  <si>
    <t>End Month</t>
  </si>
  <si>
    <t>Lump Month</t>
  </si>
  <si>
    <t>Inflation %</t>
  </si>
  <si>
    <t>Cost Category</t>
  </si>
  <si>
    <t>Notes</t>
  </si>
  <si>
    <t>_overrides</t>
  </si>
  <si>
    <t>Architecture / Solution Consulting</t>
  </si>
  <si>
    <t>Plan</t>
  </si>
  <si>
    <t>One-off</t>
  </si>
  <si>
    <t>Jun</t>
  </si>
  <si>
    <t>f927756e-8750-45cc-9fbf-0c838d75d7df</t>
  </si>
  <si>
    <t>{"cost_formula":{"end":null,"lump":null,"start":null,"amount":null,"impact":"one_off"},"surge_labels":{}}</t>
  </si>
  <si>
    <t>2026-04-30T09:43:10.825222+00:00</t>
  </si>
  <si>
    <t>2026-05-03T07:47:46.32131+00:00</t>
  </si>
  <si>
    <t>Manual</t>
  </si>
  <si>
    <t>Implementation Cost</t>
  </si>
  <si>
    <t>Apr</t>
  </si>
  <si>
    <t>b3b1dd6e-0f5a-4e10-ac2c-ba2dd2e4a65a</t>
  </si>
  <si>
    <t>2026-04-27T10:23:49.70917+00:00</t>
  </si>
  <si>
    <t>Licensing &amp; Operation Cost</t>
  </si>
  <si>
    <t>3de083cb-583b-4cb9-9e45-14e00d031bcc</t>
  </si>
  <si>
    <t>{"cost_formula":{"end":null,"lump":null,"start":null,"amount":null,"impact":"recurring"},"surge_labels":{}}</t>
  </si>
  <si>
    <t>2026-04-27T10:23:50.568578+00:00</t>
  </si>
  <si>
    <t>2d4da359-c2e1-4ff1-accc-e33e9e26b7f0</t>
  </si>
  <si>
    <t>2026-04-27T10:43:12.297253+00:00</t>
  </si>
  <si>
    <t>Annual spread</t>
  </si>
  <si>
    <t>8dc72fbc-963e-4e80-b465-1a106c9b1ea5</t>
  </si>
  <si>
    <t>2026-04-27T10:43:13.148899+00:00</t>
  </si>
  <si>
    <t>Vendor Consulting / Solution</t>
  </si>
  <si>
    <t>b8990085-6b6b-4ec1-a39a-5fe80dabdcfc</t>
  </si>
  <si>
    <t>2026-04-30T09:45:42.7127+00:00</t>
  </si>
  <si>
    <t>8f0a37f0-f708-42d4-821f-4bf1bdc2b1ad</t>
  </si>
  <si>
    <t>2026-04-27T11:06:57.140669+00:00</t>
  </si>
  <si>
    <t>8e241baa-77a5-4d9d-a318-3895bae5be49</t>
  </si>
  <si>
    <t>2026-04-27T11:06:58.08945+00:00</t>
  </si>
  <si>
    <t>FTE Investment - BD Hire</t>
  </si>
  <si>
    <t>1 dedicated FTEs covering Norvia-based Verland FDI client acquisition: senior BD lead, channel partner manager, and sales enablement specialist. Fully loaded cost including base, commission, and benefits.</t>
  </si>
  <si>
    <t>fc907e62-2031-4bf5-a440-071fd792edc7</t>
  </si>
  <si>
    <t>2026-04-28T06:19:02.501675+00:00</t>
  </si>
  <si>
    <t>Unit</t>
  </si>
  <si>
    <t>Cadence</t>
  </si>
  <si>
    <t>Indicator</t>
  </si>
  <si>
    <t>Impacted Metric</t>
  </si>
  <si>
    <t>RAG Green Min</t>
  </si>
  <si>
    <t>RAG Amber Min</t>
  </si>
  <si>
    <t>Custom Type Label</t>
  </si>
  <si>
    <t>Custom Unit Label</t>
  </si>
  <si>
    <t>Assessment Score</t>
  </si>
  <si>
    <t>Assessment Evidence</t>
  </si>
  <si>
    <t>Assessment Date</t>
  </si>
  <si>
    <t>_linked_kpi_id</t>
  </si>
  <si>
    <t>_library_template_id</t>
  </si>
  <si>
    <t>_category</t>
  </si>
  <si>
    <t>_kpi_category</t>
  </si>
  <si>
    <t>_is_auto_generated</t>
  </si>
  <si>
    <t>_auto_generated_reason</t>
  </si>
  <si>
    <t>% of clients on CoreLedger/ Alternative System</t>
  </si>
  <si>
    <t>Base Case</t>
  </si>
  <si>
    <t>Operational</t>
  </si>
  <si>
    <t>pct</t>
  </si>
  <si>
    <t>Quarterly</t>
  </si>
  <si>
    <t>Leading</t>
  </si>
  <si>
    <t>7f7c96ba-a1f7-4151-8b06-327376107fb3</t>
  </si>
  <si>
    <t>operational</t>
  </si>
  <si>
    <t>{"type":"none"}</t>
  </si>
  <si>
    <t>2026-04-27T10:24:08.978414+00:00</t>
  </si>
  <si>
    <t>High Case</t>
  </si>
  <si>
    <t>Automation Coverage</t>
  </si>
  <si>
    <t>% of total process effort automated</t>
  </si>
  <si>
    <t>0be29aea-0ab5-4214-89fa-4738aef2a9ee</t>
  </si>
  <si>
    <t>2026-04-27T10:24:08.156229+00:00</t>
  </si>
  <si>
    <t>Monthly</t>
  </si>
  <si>
    <t>Gross margin</t>
  </si>
  <si>
    <t>0b69ed07-1f58-45e4-b12c-4b12c3195242</t>
  </si>
  <si>
    <t>2026-04-27T10:24:05.708747+00:00</t>
  </si>
  <si>
    <t>Revenue per Technical FTE</t>
  </si>
  <si>
    <t>usd_k</t>
  </si>
  <si>
    <t>870db982-a338-4c88-bbf1-55ea473f6327</t>
  </si>
  <si>
    <t>2026-04-27T10:24:06.488871+00:00</t>
  </si>
  <si>
    <t>0c5a55b8-ea01-4ff2-8d58-9fe5d2a6bd01</t>
  </si>
  <si>
    <t>2026-04-27T10:43:32.477843+00:00</t>
  </si>
  <si>
    <t>47ce654b-e748-4e6a-9e86-6c5039934c9d</t>
  </si>
  <si>
    <t>2026-04-27T10:43:30.520569+00:00</t>
  </si>
  <si>
    <t>927cb84b-7c99-481d-af6e-1efaf5b47d0c</t>
  </si>
  <si>
    <t>2026-04-27T10:43:31.536831+00:00</t>
  </si>
  <si>
    <t>Cost per Technical FTE</t>
  </si>
  <si>
    <t>91f651d9-deb7-4841-a1f8-6a65dd5cdba7</t>
  </si>
  <si>
    <t>2026-04-27T11:07:11.34496+00:00</t>
  </si>
  <si>
    <t>3ac08a8c-bd47-41ac-ac5d-13ca212e5185</t>
  </si>
  <si>
    <t>2026-04-27T11:07:10.408741+00:00</t>
  </si>
  <si>
    <t>Offshore Attrition Rate</t>
  </si>
  <si>
    <t>Lagging</t>
  </si>
  <si>
    <t>b120375f-e67a-43fe-a0e5-b15b1b50bb8d</t>
  </si>
  <si>
    <t>2026-04-28T09:07:20.595314+00:00</t>
  </si>
  <si>
    <t>Offshore Staff Ratio</t>
  </si>
  <si>
    <t>ff744db5-4c63-4ed5-8036-f448442b3113</t>
  </si>
  <si>
    <t>2026-04-27T11:07:12.273581+00:00</t>
  </si>
  <si>
    <t>Rework Rate</t>
  </si>
  <si>
    <t>e4b9e325-c29c-47a6-86d6-70d726da428d</t>
  </si>
  <si>
    <t>2026-04-27T11:07:14.084661+00:00</t>
  </si>
  <si>
    <t>Share of New Hires (Manager and Below)</t>
  </si>
  <si>
    <t>0a3c8d91-ba95-4865-ae4b-55281edb5a7f</t>
  </si>
  <si>
    <t>2026-05-12T03:23:35.900675+00:00</t>
  </si>
  <si>
    <t>SLA Adherence Rate</t>
  </si>
  <si>
    <t>9bb8f34a-9f64-4b27-b8b0-c43c7b2eab4b</t>
  </si>
  <si>
    <t>2026-04-27T11:07:13.170477+00:00</t>
  </si>
  <si>
    <t>Channel-Sourced Qualified Pipeline Value</t>
  </si>
  <si>
    <t>Custom</t>
  </si>
  <si>
    <t>8214089f-514c-438d-88d4-228d9a5aedab</t>
  </si>
  <si>
    <t>2026-04-28T06:19:08.283894+00:00</t>
  </si>
  <si>
    <t>Verland FDI New Logo ACV Closed</t>
  </si>
  <si>
    <t>0e970496-0d20-4071-b175-13acdcaae29a</t>
  </si>
  <si>
    <t>2026-04-28T06:19:07.209653+00:00</t>
  </si>
  <si>
    <t>New Logo Sales Cycle Length</t>
  </si>
  <si>
    <t>3965b187-b8fb-429f-ba17-fc3492ea3b56</t>
  </si>
  <si>
    <t>2026-04-28T06:19:09.299046+00:00</t>
  </si>
  <si>
    <t>Advisory Headcount Productive in Marenza</t>
  </si>
  <si>
    <t>7169565e-eecd-4f6c-83ca-038949ab5636</t>
  </si>
  <si>
    <t>2026-04-28T06:33:46.228856+00:00</t>
  </si>
  <si>
    <t>CAL Client Cross-Sell Pipeline Generated</t>
  </si>
  <si>
    <t>43020990-b94a-4e9e-a62f-98746104735c</t>
  </si>
  <si>
    <t>2026-04-28T06:33:45.149538+00:00</t>
  </si>
  <si>
    <t>Marenza New Logo ACV Closed</t>
  </si>
  <si>
    <t>1c2da62b-4384-40c1-a6e6-a587a7789ef9</t>
  </si>
  <si>
    <t>2026-04-28T06:33:43.788901+00:00</t>
  </si>
  <si>
    <t>Commercial coverage rate: percentage of Protect-tier accounts with a logged commercial touchpoint in the last 30 days, targeting 100% across all markets</t>
  </si>
  <si>
    <t>fec1d910-c453-4d42-aa2b-d2a0396a101a</t>
  </si>
  <si>
    <t>2026-04-28T06:37:25.139869+00:00</t>
  </si>
  <si>
    <t>Protect-tier churn rate: annualised percentage of Protect-tier ARR lost to full churn or scope contraction below Protect threshold, baseline set at go-live</t>
  </si>
  <si>
    <t>2ffe37ad-347c-4da6-bbe8-3ea82813699e</t>
  </si>
  <si>
    <t>2026-04-28T06:37:26.142847+00:00</t>
  </si>
  <si>
    <t>Single-service client conversion rate: percentage of single-service Protect and Watch accounts that expand to a second service within 12 months of retention program activation</t>
  </si>
  <si>
    <t>0874a32e-b1f5-495c-ad4f-309d099b086b</t>
  </si>
  <si>
    <t>2026-04-28T06:37:27.170731+00:00</t>
  </si>
  <si>
    <t>Milestones</t>
  </si>
  <si>
    <t>Planned End</t>
  </si>
  <si>
    <t>Actual Start</t>
  </si>
  <si>
    <t>Actual End</t>
  </si>
  <si>
    <t>Status</t>
  </si>
  <si>
    <t>Evidence URL</t>
  </si>
  <si>
    <t>Depends On (names)</t>
  </si>
  <si>
    <t>Risk Reason</t>
  </si>
  <si>
    <t>_depends_on_ids</t>
  </si>
  <si>
    <t>_checklist_items</t>
  </si>
  <si>
    <t>Conduct high‑level SOP‑based assessment to quantify the opportunity size (where the manual effort sits, existing system used)</t>
  </si>
  <si>
    <t>Deliverable</t>
  </si>
  <si>
    <t>medium</t>
  </si>
  <si>
    <t>Kevin Ho</t>
  </si>
  <si>
    <t>Completed</t>
  </si>
  <si>
    <t>9d6a0f7f-f5da-4406-bc74-6671343f5fd2</t>
  </si>
  <si>
    <t>[]</t>
  </si>
  <si>
    <t>Develop the initial view of solution options</t>
  </si>
  <si>
    <t>Key Milestone</t>
  </si>
  <si>
    <t>Rohan Mehta</t>
  </si>
  <si>
    <t>f1c7fef3-75c6-4b15-bb1d-9960b3bed933</t>
  </si>
  <si>
    <t>Brainstorming and alignment of solution options for automation</t>
  </si>
  <si>
    <t>1dc9f7e6-074c-4b57-b3e6-8850c6d5eb4c</t>
  </si>
  <si>
    <t>Effort &amp; Investment requirement estimation</t>
  </si>
  <si>
    <t>2026-04-27</t>
  </si>
  <si>
    <t>e3d6022c-c378-45ed-9bee-d57d6bcfbc9f</t>
  </si>
  <si>
    <t>Project Kick-off - Lock in group &amp; market initiative owner, establish initiative governance, develop plan &amp; milestones, and confirm resourcing &amp; team</t>
  </si>
  <si>
    <t>In Progress On Track</t>
  </si>
  <si>
    <t>05b021f5-aed3-45c7-b30d-f35fe8ea3f95</t>
  </si>
  <si>
    <t>Accelerate the transition of ~200 non‑CoreLedger clients by migrating them onto CoreLedger where appropriate, or onto an alternative accounting platform currently under evaluation</t>
  </si>
  <si>
    <t>Not Started</t>
  </si>
  <si>
    <t>fe18df78-c14b-44e2-a46c-e7493965a8a3</t>
  </si>
  <si>
    <t>Conduct detailed requirements specification (functional requirements, system integration, and non‑functional requirementsincl. IT/security)</t>
  </si>
  <si>
    <t>2026-06-01</t>
  </si>
  <si>
    <t>69ed5724-0636-4d0c-8051-46ec1943a30e</t>
  </si>
  <si>
    <t>Lock solution design (e.g. software, architecture, cloud vs on-premise, buy vs build) and overall implementation plan</t>
  </si>
  <si>
    <t>b07a50dd-2ffe-4c6f-a0d9-f71be710225e</t>
  </si>
  <si>
    <t>Execute phased clients migration to CoreLedger/ alternative platform</t>
  </si>
  <si>
    <t>397f64e2-146e-4f65-b298-baae46903039</t>
  </si>
  <si>
    <t>Run pilot implementation (solution build + testing) with a few selected clients</t>
  </si>
  <si>
    <t>8d07aa67-8b26-4205-aa8b-cc6f3f52c2bc</t>
  </si>
  <si>
    <t>User Acceptance Testing and Pilot Operationalization</t>
  </si>
  <si>
    <t>8d52731c-932a-40fb-8302-5186a4e0454e</t>
  </si>
  <si>
    <t>Develop phased rollout plan post successful Pilot</t>
  </si>
  <si>
    <t>ae91bfd6-f7de-40f6-a232-620f067af3db</t>
  </si>
  <si>
    <t>Money Step - resource allocation to capture realisation of benefits</t>
  </si>
  <si>
    <t>E.g., ringfence resources to do project work until project work catches up</t>
  </si>
  <si>
    <t>c635c4e1-7d70-42d3-b7be-121d0251a0c8</t>
  </si>
  <si>
    <t>Execute phased rollout (e.g., XX-YY clients/month) with structured hypercare and issue burn‑down</t>
  </si>
  <si>
    <t>50b1b0a2-d93a-4763-8bf2-fe4f2cdae404</t>
  </si>
  <si>
    <t>Set up continuous improvement cadence &amp; automation backlog governance</t>
  </si>
  <si>
    <t>a8959d0b-8f94-45da-88d3-7d91013701c9</t>
  </si>
  <si>
    <t>Responsible (unmatched): A</t>
  </si>
  <si>
    <t>8723388c-e3ed-4d5d-9d38-16b4f173a5fd</t>
  </si>
  <si>
    <t>Engage the Helix team to diagnose current implementation issues and agree clear resolution paths (incl. resolving current technical blockers and support gaps)</t>
  </si>
  <si>
    <t>daa4e190-659f-4bc0-9f66-d4fb0c5c8bc2</t>
  </si>
  <si>
    <t>Detailed assessment completed for 4 existing CoSec systems - VP1, VP2, COS, CSA</t>
  </si>
  <si>
    <t>d697e170-c75f-49bd-88a8-a893d08a6006</t>
  </si>
  <si>
    <t>Set up weekly cadence with Helix team to review migration status, resolve issues and roadblocks, and accelerate progress</t>
  </si>
  <si>
    <t>09aa4e25-168c-4d81-b2f3-2edd5ac7319d</t>
  </si>
  <si>
    <t>f371b5c7-6aec-4a5d-9106-9d22896479ea</t>
  </si>
  <si>
    <t>Execute migration of COS into Bluemeg</t>
  </si>
  <si>
    <t>Sven De Vries</t>
  </si>
  <si>
    <t>2026-05-04</t>
  </si>
  <si>
    <t>Execute migration of the remaining three systems/teams onto Helix with a controlled, phased cutover plan</t>
  </si>
  <si>
    <t>Responsible (unmatched): Sven</t>
  </si>
  <si>
    <t>508fe75f-152c-4fcd-914d-4475c33defe0</t>
  </si>
  <si>
    <t>0bfe012d-6267-4ab4-832b-3cbfbb27c948</t>
  </si>
  <si>
    <t>Execute migration of VP2 into Bluemeg</t>
  </si>
  <si>
    <t>27feabbc-ba3f-4927-9b86-bd689f315bcb</t>
  </si>
  <si>
    <t>Prioritise automation use cases, validate data and process readiness and lock MVP scope (value × feasibility)</t>
  </si>
  <si>
    <t>Responsible (unmatched): Olivia</t>
  </si>
  <si>
    <t>d13ca061-3050-4037-972a-fab51037888a</t>
  </si>
  <si>
    <t>Conduct detailed requirements specification for E2E CoSec process post Bluemeg integration (e.g. document generation, data entry, invoicing) alongside with Bluemeg team and/ or additional software/ service providers</t>
  </si>
  <si>
    <t>Responsible (unmatched): Group IT (to be hired)</t>
  </si>
  <si>
    <t>f593fb05-4e34-4a79-a18c-b220ae56870a</t>
  </si>
  <si>
    <t>Execute migration of CSA into Bluemeg</t>
  </si>
  <si>
    <t>0af7d732-81d6-428e-aeae-06dd13018e31</t>
  </si>
  <si>
    <t>Confirm automation success criteria and adoption thresholds (pre‑pilot)</t>
  </si>
  <si>
    <t>1d6441e0-81e9-451e-a5ee-88ae9487c113</t>
  </si>
  <si>
    <t>c8bd98eb-1f84-444c-86fe-08cf9814c81c</t>
  </si>
  <si>
    <t>Configure/build pilot solutions in relevant systems/ tools (workflow, forms, routing, notifications, document handling)</t>
  </si>
  <si>
    <t>1d5f0879-1ba5-48ff-9279-6b3c52e8ec29</t>
  </si>
  <si>
    <t>Automation adoption readiness review (users, training, legacy retirement)</t>
  </si>
  <si>
    <t>e17a9247-9f38-4bc7-b861-385ac1575de7</t>
  </si>
  <si>
    <t>Pilot with selected clients/teams; validate controls, outputs and exception handling; resolve issues</t>
  </si>
  <si>
    <t>75a73f7f-f8f8-4f60-a216-5ed4d36f2778</t>
  </si>
  <si>
    <t>Execute UAT and operationalise (training, SOP updates, BAU controls, support model)</t>
  </si>
  <si>
    <t>67e9d16e-9a80-4d1b-9a3a-abfad3654bf5</t>
  </si>
  <si>
    <t>011fcb0e-a36d-4c9b-a247-6d6671218e27</t>
  </si>
  <si>
    <t>Scale via phased rollout (e.g., XX-YY clients/month) with structured hypercare and issue burn‑down</t>
  </si>
  <si>
    <t>5fd4b2ea-ce88-4b7c-86d9-f108836421b0</t>
  </si>
  <si>
    <t>Set up continuous improvement cadence &amp; automation backlog governance\</t>
  </si>
  <si>
    <t>cd009e2a-5c6c-451f-9240-93e98708a2a2</t>
  </si>
  <si>
    <t>Conduct market visit and location-fit assessment to validate the target offshore destination</t>
  </si>
  <si>
    <t>5c9e6294-1192-4a09-9168-bbcff8c96530</t>
  </si>
  <si>
    <t>Conduct detailed requirements specification (functional requirements, system integration, and non‑functional requirementsincl. IT/security) for priority automation use cases across the E2E process</t>
  </si>
  <si>
    <t>Rachel Koh</t>
  </si>
  <si>
    <t>Responsible: Shirtley/ Group IT (TBD)</t>
  </si>
  <si>
    <t>1acff8cb-d2e0-4428-b119-25a0edc054db</t>
  </si>
  <si>
    <t>Configure/ build automation solutions to enable targeted automation for compliance delivery</t>
  </si>
  <si>
    <t>Priya Nadkarni</t>
  </si>
  <si>
    <t>Responsible: Rachel/ Group IT (TBD)</t>
  </si>
  <si>
    <t>de65748d-6427-47e9-805e-99eb4597c75c</t>
  </si>
  <si>
    <t>Design governance, controls, QA framework and service SLAs (incl. escalation paths)</t>
  </si>
  <si>
    <t>Hannah Park</t>
  </si>
  <si>
    <t>3f98a465-d8ed-456e-ac5b-0448e8cd3f91</t>
  </si>
  <si>
    <t>Baseline current process, conduct end-to-end process engineering, and standardise SOPs, inputs and templates to enable consistent offshore execution</t>
  </si>
  <si>
    <t>Responsible (unmatched): Alan</t>
  </si>
  <si>
    <t>19a57ef5-70b2-4799-94ad-109d6d749f75</t>
  </si>
  <si>
    <t>Execute hiring &amp; wave 1 transition; Deliver training and shadowing programme for SSC staff (technical curriculum + on-the-job coaching)</t>
  </si>
  <si>
    <t>e232763e-6453-4634-a8de-9f9d83c04db4</t>
  </si>
  <si>
    <t>Cutover wave 1 and stabilise (hypercare), addressing quality, productivity gaps, and refine playbooks</t>
  </si>
  <si>
    <t>41549e1d-e260-4976-a9db-21f1fd436828</t>
  </si>
  <si>
    <t>Pilot with selected clients/teams; validate controls, bilingual outputs and exception handling; resolve issues</t>
  </si>
  <si>
    <t>96e13375-a7e5-46aa-83d0-f86e86572e69</t>
  </si>
  <si>
    <t>c730faca-b9d9-4e34-b184-a8c8edac2fae</t>
  </si>
  <si>
    <t>Scale transition to additional waves &amp; Expand scope beyond compliance into selected advisory support tasks as capability matures (enabled by automation + training)</t>
  </si>
  <si>
    <t>b9ec72da-cf0d-4caf-aa95-c9743bb83efa</t>
  </si>
  <si>
    <t>Embed BAU governance and continuous improvement cadence (quality metrics, productivity KPIs, automation backlog)</t>
  </si>
  <si>
    <t>b6817219-f0af-4eb9-add5-978de15c2a88</t>
  </si>
  <si>
    <t>090fcbd1-c27f-4155-8bd0-d344af4e0636</t>
  </si>
  <si>
    <t>Confirm operating model with Apex team (governance, roles, QA approach, escalation paths) and confirm SSC capacity plan and hiring ramp (headcount, roles, training timeline) with Apex leadership</t>
  </si>
  <si>
    <t>9da365ec-5c4e-4bec-9ad1-9fb80c71af6c</t>
  </si>
  <si>
    <t>c568eafe-869f-4632-8680-618880e7ac53</t>
  </si>
  <si>
    <t>Secure investment decision to hire BD resource(s) (budget, headcount, timing) and agree governance / accountability (e.g., shared reporting to Group + Westmark Region)</t>
  </si>
  <si>
    <t>4e42db87-9d3a-4f82-83be-ecbf51cfdfe2</t>
  </si>
  <si>
    <t>Confirm scope and target segments (Verland FDI core; define ideal client profiles, decision makers, and service bundles)</t>
  </si>
  <si>
    <t>f6ebb7e4-fef6-4f85-a482-f4e4281a3ca7</t>
  </si>
  <si>
    <t>Acquire five new additional Intermediaries/ referral partners in Norvia Market</t>
  </si>
  <si>
    <t>a6f29c72-3f66-4109-bb8e-81f30400c928</t>
  </si>
  <si>
    <t>Define BD role profile + KPI scorecard (Verland/Westmark exposure, corridor focus, targets, activity metrics, conversion outcomes) and align compensation/incentives</t>
  </si>
  <si>
    <t>487a1d65-3853-467f-aa13-2cf52a768bb4</t>
  </si>
  <si>
    <t>Create sales enablement pack (service bundles, case studies, pricing guardrails, proposal templates)</t>
  </si>
  <si>
    <t>75a18ae1-404f-46f1-9937-f47eb863767c</t>
  </si>
  <si>
    <t>Recruit, hire, and onboard BD resource(s) with a structured 30/60/90-day plan (pipeline build, partner outreach, event cadence, and first opportunities progressed)</t>
  </si>
  <si>
    <t>296bf378-75bd-45a6-9451-473e12347512</t>
  </si>
  <si>
    <t>Stand up tracking and governance (CRM hygiene, weekly pipeline review, conversion metrics)</t>
  </si>
  <si>
    <t>74af773d-9842-4070-beb6-74e02b848822</t>
  </si>
  <si>
    <t>Pilot priority channels (e.g., Chicago / Norvia events) and measure ROI; iterate based on learnings</t>
  </si>
  <si>
    <t>50302cd7-b251-4f45-9ef0-373f4722722a</t>
  </si>
  <si>
    <t>Build a structured annual activity plan (events calendar, campaigns, content, outreach cadences)</t>
  </si>
  <si>
    <t>983cb109-e5b3-4e47-af83-51f75faa1ddb</t>
  </si>
  <si>
    <t>Hire additional BD Manager</t>
  </si>
  <si>
    <t>6d7919a4-c812-41e3-8468-d8edf86da810</t>
  </si>
  <si>
    <t>Confirm ambition and target advisory offerings (near-term “sellable” packages) for Marenza</t>
  </si>
  <si>
    <t>47ce801a-988e-404f-a188-65068d7c7936</t>
  </si>
  <si>
    <t>Assess current Marenza Apex tax team capability and gaps (skills, seniority, selling, delivery)</t>
  </si>
  <si>
    <t>55bda0a1-61b2-4fb7-9bfd-0cc036ee7bb0</t>
  </si>
  <si>
    <t>93357d61-88f4-49c7-b34b-c0f445267763</t>
  </si>
  <si>
    <t>Build GTM plan and target list (existing clients + network + inbound opportunities)</t>
  </si>
  <si>
    <t>2de9a791-2d67-4a44-8577-86f1c9a310ff</t>
  </si>
  <si>
    <t>Develop advisory methodologies, templates, and proposal collateral; set pricing guardrails</t>
  </si>
  <si>
    <t>bb05d3cc-f59d-4826-9b96-e797196c027e</t>
  </si>
  <si>
    <t>Upskill existing Marenza Apex team (training, shadowing, joint delivery) and recruit targeted talent if needed</t>
  </si>
  <si>
    <t>1a484f83-d09c-4693-be3e-0c54cb77c0eb</t>
  </si>
  <si>
    <t>Pilot 3–5 advisory engagements; capture case studies and refine offering</t>
  </si>
  <si>
    <t>918ae0c7-fc4c-4f47-a6ae-d38a9ee0ab13</t>
  </si>
  <si>
    <t>Implement KPI tracking (advisory mix, win rate, utilisation, client satisfaction)</t>
  </si>
  <si>
    <t>7f1c3bbd-e4ac-45bf-9212-d35d3de505a7</t>
  </si>
  <si>
    <t>Scale pipeline through structured BD cadence; embed cross-sell into compliance touchpoints</t>
  </si>
  <si>
    <t>1ce192af-3e15-4d9c-b1ad-a43434ed3d24</t>
  </si>
  <si>
    <t>Review performance decide next geographies and expansion wave</t>
  </si>
  <si>
    <t>d42a577c-569b-4568-bf54-ee9ab5a05a8a</t>
  </si>
  <si>
    <t>RACI ratified and embedded: group-wide retention RACI signed off across Group Commercial, Market Retention Owners, CSMs, Account Owners, and Delivery Leads; CSM role reframed in scorecards; delivery-to-commercial escalation SLAs enforced and tracked</t>
  </si>
  <si>
    <t>Decision Point</t>
  </si>
  <si>
    <t>b46d4fde-e61d-440d-98ac-00ff6d1b2f9b</t>
  </si>
  <si>
    <t>Audit: RACI adherence and escalation SLA compliance across markets</t>
  </si>
  <si>
    <t>6dd4efea-9266-4a78-b5a8-ea8ba6a317c8</t>
  </si>
  <si>
    <t>Measure churn reduction vs. target; report revenue protected; embed programme into standard commercial operating rhythm</t>
  </si>
  <si>
    <t>8065ad17-079f-4a3c-95d5-79237f4f8be2</t>
  </si>
  <si>
    <t>Integrate retention KPIs into commercial scorecards: retention of Protect-tier clients as explicit KPI (Pillar 6 dependency)</t>
  </si>
  <si>
    <t>ddb004ca-dc46-48d3-b224-c0d234ff43e7</t>
  </si>
  <si>
    <t>CSM role redesign: reframe brief from reactive support to proactive retention taskforce for Protect-tier clients</t>
  </si>
  <si>
    <t>4d060155-fdff-4c31-9b1d-b3944966a5b9</t>
  </si>
  <si>
    <t>Launch Group Commercial fortnightly sync; standing agenda: Protect-tier accounts at risk this week</t>
  </si>
  <si>
    <t>c88188e7-74db-4ab7-aba7-4f36fd0f1e95</t>
  </si>
  <si>
    <t>Build and distribute shared GridSheet tracker (client, tier, RAG, owner, last contact, risk flags, next milestone)</t>
  </si>
  <si>
    <t>2ce104fd-35dd-4a27-b4b8-d1822172a2d3</t>
  </si>
  <si>
    <t>Activate Market Retention Owner role in NA; complete first monthly portfolio health review with finance pull</t>
  </si>
  <si>
    <t>8787c59c-5fd8-4a0f-a2e0-34518aa5cc47</t>
  </si>
  <si>
    <t>eecb46b4-fcd5-40ef-a1f2-007c04ee0fd7</t>
  </si>
  <si>
    <t>Draft and ratify RACI matrix: escalate unresolved items to Group Commercial Director within 30 days</t>
  </si>
  <si>
    <t>99a065d2-3d7c-45da-98a3-2d0204adeb92</t>
  </si>
  <si>
    <t>Name Market Retention Owner in VER / CAL; run first market retention standup; walk all Protect-tier Amber and Red accounts</t>
  </si>
  <si>
    <t>487e5f1e-b7b2-46be-a36a-b97f575a86d9</t>
  </si>
  <si>
    <t>Define delivery-to-commercial escalation SLAs: escalation types, timeframes, recipients</t>
  </si>
  <si>
    <t>1a0ab35b-2f45-4ec4-a575-70bc9379d603</t>
  </si>
  <si>
    <t>Finalise Protect and Watch tier lists per market using ARR thresholds; assign named commercial owner to every Protect account</t>
  </si>
  <si>
    <t>b4c9dc36-2daf-4a71-8fa1-fcc2836db776</t>
  </si>
  <si>
    <t>Complete first QBR cycle for all Red and Amber Protect-tier accounts; draft one-page retention plans</t>
  </si>
  <si>
    <t>ec934547-b93a-473d-b64a-9eee073bd481</t>
  </si>
  <si>
    <t>Baseline all Protect accounts: last contact date, open escalations, renewal within 90 days; assign RAG rating</t>
  </si>
  <si>
    <t>c9bc9737-3bb4-482d-ac0d-7d34560171d0</t>
  </si>
  <si>
    <t>Begin scoping analytics-driven early warning system; assess CRM upgrade decision based on tracker usage</t>
  </si>
  <si>
    <t>6b7a22d6-f6ee-4508-af35-ccf27fad9ec1</t>
  </si>
  <si>
    <t>Transition from manual RAG tracker to automated early warning system where data permits</t>
  </si>
  <si>
    <t>c97951f1-76a2-45fb-bed5-2fcee5c6ccef</t>
  </si>
  <si>
    <t>Conduct first lost-client debrief per active market: reconstruct signal timeline, feed learnings into SOP</t>
  </si>
  <si>
    <t>feb79c05-18c9-4a3c-aa5c-9095c20f84fa</t>
  </si>
  <si>
    <t>Action Items</t>
  </si>
  <si>
    <t>Milestone</t>
  </si>
  <si>
    <t>Action</t>
  </si>
  <si>
    <t>Due Date</t>
  </si>
  <si>
    <t>_milestone_id</t>
  </si>
  <si>
    <t>_meeting_note_id</t>
  </si>
  <si>
    <t>Impact</t>
  </si>
  <si>
    <t>Likelihood</t>
  </si>
  <si>
    <t>Mitigation</t>
  </si>
  <si>
    <t>Linked Milestone</t>
  </si>
  <si>
    <t>Escalation Reason</t>
  </si>
  <si>
    <t>SME Consultation</t>
  </si>
  <si>
    <t>_risk_milestone_id</t>
  </si>
  <si>
    <t>Change adoption and capability gaps</t>
  </si>
  <si>
    <t>Low</t>
  </si>
  <si>
    <t>Medium</t>
  </si>
  <si>
    <t>Open</t>
  </si>
  <si>
    <t>Mitigate via training, super‑users and post go‑live hypercare</t>
  </si>
  <si>
    <t>not_required</t>
  </si>
  <si>
    <t>e844f090-f260-4693-ae6f-01a38cdabde5</t>
  </si>
  <si>
    <t>Data migration and integration complexity (legacy formats, data quality)</t>
  </si>
  <si>
    <t>High</t>
  </si>
  <si>
    <t>Mitigate via mapping, cleansing, controlled pilots and parallel runs</t>
  </si>
  <si>
    <t>f716bfab-5ef0-4cef-bbbe-d8ec850b908e</t>
  </si>
  <si>
    <t>Dependency on vendor / platform support and internal capacity</t>
  </si>
  <si>
    <t>Mitigate via agreed support SLAs, dedicated delivery squad and clear governance</t>
  </si>
  <si>
    <t>2104546d-036a-4bb5-b0c9-e74f70732d70</t>
  </si>
  <si>
    <t>Dedicated resource from Group IT to drive CoSec op. system strategy, automation &amp; roadmap</t>
  </si>
  <si>
    <t>Align with Group IT on resource requirement and onboard the resouce to own the Cosec automation from technology perspective</t>
  </si>
  <si>
    <t>823c2819-7b6c-4d0a-8af6-3df3ea24e093</t>
  </si>
  <si>
    <t>Internal team availability and resourcing constraints</t>
  </si>
  <si>
    <t>Ringfence dedicated resources with clear ownership and backfill critical roles to ensure delivery continuity</t>
  </si>
  <si>
    <t>d70e0afb-614d-4edc-9d6b-213f7e1ba049</t>
  </si>
  <si>
    <t>Vendor dependency for issue resolution, enhancements, and implementation support</t>
  </si>
  <si>
    <t>Establish clear SLAs and knowledge transfer plans; build minimum in-house capability to reduce single-vendor reliance</t>
  </si>
  <si>
    <t>8cbd708f-47cf-4c2a-9abd-d983fa19aa81</t>
  </si>
  <si>
    <t>Capability ramp and training curve</t>
  </si>
  <si>
    <t>mitigate via structured training, and clear progression to more complex work</t>
  </si>
  <si>
    <t>038709c3-f64a-4916-ae3c-7e27b64e8715</t>
  </si>
  <si>
    <t>Quality and turnaround risk during transition</t>
  </si>
  <si>
    <t>mitigate via phased waves, shadowing/parallel runs and QA checkpoints</t>
  </si>
  <si>
    <t>7c340e6f-4593-4a44-bdda-249e7a8cd29d</t>
  </si>
  <si>
    <t>Technology/access and data security requirements</t>
  </si>
  <si>
    <t>mitigate via role-based access, secure environments and IT controls</t>
  </si>
  <si>
    <t>b59830c3-c18d-4f55-ad9b-0516876a0bcc</t>
  </si>
  <si>
    <t>Status Updates</t>
  </si>
  <si>
    <t>Date (week of)</t>
  </si>
  <si>
    <t>Submitted At</t>
  </si>
  <si>
    <t>Submitted By</t>
  </si>
  <si>
    <t>Summary</t>
  </si>
  <si>
    <t>Achievements</t>
  </si>
  <si>
    <t>Issues</t>
  </si>
  <si>
    <t>Next Steps</t>
  </si>
  <si>
    <t>Help Needed</t>
  </si>
  <si>
    <t>_was_pre_populated</t>
  </si>
  <si>
    <t>_pre_populated_data</t>
  </si>
  <si>
    <t>_auto_saved_at</t>
  </si>
  <si>
    <t>2026-06-03T03:14:44.78+00:00</t>
  </si>
  <si>
    <t>Green</t>
  </si>
  <si>
    <t>The solution approach for this automation initiative is currently pending finalization, subject to the outcome of an upcoming vendor engagement. A meeting with FalconLedger has been confirmed for 3rd June 2026 to evaluate their tooling capabilities and obtain commercial pricing details. This discussion will serve as the basis for confirming the recommended solution design.</t>
  </si>
  <si>
    <t>- Meeting with FalconLedger
- Share solution design to the business owner</t>
  </si>
  <si>
    <t>24ef567c-0156-48cf-9ddb-51cc5ed4f981</t>
  </si>
  <si>
    <t>true</t>
  </si>
  <si>
    <t>{"model":"claude-sonnet-4-6","kpi_count":4,"risk_count":3,"milestone_count":15,"commitment_count":0}</t>
  </si>
  <si>
    <t>2026-05-11</t>
  </si>
  <si>
    <t>2026-05-13T06:56:38.574+00:00</t>
  </si>
  <si>
    <t>The CAL Accounting System Integration &amp; Automation initiative is progressing well through the scoping stage, with all early assessment completed. Option 4 (Nimbus + FlowEngine) has been selected as the preferred solution but still looking at the overall technical feasibility for all other Options too.</t>
  </si>
  <si>
    <t>- Check further on technical feasibility for all options</t>
  </si>
  <si>
    <t>31893615-7e72-4e5c-9805-d564ba44e5cb</t>
  </si>
  <si>
    <t>2026-05-05T10:47:36.218+00:00</t>
  </si>
  <si>
    <t xml:space="preserve">Option 1: DocVault + FlowEngine 
Option 2: FalconLedger 
Option 3: ClearView + Nimbus 
Option 4: Nimbus + FlowEngine 
Option 4 considered as the most viable options considering these: 
- Cost and resource investment 
- Flexibility of customization according to CAL needs 
- Ease of migration for future platform 
Estimated resource: 1 Pod Estimated timeline: 6 months
</t>
  </si>
  <si>
    <t>- Check the current OCR capability in Nimbus
- Understanding the balance sheet recording process</t>
  </si>
  <si>
    <t>ab707691-7406-4c31-9533-0c7cca2c8b0a</t>
  </si>
  <si>
    <t>2026-04-28T15:41:40.609+00:00</t>
  </si>
  <si>
    <t>Camille Roussel</t>
  </si>
  <si>
    <t>The CAL CoSec System Implementation initiative is progressing well in the scoping stage, with all early assessment milestones completed on time. Weekly cadence with Helix and effort estimation are both underway and on track. 
There is a need for a group level Cosec Technology Program manager to drive the overall cosec strategy, implementation and automation of cosec processes across the group starting with CAL.. Initially 50% for CAL and 50% for other markets. Once CAL stabilizes this person can focus on other market automation and standardization</t>
  </si>
  <si>
    <t>Post Approval, Begin Hiring for a dedicated Technology Program Manager to drive the CoSec Automation.</t>
  </si>
  <si>
    <t>0eec04ad-6024-401f-965f-9b274137ea22</t>
  </si>
  <si>
    <t>{"model":"claude-sonnet-4-6","kpi_count":5,"risk_count":3,"milestone_count":19,"commitment_count":0}</t>
  </si>
  <si>
    <t>Advisory - Geographical Expansion</t>
  </si>
  <si>
    <t>Offshoring to Tavel SSC (+ Automation) - Tax</t>
  </si>
  <si>
    <t>TOR-3
Offshoring to Tavel SSC (+ Automation) - Tax</t>
  </si>
  <si>
    <t>TOR-5
Advisory - Geographical Expansion</t>
  </si>
  <si>
    <t>Expand advisory beyond CAL, starting with Marenza as the near-term growth engine Develop advisory offerings, upskill talent, create repeatable go-to-market motions leveraging existing client networks, and then extend playbook to additional geographies as appropriate</t>
  </si>
  <si>
    <t>15–20% cost reduction on existing Tax Advisory team</t>
  </si>
  <si>
    <t>Define offshoring strategy and align on scope and prioritised work packages for wave-1 (start with standard tax compliance)</t>
  </si>
  <si>
    <t>Define operating model for knowledge transfer (experts support, review cadence, playbook)</t>
  </si>
  <si>
    <t>MER Billing System Integration &amp; Automation</t>
  </si>
  <si>
    <t>EBR-1</t>
  </si>
  <si>
    <t>MER</t>
  </si>
  <si>
    <t>Eastbridge Region</t>
  </si>
  <si>
    <t>Offshoring to Caldez SSC (+ Automation) - Payroll</t>
  </si>
  <si>
    <t>EBR-2</t>
  </si>
  <si>
    <t>Tom Albrecht</t>
  </si>
  <si>
    <t>Audit Practice - Cross-Border Expansion</t>
  </si>
  <si>
    <t>EBR-3</t>
  </si>
  <si>
    <t>Sofia Marenco</t>
  </si>
  <si>
    <t>MER-RDG New Logos - Manufacturing</t>
  </si>
  <si>
    <t>EBR-4</t>
  </si>
  <si>
    <t>RDG</t>
  </si>
  <si>
    <t>Raj Patel</t>
  </si>
  <si>
    <t>RDG Document Automation &amp; OCR Rollout</t>
  </si>
  <si>
    <t>EBR-5</t>
  </si>
  <si>
    <t>Elena Vasquez</t>
  </si>
  <si>
    <t>FJD Reconciliation Automation (RPA)</t>
  </si>
  <si>
    <t>NPK-1</t>
  </si>
  <si>
    <t>FJD</t>
  </si>
  <si>
    <t>Northpeak Region</t>
  </si>
  <si>
    <t>Kenji Takahashi</t>
  </si>
  <si>
    <t>Offshoring to Solva SSC (+ Automation) - Bookkeeping</t>
  </si>
  <si>
    <t>NPK-2</t>
  </si>
  <si>
    <t>Aisha Rahman</t>
  </si>
  <si>
    <t>Advisory - Energy Sector Expansion</t>
  </si>
  <si>
    <t>NPK-3</t>
  </si>
  <si>
    <t>KLP</t>
  </si>
  <si>
    <t>Niels Berg</t>
  </si>
  <si>
    <t>KLP New Logos - Public Sector</t>
  </si>
  <si>
    <t>NPK-4</t>
  </si>
  <si>
    <t>Carla Mendes</t>
  </si>
  <si>
    <t>FJD CoSec Workflow Automation</t>
  </si>
  <si>
    <t>NPK-5</t>
  </si>
  <si>
    <t>Wei Chen</t>
  </si>
  <si>
    <t>[GROUP] Revenue Retention: Proactive Churn Management (Northpeak)</t>
  </si>
  <si>
    <t>NPK-6</t>
  </si>
  <si>
    <t>GROUP, FJD, KLP</t>
  </si>
  <si>
    <t>Omar Haddad</t>
  </si>
  <si>
    <t>BNT Tax Compliance Automation</t>
  </si>
  <si>
    <t>SGT-1</t>
  </si>
  <si>
    <t>BNT</t>
  </si>
  <si>
    <t>Southgate Region</t>
  </si>
  <si>
    <t>Grace Liang</t>
  </si>
  <si>
    <t>Offshoring to Pravin SSC (+ Automation) - Audit Support</t>
  </si>
  <si>
    <t>SGT-2</t>
  </si>
  <si>
    <t>Diego Ramos</t>
  </si>
  <si>
    <t>VSC New Logos - Financial Services</t>
  </si>
  <si>
    <t>SGT-3</t>
  </si>
  <si>
    <t>VSC</t>
  </si>
  <si>
    <t>Ingrid Solberg</t>
  </si>
  <si>
    <t>Advisory - Geographical Expansion (Vandor)</t>
  </si>
  <si>
    <t>SGT-4</t>
  </si>
  <si>
    <t>Marco Bianchi</t>
  </si>
  <si>
    <t>90f47061-bb8b-4d23-ba22-5ea270961151</t>
  </si>
  <si>
    <t>6f4d31e8-b872-40e0-8917-4fdbf482cf97</t>
  </si>
  <si>
    <t>e6d3fcd2-2226-41a0-85b5-850c029f4912</t>
  </si>
  <si>
    <t>192498b1-9abb-4e68-822b-9f099f32c6b5</t>
  </si>
  <si>
    <t>2bca3d16-b741-4413-82e8-7df55400fc05</t>
  </si>
  <si>
    <t>d556ded8-65c7-43f1-b823-87e9480e480e</t>
  </si>
  <si>
    <t>bd3f9a5a-5f90-4ab9-9727-a66ebb8251cf</t>
  </si>
  <si>
    <t>aa67672e-8382-42f2-90ee-70d898d6b345</t>
  </si>
  <si>
    <t>74b043af-145a-4172-8177-3a6021aaf99f</t>
  </si>
  <si>
    <t>59d58cfb-0c30-4e78-80c7-09adf14074b5</t>
  </si>
  <si>
    <t>96f09fba-b277-4735-b961-e3c235c812ba</t>
  </si>
  <si>
    <t>532c30fb-53d3-47f3-9b34-c4193f78abd6</t>
  </si>
  <si>
    <t>459ef7a5-736e-46bc-8a74-7dd94c3fd4b7</t>
  </si>
  <si>
    <t>9b5de5ca-6595-4d50-87fd-1d43a72fec17</t>
  </si>
  <si>
    <t>e07e036b-1a00-4c99-8c98-f970f9f32a49</t>
  </si>
  <si>
    <t>9decca13-f88a-4d42-a208-f7e05ea14ab4</t>
  </si>
  <si>
    <t>e928623b-eb27-421a-95ca-6d6243c737f1</t>
  </si>
  <si>
    <t>1a15b702-bd9f-485f-bccf-705874aee00a</t>
  </si>
  <si>
    <t>0403d6d2-68fa-4825-a1e8-156c8be8e43e</t>
  </si>
  <si>
    <t>4e7931d1-bb90-4310-9275-9346a5385ff8</t>
  </si>
  <si>
    <t>35dda556-ba4e-4b2c-b356-7e536cf65e25</t>
  </si>
  <si>
    <t>2879009f-1b38-41f6-95ac-3d2f3ac43c5d</t>
  </si>
  <si>
    <t>926f4977-0743-43cb-a63a-95f340b654d8</t>
  </si>
  <si>
    <t>d0629571-48b0-4149-b496-ab6e353378c1</t>
  </si>
  <si>
    <t>a47ecb78-0841-43f5-a9dc-7962a004c460</t>
  </si>
  <si>
    <t>fc7bcb66-19a6-4609-aac8-2666275c4c1f</t>
  </si>
  <si>
    <t>39eb48f9-280a-4fda-9ead-bc59bb41124a</t>
  </si>
  <si>
    <t>768cbac2-15ac-416a-9eb0-b1d78d5b5dcb</t>
  </si>
  <si>
    <t>9843978d-5e30-4aea-bf4b-f13a9212a31d</t>
  </si>
  <si>
    <t>bc8bd1a9-c5c7-4d70-a2b8-20fff604db8d</t>
  </si>
  <si>
    <t>e5da4b2c-d5df-4ba1-9abc-1af8cc9516c1</t>
  </si>
  <si>
    <t>7551e7e8-589c-49c1-8965-bc12143493ab</t>
  </si>
  <si>
    <t>44c7ca0b-281e-47a5-b6e7-974a913f7321</t>
  </si>
  <si>
    <t>710f9037-d7dd-4dfb-9498-346187c7eafa</t>
  </si>
  <si>
    <t>feb8d608-c56a-461e-a633-d19b7460337a</t>
  </si>
  <si>
    <t>ceb93ce4-57c0-4150-b926-c893b3d61b33</t>
  </si>
  <si>
    <t>d05690fd-b05a-46bc-974a-3283e8e19a21</t>
  </si>
  <si>
    <t>71275006-3fc6-4a8c-9d89-c87b4a4f5bbb</t>
  </si>
  <si>
    <t>ccaa6669-8489-4328-acba-cc8c70be81a8</t>
  </si>
  <si>
    <t>c52b5ce6-3b9a-4e94-9e06-1e2030336aa2</t>
  </si>
  <si>
    <t>23118b46-6362-4fb3-9e3f-4100dad2dc6b</t>
  </si>
  <si>
    <t>f6b5f5b5-6139-498f-801a-ab1c852b6d2f</t>
  </si>
  <si>
    <t>2d17d8ef-d3e8-4393-8715-25217c4ed375</t>
  </si>
  <si>
    <t>4e83a694-c184-4c6f-88ae-02d12c13067f</t>
  </si>
  <si>
    <t>79efc93d-46c4-4109-ac9d-704aa5bee138</t>
  </si>
  <si>
    <t>e2c88584-0f00-4d5a-b9fa-f5989f29ac40</t>
  </si>
  <si>
    <t>b58de41b-f3a4-45d7-b40f-37a67af56c62</t>
  </si>
  <si>
    <t>258a30dd-41b4-4601-8f83-b7aab8eccd18</t>
  </si>
  <si>
    <t>7fe6564a-3d6e-4bd8-827f-e27f19ce4181</t>
  </si>
  <si>
    <t>6d4ff036-22c0-4b89-862c-7817d678c3a9</t>
  </si>
  <si>
    <t>4fa3e041-3c25-4770-9218-4994b31db69d</t>
  </si>
  <si>
    <t>b099e2af-6cec-4ea0-a96c-cf17aa1ebfa8</t>
  </si>
  <si>
    <t>e2beee12-c1f9-4460-a7a5-bd523e0563b2</t>
  </si>
  <si>
    <t>f9b70a7c-20c4-4a5a-8f20-606ce390bde8</t>
  </si>
  <si>
    <t>b81d75ee-86d2-4322-a7f3-3bda3f785dfe</t>
  </si>
  <si>
    <t>bd9d2c94-e5db-429e-9628-1e99106a0df3</t>
  </si>
  <si>
    <t>015827bb-085b-4622-b43b-37bd13db8a31</t>
  </si>
  <si>
    <t>6d19127a-d5c2-4d87-92d0-342c8390eca6</t>
  </si>
  <si>
    <t>c22f1051-eb9c-4dce-84a2-2ea7cc885e10</t>
  </si>
  <si>
    <t>9477200a-c791-4028-99b7-e11fbfeed56c</t>
  </si>
  <si>
    <t>b7ac9f33-27ad-4cd6-951f-81d0786d5b04</t>
  </si>
  <si>
    <t>5398f4ac-1342-4112-8de0-ddc5c7bb7611</t>
  </si>
  <si>
    <t>d35b1d4d-de1c-404f-957a-bad7b40ed861</t>
  </si>
  <si>
    <t>98b608bd-4f61-4257-997b-2ce0cfc1ac61</t>
  </si>
  <si>
    <t>962d326f-982e-4805-bb75-d6f9d6fa7294</t>
  </si>
  <si>
    <t>f7abe40b-244e-44c2-b3aa-e97a1177cc5f</t>
  </si>
  <si>
    <t>2dde95c2-17de-4955-917e-229671ee5dee</t>
  </si>
  <si>
    <t>1d784447-77c4-4cfa-938e-0fcc038eb634</t>
  </si>
  <si>
    <t>ebe9f677-5235-49c6-bcdc-32019ef24184</t>
  </si>
  <si>
    <t>30e98230-16e9-4ab2-978a-c611f193bec8</t>
  </si>
  <si>
    <t>a633cc26-4c94-4156-86ab-840dfd66396a</t>
  </si>
  <si>
    <t>c734dec5-3f3c-46a1-9683-1b3c93d8ab05</t>
  </si>
  <si>
    <t>bbb8ffae-2e3e-4e83-934d-7a7c8738858e</t>
  </si>
  <si>
    <t>41d0a1a9-af52-4453-90ba-07e10a9926ea</t>
  </si>
  <si>
    <t>b4a9b30f-be7c-44aa-8bf2-c1a1df2c39d2</t>
  </si>
  <si>
    <t>3943b530-a6b1-464e-9309-1c4e6376bd3f</t>
  </si>
  <si>
    <t>622124a6-3174-4425-8541-13852974d9ea</t>
  </si>
  <si>
    <t>522fe676-f3cb-4786-bcb5-e8b3c3d53c37</t>
  </si>
  <si>
    <t>8016cfb5-27b3-407a-88dc-d9d56310cb32</t>
  </si>
  <si>
    <t>95772f70-cfa3-4339-98b1-fe6ecb846bdc</t>
  </si>
  <si>
    <t>dee10165-6235-4c52-b402-8d7c708dd60e</t>
  </si>
  <si>
    <t>a6df41cd-7928-4c67-805f-f071c6b48b3d</t>
  </si>
  <si>
    <t>cf06a3c1-a321-450d-abce-99fa5819a573</t>
  </si>
  <si>
    <t>53896123-c5f6-484b-a085-18fb7ff5faf0</t>
  </si>
  <si>
    <t>8aa3114f-a683-4522-a1c3-d26d4552b050</t>
  </si>
  <si>
    <t>c494e952-ecf9-4ae3-a800-6952165e5ff7</t>
  </si>
  <si>
    <t>e363676e-3dba-4bbe-b783-6b48b0e21f34</t>
  </si>
  <si>
    <t>029e7e4b-beb7-4495-a7fe-bdff16e5ca99</t>
  </si>
  <si>
    <t>88113276-1616-4f5f-a1cb-ba1e87f80930</t>
  </si>
  <si>
    <t>ea68c796-36a9-45b5-9a99-1eee4e799cd0</t>
  </si>
  <si>
    <t>44e5d482-ced6-4e16-b4a6-dfc234e076b2</t>
  </si>
  <si>
    <t>19170b22-ec06-4af5-8adf-7a4d7a4e6655</t>
  </si>
  <si>
    <t>50a907cb-756c-4a3e-809e-9d21d93f7908</t>
  </si>
  <si>
    <t>027d192a-4eee-43ec-b8ae-09784e607580</t>
  </si>
  <si>
    <t>afb30e02-1a4e-4571-a10a-83bee5b6a2e3</t>
  </si>
  <si>
    <t>584bf68b-7429-4346-bf93-77a6e3ba0ad9</t>
  </si>
  <si>
    <t>b8360fe9-d50f-4707-bff2-5ca43178a52c</t>
  </si>
  <si>
    <t>39fb2c5a-cc35-4013-95c3-88a0481177c2</t>
  </si>
  <si>
    <t>bbc42403-e3dc-4eeb-88cd-e90d5a623fdf</t>
  </si>
  <si>
    <t>7b1a015a-4208-4552-a016-94fad4a9a518</t>
  </si>
  <si>
    <t>a21f54f3-d405-4c22-ab13-3f3f3e35dfe1</t>
  </si>
  <si>
    <t>cae0cd9a-639e-4348-b163-90df69b40df9</t>
  </si>
  <si>
    <t>1b4a329f-230a-49fc-88c9-3653250f774d</t>
  </si>
  <si>
    <t>ad538722-09bc-48a1-ba04-9adc1e842707</t>
  </si>
  <si>
    <t>d3c9cf84-80d6-42bf-bd86-fd12ca9d84ae</t>
  </si>
  <si>
    <t>cee35727-f727-4d59-9bfd-87d93e20f59d</t>
  </si>
  <si>
    <t>a5ed557c-80e5-4753-8295-828c1e14b4e2</t>
  </si>
  <si>
    <t>4ef91c03-f57e-429e-8079-f2b09ae9eb59</t>
  </si>
  <si>
    <t>d7562e6e-684e-4ce4-bccf-74adeee758d8</t>
  </si>
  <si>
    <t>37415480-adfe-4f0d-b954-9154597b01f0</t>
  </si>
  <si>
    <t>50ae7bc0-c700-4f7c-bc17-2ae448d7f5fc</t>
  </si>
  <si>
    <t>07f8f155-0ca1-4063-b716-7eb59ef812be</t>
  </si>
  <si>
    <t>770861fb-d9dd-4e33-a2e6-d5f9dac5fa67</t>
  </si>
  <si>
    <t>62ec63a6-e2b1-4ac8-a4b9-9b7bb0d61014</t>
  </si>
  <si>
    <t>c9f382c4-5221-463c-b65e-a6fda9c74081</t>
  </si>
  <si>
    <t>634251a9-c3b6-48b7-a567-3aaf21439805</t>
  </si>
  <si>
    <t>64e7a80d-d485-4085-a74f-a274009ea8a2</t>
  </si>
  <si>
    <t>9288ce7f-0dcd-483e-aa3a-f6f8c6977b25</t>
  </si>
  <si>
    <t>51950a10-f1e5-49d7-8216-0782c7a4c431</t>
  </si>
  <si>
    <t>e8b29689-02ee-42ba-b4ab-eb1b0f5bf5a0</t>
  </si>
  <si>
    <t>a4e7fe2a-f3bb-45ed-b3b5-50a4f3883d77</t>
  </si>
  <si>
    <t>a79ba6b3-46cd-469d-aaff-85c1593a55c1</t>
  </si>
  <si>
    <t>1da16926-fbb4-4557-81cd-d7506cdf3a6d</t>
  </si>
  <si>
    <t>bca00223-7379-4862-a75e-0c9ef02081a8</t>
  </si>
  <si>
    <t>a5042b6d-4a48-473e-afc0-3f0097f5053a</t>
  </si>
  <si>
    <t>d77a787f-08b6-46bb-b517-a3c0b1181858</t>
  </si>
  <si>
    <t>1306628a-18b8-407e-8780-6fcbd9283cb7</t>
  </si>
  <si>
    <t>79ea4155-582c-4d05-abda-ba33c1d1bc27</t>
  </si>
  <si>
    <t>6388c89b-1aa6-4e2a-808e-ad6804690239</t>
  </si>
  <si>
    <t>170ba610-3731-42fa-8ceb-dc6dffca5b6e</t>
  </si>
  <si>
    <t>277141a4-af8b-4a1f-aa7c-459fa042ed75</t>
  </si>
  <si>
    <t>60768f06-8028-4c9a-986a-66a6513b1bc9</t>
  </si>
  <si>
    <t>1155311a-5c36-4bee-8d15-3a8167fe3653</t>
  </si>
  <si>
    <t>bba876ea-2f46-4eb5-a432-eb6dec38dc11</t>
  </si>
  <si>
    <t>ac53a7e0-d1fb-457a-bbbc-c7a4e0e4afc6</t>
  </si>
  <si>
    <t>208cbca2-c075-4cdb-9471-a7108fd20643</t>
  </si>
  <si>
    <t>951174b4-c9a3-40c0-8195-71e2d146ab60</t>
  </si>
  <si>
    <t>d5087b9b-f1f5-4d38-be69-56d8d2931c5c</t>
  </si>
  <si>
    <t>028eab72-d29c-46ca-8841-d011c8207874</t>
  </si>
  <si>
    <t>a942b317-b604-43f2-ba3a-6466422f3aa5</t>
  </si>
  <si>
    <t>6d6c930d-aa57-442d-a74b-edcc34abf880</t>
  </si>
  <si>
    <t>b03ab842-f7cb-47e2-a194-2c2a36f3d3cb</t>
  </si>
  <si>
    <t>f3e3c204-0521-489d-9b53-f72fb53592af</t>
  </si>
  <si>
    <t>6c0cc2de-aa1d-4aa9-9c22-409225e65713</t>
  </si>
  <si>
    <t>fba7bb9c-874f-483e-b7e1-272f88f4c6ab</t>
  </si>
  <si>
    <t>bf805713-5371-4a56-a6ed-3ecb0d7b5d33</t>
  </si>
  <si>
    <t>d35dca98-bb29-440c-abfb-a78278daafde</t>
  </si>
  <si>
    <t>d3a36d71-0d5d-45c9-8bf0-40c7d14d405c</t>
  </si>
  <si>
    <t>f64d8b92-794d-4b95-8b9d-6908410c9385</t>
  </si>
  <si>
    <t>2778001e-9d8a-46de-b36f-220e291f9c32</t>
  </si>
  <si>
    <t>f7926bd1-dd8c-4ad6-9e6a-0286f44bacbd</t>
  </si>
  <si>
    <t>7a2c2373-6726-426e-998a-f1622b5fb1a3</t>
  </si>
  <si>
    <t>6819fecb-4fe8-41cb-a286-674c9e2e80e3</t>
  </si>
  <si>
    <t>e5772d7c-8e90-471d-b899-ac9ec603f0f2</t>
  </si>
  <si>
    <t>a40ffca0-0c4f-4f4c-86c9-f26460f2819b</t>
  </si>
  <si>
    <t>624d3632-b84f-4b77-9630-d6fc9da555f5</t>
  </si>
  <si>
    <t>bfc48342-7b72-45f8-9732-96b7c163e939</t>
  </si>
  <si>
    <t>fb1bb641-30f5-45b4-9914-7eb54b200e90</t>
  </si>
  <si>
    <t>98551a53-be02-4165-80e7-322a9b955060</t>
  </si>
  <si>
    <t>bc3bffb2-d06a-4473-9d7d-5433315c88eb</t>
  </si>
  <si>
    <t>cdc08080-0a5b-49e6-b098-270f3bf2c3d1</t>
  </si>
  <si>
    <t>2d66f3e7-5786-4740-a76e-f2f23f900462</t>
  </si>
  <si>
    <t>e8d7f4ea-8826-48ce-b768-9660bcfd76db</t>
  </si>
  <si>
    <t>9281a133-323b-4c14-996e-96b7fbe78ba0</t>
  </si>
  <si>
    <t>662cf31c-06d2-43f2-a7d5-9ccfa03fd76e</t>
  </si>
  <si>
    <t>72f8404e-93f8-49fb-9898-423a4abb167b</t>
  </si>
  <si>
    <t>1df9564d-d81c-4f22-a6f3-256c03ae35e2</t>
  </si>
  <si>
    <t>ecc3fb2c-a0e8-48dd-9957-830160bf7404</t>
  </si>
  <si>
    <t>78d611da-fdaf-4e33-ba7d-75ca15742acf</t>
  </si>
  <si>
    <t>7aa1e796-2b57-4984-8a3d-eabb85c73f27</t>
  </si>
  <si>
    <t>417cd3a5-e6fc-466f-8a37-5512a5dca245</t>
  </si>
  <si>
    <t>d296754d-a5cf-48a0-9b2e-834a13ceb341</t>
  </si>
  <si>
    <t>4579dc74-6057-477c-b7ac-be6403be2d67</t>
  </si>
  <si>
    <t>c698831e-d682-4f9c-aef8-15ae783a557a</t>
  </si>
  <si>
    <t>6d7a6ee8-8537-417f-9073-09a432f5c4eb</t>
  </si>
  <si>
    <t>f0dce0dc-5764-45f6-ac0a-4121dfa6e093</t>
  </si>
  <si>
    <t>69a761ac-db43-41e4-b6ce-317a55a45efd</t>
  </si>
  <si>
    <t>614bbff1-3d47-42ba-bca0-ca7cc8d5a634</t>
  </si>
  <si>
    <t>74039469-2cbe-40c4-9758-87b204867648</t>
  </si>
  <si>
    <t>54e18641-5cfd-4faa-9fce-cae2fb6d6bde</t>
  </si>
  <si>
    <t>2ccbf11d-327c-498e-88a5-16f6de8861bb</t>
  </si>
  <si>
    <t>7b0ec409-2dee-494b-82b0-a7a550464220</t>
  </si>
  <si>
    <t>b91f9781-7d69-4b90-bb25-bd008bb74ab6</t>
  </si>
  <si>
    <t>cb44fc44-a505-4b9d-99d0-6b279823e3f1</t>
  </si>
  <si>
    <t>f1586679-b1fb-4ab6-b04c-582234a63cf3</t>
  </si>
  <si>
    <t>b0163e4f-b9a2-40b6-97d8-93514b8223e3</t>
  </si>
  <si>
    <t>37f93777-7364-441a-b8f8-b4416f131678</t>
  </si>
  <si>
    <t>baef29ea-9594-4cc5-ab16-593112c60ac1</t>
  </si>
  <si>
    <t>43b8a48b-8d94-41a5-9603-5d3ae724c792</t>
  </si>
  <si>
    <t>bea3e7e5-02d2-4330-b6e5-6cd3dbfdec08</t>
  </si>
  <si>
    <t>444f18fc-1fe2-4446-ad39-b13970e717a1</t>
  </si>
  <si>
    <t>734f15ea-f0c7-4c81-a967-e5b6b69ba9c9</t>
  </si>
  <si>
    <t>8ab32c81-e408-480f-b2b1-2778e65967d0</t>
  </si>
  <si>
    <t>f2811728-2333-47bf-afc6-36d965075ecb</t>
  </si>
  <si>
    <t>ecd559bf-da0e-4f34-8c87-4058a3944c66</t>
  </si>
  <si>
    <t>a17efb7e-bf6a-484f-9ffd-24e04e9a45d6</t>
  </si>
  <si>
    <t>ce265f26-e74e-4b7b-90db-675d127fe26f</t>
  </si>
  <si>
    <t>03aae2bd-2e8b-4c12-8f04-275d2c99bdf9</t>
  </si>
  <si>
    <t>b81ebda7-0da8-4f5e-b2c2-c1fddf089302</t>
  </si>
  <si>
    <t>926d6e30-b173-4d4f-b223-a6e3be2a1369</t>
  </si>
  <si>
    <t>76c3a7d8-b6ca-43dc-a28f-ff0ed1c808c7</t>
  </si>
  <si>
    <t>11cf3eb7-6476-4631-8a90-b15ff73f3664</t>
  </si>
  <si>
    <t>fc1518d0-1e6f-431b-b174-3fbeab7c3443</t>
  </si>
  <si>
    <t>4edadc09-1654-46f2-922c-33f7f0f498fc</t>
  </si>
  <si>
    <t>8ad193e4-6304-4552-9a29-40cf2f8086fe</t>
  </si>
  <si>
    <t>25794620-5afd-4e2e-b90d-45d0b37a751b</t>
  </si>
  <si>
    <t>1847bc46-aede-4f71-9f0d-2ae3bcf38327</t>
  </si>
  <si>
    <t>ea8ed5bf-a110-4e68-b17f-cbd1d99ceeaf</t>
  </si>
  <si>
    <t>be15ec8e-cd9a-46e8-bda9-7e40702ca47a</t>
  </si>
  <si>
    <t>7aeda723-530c-453c-84ca-2a9838b715e0</t>
  </si>
  <si>
    <t>89ad49e3-6f0c-421e-8467-bb26dd947942</t>
  </si>
  <si>
    <t>8db873bb-c6b7-454b-94f1-8108d43da3cd</t>
  </si>
  <si>
    <t>29c8845a-5d49-45dc-93ae-3198246f5747</t>
  </si>
  <si>
    <t>189d7bc8-7f9d-46ad-b5b9-3e223ec63d7a</t>
  </si>
  <si>
    <t>d90e5e74-feee-4820-a1e3-7bf1c2086391</t>
  </si>
  <si>
    <t>1a331e94-07ff-4916-9ffe-3a323fd7e3e2</t>
  </si>
  <si>
    <t>a4c415ac-a632-4983-bc0e-719c6d8c53a4</t>
  </si>
  <si>
    <t>7d81b79b-d889-444d-a048-96327524ee64</t>
  </si>
  <si>
    <t>a39519c3-8785-4424-9af9-d4f4c628412d</t>
  </si>
  <si>
    <t>4925da66-426f-4299-9ee7-18faa3d7bf0f</t>
  </si>
  <si>
    <t>2a0b6a64-1825-4f18-a13a-0dc591b6afe1</t>
  </si>
  <si>
    <t>46765328-9c4a-4deb-9740-9808720102d4</t>
  </si>
  <si>
    <t>41c4bc44-5869-4af6-a234-b90844855747</t>
  </si>
  <si>
    <t>3c88e3c3-c82d-4753-8bcc-0f43f69c1772</t>
  </si>
  <si>
    <t>bd507b83-6c19-404b-af54-3848abf70114</t>
  </si>
  <si>
    <t>6ecbe3da-2e40-46e3-a519-15f277a19536</t>
  </si>
  <si>
    <t>362d9272-ab37-4da7-9386-616e4af864c2</t>
  </si>
  <si>
    <t>85ae6c39-ef61-4bd8-8c4e-74d6c28f2b85</t>
  </si>
  <si>
    <t>5d31b314-037c-4f8c-94a6-c223c1391dfa</t>
  </si>
  <si>
    <t>e02f0e8c-e559-402f-be6c-537ccfbaaa51</t>
  </si>
  <si>
    <t>01e4071a-bb76-4dd1-8c05-2a08b9d7580d</t>
  </si>
  <si>
    <t>8ebaddc7-36cc-4a57-ac0b-b1d8b7a9b45c</t>
  </si>
  <si>
    <t>bd39d61e-295d-453f-b8f5-a627cfa92c94</t>
  </si>
  <si>
    <t>b9877bd2-1de5-4997-838c-612d06a37e94</t>
  </si>
  <si>
    <t>77f16624-9b64-4b72-a8f7-a48167be12f2</t>
  </si>
  <si>
    <t>060ac476-1cd8-40c0-8115-2ad3725021c2</t>
  </si>
  <si>
    <t>04ea1435-9d4a-4210-8d96-19b44937f369</t>
  </si>
  <si>
    <t>11269f65-ead3-475e-9e02-3a051d008ed5</t>
  </si>
  <si>
    <t>7ff5d1cf-9b50-4850-b0f9-723c313a027a</t>
  </si>
  <si>
    <t>ad1319b8-0e84-428d-9df8-ddfc59b1e2c8</t>
  </si>
  <si>
    <t>ee1d2278-9c96-42ed-8cae-16df3e096861</t>
  </si>
  <si>
    <t>81ce4d21-c1c4-4bc5-b1ad-d8d2ef203e95</t>
  </si>
  <si>
    <t>05c72467-7278-40c3-acfd-7c6169e3d20a</t>
  </si>
  <si>
    <t>c72f33b0-baf2-46d4-a101-a6309f1a8dc1</t>
  </si>
  <si>
    <t>23fb5d3e-9696-4770-9266-4bb1676db69e</t>
  </si>
  <si>
    <t>905d2704-1c2b-4a3b-b015-91976b8d50d4</t>
  </si>
  <si>
    <t>c0d96a5b-f5f4-4460-9b8f-210f1bb687ff</t>
  </si>
  <si>
    <t>559e3315-2b7f-40bb-bcd9-b7b00c46006b</t>
  </si>
  <si>
    <t>00dfdf8f-36b7-4bd4-a08c-2f77048c389a</t>
  </si>
  <si>
    <t>11e4688b-b43a-45ca-aea9-c1eaca487b65</t>
  </si>
  <si>
    <t>97232171-b5a5-44f1-9c25-25ed305be541</t>
  </si>
  <si>
    <t>2970cb48-13b9-49ae-b0dd-f0f5a49f75a8</t>
  </si>
  <si>
    <t>086e5363-6bc5-411b-b62e-992d2f1c0ec0</t>
  </si>
  <si>
    <t>2bc6af2b-9245-438b-9056-e6f57ceb1f1e</t>
  </si>
  <si>
    <t>a9355962-eb49-46d7-bd62-55e41476ce57</t>
  </si>
  <si>
    <t>1187dcbb-e91f-4c84-804a-e525608d55d9</t>
  </si>
  <si>
    <t>2ceb810a-b406-4ef2-bae2-30260aaf5ffb</t>
  </si>
  <si>
    <t>d7bdef38-671c-456d-9990-5a2097d7c95a</t>
  </si>
  <si>
    <t>d80a4b60-b4ff-490c-ae29-0f1f7e3c13d8</t>
  </si>
  <si>
    <t>6a2637c5-7f0d-46e3-ad21-66ae5727564e</t>
  </si>
  <si>
    <t>de52e875-6326-44ee-851f-7894781df6f4</t>
  </si>
  <si>
    <t>5d7afd3f-181e-4837-9fca-943e1a3fba8c</t>
  </si>
  <si>
    <t>5392a163-258b-45fa-8eef-9f76eb84e970</t>
  </si>
  <si>
    <t>abb54693-ca39-4750-ae05-d237c1220f4e</t>
  </si>
  <si>
    <t>4691fb97-4c3b-41d5-9d92-d48e34236768</t>
  </si>
  <si>
    <t>52aa8e6f-49d1-4e61-8147-70313f02dd4d</t>
  </si>
  <si>
    <t>5afc0b2a-03b9-4281-bc9d-98262cb9631f</t>
  </si>
  <si>
    <t>7d7effd4-498f-4151-a0b2-e4eeb7eb4896</t>
  </si>
  <si>
    <t>713eb57f-a123-4c8a-913f-8e51e03163aa</t>
  </si>
  <si>
    <t>822e55cd-46ca-4ed1-9c78-c984d63e5c4e</t>
  </si>
  <si>
    <t>b19b3704-53c0-42c4-a0d9-b651a24b328e</t>
  </si>
  <si>
    <t>f474de27-22fb-4263-bc3a-c2a12b91eec0</t>
  </si>
  <si>
    <t>ad226bd0-196d-4b70-9cc8-e08d90169c79</t>
  </si>
  <si>
    <t>8f0095c6-e822-42ef-a19b-8fcc067e525a</t>
  </si>
  <si>
    <t>dd856048-8ed9-4d2b-8cee-ab35b5c3c2eb</t>
  </si>
  <si>
    <t>01df7973-9a95-4506-a1d4-ad62baf17618</t>
  </si>
  <si>
    <t>60dd16f3-70db-457e-a7b6-5fd52eea047e</t>
  </si>
  <si>
    <t>cd1830c2-67b7-42c1-b103-5bd65cf26037</t>
  </si>
  <si>
    <t>2a155d76-663b-478f-8862-ebfbecc8427e</t>
  </si>
  <si>
    <t>4dc868e8-2ada-4694-91c1-c70f527a0b5e</t>
  </si>
  <si>
    <t>c388b16c-3633-406f-b4f0-f15d8cddefdb</t>
  </si>
  <si>
    <t>7c7ea0fa-e9e8-499a-9955-cafe42cf2c21</t>
  </si>
  <si>
    <t>8e771587-632e-46f5-aed2-92df1d113ff8</t>
  </si>
  <si>
    <t>607111b9-49ea-4835-abdc-2911aca66b52</t>
  </si>
  <si>
    <t>b04c1c52-8ea1-4bd2-9d00-17ca4b2ed7a2</t>
  </si>
  <si>
    <t>8a19425b-3900-4794-a2dd-efd0ecc4f3a7</t>
  </si>
  <si>
    <t>7f793ae1-5ef6-40f0-87f4-f9b6a956afb8</t>
  </si>
  <si>
    <t>5425664e-760a-4402-8fc6-c343407a4117</t>
  </si>
  <si>
    <t>16c6add1-6cb4-4be9-ab84-65b3d72269cf</t>
  </si>
  <si>
    <t>b1641994-8423-4900-bd7b-4fe53257de37</t>
  </si>
  <si>
    <t>1b6f8ae5-ebba-43f4-8eb2-aae9697ef869</t>
  </si>
  <si>
    <t>539c9d15-aa0e-4462-864b-7792d2616917</t>
  </si>
  <si>
    <t>f3ee18ec-9e77-45d8-afea-172c0b5ef20c</t>
  </si>
  <si>
    <t>3db92902-f338-4157-8673-e33d7bce4ee1</t>
  </si>
  <si>
    <t>2021f55b-dd40-48af-8392-43b53ccfd9a8</t>
  </si>
  <si>
    <t>0b007671-4f24-4040-9e55-cd9ebd71cc3f</t>
  </si>
  <si>
    <t>aa5db832-12aa-4fcc-ab72-7ca472aa5b0d</t>
  </si>
  <si>
    <t>5bb92c17-078a-4672-9425-8d5b3c8a1e60</t>
  </si>
  <si>
    <t>c9a3ee7a-9d87-44f1-82ac-a38bcad2a884</t>
  </si>
  <si>
    <t>f7698e30-3226-459e-9cbd-059356652656</t>
  </si>
  <si>
    <t>8e25dd05-398a-4b31-99c7-8c605af21ace</t>
  </si>
  <si>
    <t>ff002b89-cf88-42a8-a65f-378bf6830dbc</t>
  </si>
  <si>
    <t>7b0c98e7-014d-4ec0-9ecf-e356679453e6</t>
  </si>
  <si>
    <t>87f110ff-ce91-43a4-a8c6-16012da5fbfd</t>
  </si>
  <si>
    <t>e4c765fd-cba4-4813-b214-3653be8466ce</t>
  </si>
  <si>
    <t>c2d7ac02-db3e-449b-a464-683a75d2710d</t>
  </si>
  <si>
    <t>e366d852-d3ee-487c-96ea-6d38c02998db</t>
  </si>
  <si>
    <t>7e62912c-ba6a-498e-8bdd-94118af0ec9c</t>
  </si>
  <si>
    <t>47ea9720-6d56-495b-b195-3f9a8c365498</t>
  </si>
  <si>
    <t>75b1d6fe-bcf7-496b-9af7-254f7587aa34</t>
  </si>
  <si>
    <t>49168f25-9ab0-4264-9dab-22e515f29d6c</t>
  </si>
  <si>
    <t>cbe65422-6f34-4cc6-a0ce-d2a0eb5be606</t>
  </si>
  <si>
    <t>9144ecc8-1f1e-4c72-846c-c1933c973487</t>
  </si>
  <si>
    <t>33f43f35-af92-43f7-93ee-8c9b4f892414</t>
  </si>
  <si>
    <t>5e0ec5ea-d115-4830-a2b7-bb7236f42bba</t>
  </si>
  <si>
    <t>68ea9053-5a88-4b09-885c-48d2b9a23844</t>
  </si>
  <si>
    <t>19c42724-2755-489b-8586-2cad78aea175</t>
  </si>
  <si>
    <t>9663dc59-1c42-418d-8be4-927290a51954</t>
  </si>
  <si>
    <t>3d72043a-5f9c-4bd4-ac4b-c07009599556</t>
  </si>
  <si>
    <t>ededc2c3-0217-4ce1-a8f6-d9e40cb0e964</t>
  </si>
  <si>
    <t>12d67503-4cb8-42d7-acb1-7d1e3dca5ea0</t>
  </si>
  <si>
    <t>11e2be9d-a638-4e94-ad98-68cd25a0d480</t>
  </si>
  <si>
    <t>6abdc2b3-cfab-4e98-a181-005fd6db963b</t>
  </si>
  <si>
    <t>7333b2d8-b4a1-4978-85ec-110a40f4f8ba</t>
  </si>
  <si>
    <t>d15baac2-7b3d-49d2-8982-c37c2334ab7a</t>
  </si>
  <si>
    <t>ae3128a8-7514-4b56-a556-dab56034ccbd</t>
  </si>
  <si>
    <t>1b0e238d-d670-4e64-bb10-56a19be6f297</t>
  </si>
  <si>
    <t>37b39d79-9887-4adc-a8e4-7778eb9b6105</t>
  </si>
  <si>
    <t>f79ddc28-988c-479e-bfd0-38229c12705f</t>
  </si>
  <si>
    <t>d39d80f3-7ff1-42ab-bcc1-54dcebb8260a</t>
  </si>
  <si>
    <t>cac07287-e60d-474e-973b-101e593c27f9</t>
  </si>
  <si>
    <t>b2a2d220-40eb-4d47-ae1c-86cc3a29c8a4</t>
  </si>
  <si>
    <t>4ff68b09-57bc-4ec5-a4d9-e9df71f70d3f</t>
  </si>
  <si>
    <t>029784b7-d896-4d8e-bd9e-4ff5bc90ae8e</t>
  </si>
  <si>
    <t>a02a7f5b-14a3-49cd-9419-0ea526f24de2</t>
  </si>
  <si>
    <t>c4283644-1a85-4758-9032-9488ced35e09</t>
  </si>
  <si>
    <t>58d790f3-8ab3-42e4-ab20-262564b3abb5</t>
  </si>
  <si>
    <t>61122c6a-0ae8-45f7-813a-313c5a62eb42</t>
  </si>
  <si>
    <t>5cc6db86-ad1f-4867-9e2a-822959995f65</t>
  </si>
  <si>
    <t>b292a024-bf63-447b-bc98-b08250ff0ff9</t>
  </si>
  <si>
    <t>d8a0d496-f9b3-445d-8b85-126c38bc8ffd</t>
  </si>
  <si>
    <t>26f983ca-8d17-41dc-9058-33c94deec9a5</t>
  </si>
  <si>
    <t>1b66d016-c323-40ca-adc7-0e36f37d3c36</t>
  </si>
  <si>
    <t>5a87625b-c57b-42e9-a7fd-d228072ac5ea</t>
  </si>
  <si>
    <t>9c3cb5a7-bcd8-4372-adbe-f839d6499cdb</t>
  </si>
  <si>
    <t>67abdb33-1843-490a-9226-17b67b2b801d</t>
  </si>
  <si>
    <t>56db7771-a18d-4f64-9f2b-4855f87b07b0</t>
  </si>
  <si>
    <t>6844a812-fcf7-47e5-9c12-01f758d69369</t>
  </si>
  <si>
    <t>a8708820-ac8c-4ece-9518-8257c6b5d3b2</t>
  </si>
  <si>
    <t>f8cf5c05-92d2-4863-bb62-5f3bebf0dc08</t>
  </si>
  <si>
    <t>369bb6a2-1e5c-474c-81f4-2589bb6fdfad</t>
  </si>
  <si>
    <t>fe092099-4e17-4c92-a3b0-60e08962a865</t>
  </si>
  <si>
    <t>a62fda51-b7d4-4bdf-8981-04ad6dc6f4b0</t>
  </si>
  <si>
    <t>96db50c5-f315-4176-aaea-50d4f8764957</t>
  </si>
  <si>
    <t>fa9c2a62-04a3-41e5-8fbb-8de328439f04</t>
  </si>
  <si>
    <t>f83ee81e-9cdc-4ed3-87b6-7345f186195e</t>
  </si>
  <si>
    <t>d98d7a7c-ea0d-48db-a047-c8245ecb20de</t>
  </si>
  <si>
    <t>132b325c-3ba4-412f-a1ba-e3a7f018b66d</t>
  </si>
  <si>
    <t>Total</t>
  </si>
  <si>
    <t>Revenue
(USD m)</t>
  </si>
  <si>
    <t>Gross Margin
(USD m)</t>
  </si>
  <si>
    <t>Net Value
(USD m)</t>
  </si>
  <si>
    <t>Case ▶</t>
  </si>
  <si>
    <t>Base</t>
  </si>
  <si>
    <t>4 regions  ·  21 initiatives  ·  USD m, plan basis  ·  value columns reflect the selected Base Year and Case</t>
  </si>
  <si>
    <t>Base Run Rate Year ▶</t>
  </si>
  <si>
    <t>Actual (based on actual date and value of initiatives completed, regardless of whether they were part of the plan)</t>
  </si>
  <si>
    <t>FY25</t>
  </si>
  <si>
    <t>Revenue
FY25 Base (USD m)</t>
  </si>
  <si>
    <t>Gross Margin
FY25 Base (USD m)</t>
  </si>
  <si>
    <t>Cost Plan
FY25 Base (USD m)</t>
  </si>
  <si>
    <t>Net Value
FY25 Base (USD m)</t>
  </si>
  <si>
    <t>Plan - locked on [selected date]</t>
  </si>
  <si>
    <t>Baseline</t>
  </si>
  <si>
    <t>workstreams</t>
  </si>
  <si>
    <t>financial impact types</t>
  </si>
  <si>
    <t>done</t>
  </si>
  <si>
    <t>initiative tag</t>
  </si>
  <si>
    <t>approval flows</t>
  </si>
  <si>
    <t>Configurable</t>
  </si>
  <si>
    <t>Fixed</t>
  </si>
  <si>
    <t>5 stage gates</t>
  </si>
  <si>
    <t>stage gate progression requirement / checklist</t>
  </si>
  <si>
    <t>check value definitions</t>
  </si>
  <si>
    <t>build in-year value dashboard</t>
  </si>
  <si>
    <t>calibrate baseline</t>
  </si>
  <si>
    <t>Run rate value of completed initiatives (completed initiative = initiative in G4)</t>
  </si>
  <si>
    <t>Gate 3</t>
  </si>
  <si>
    <t>Plan - locked on [selected date - based on initiatives in G3 then]</t>
  </si>
  <si>
    <t>Actual [regardless of which initiatives delivered it]</t>
  </si>
  <si>
    <t>In-year value of initiatives</t>
  </si>
  <si>
    <t>Stage gate</t>
  </si>
  <si>
    <t>Revenue (USD m)</t>
  </si>
  <si>
    <t>Total Revenue</t>
  </si>
  <si>
    <t>Gross Margin (USD m)</t>
  </si>
  <si>
    <t>Total Gross Margin</t>
  </si>
  <si>
    <t>Total Cost Plan</t>
  </si>
  <si>
    <t>Net Value (USD m)</t>
  </si>
  <si>
    <t>Total Net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</si>
</sst>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
    <numFmt numFmtId="165" formatCode="#,##0.000"/>
    <numFmt numFmtId="166" formatCode="#,##0.##;\(#,##0.##\);\-"/>
    <numFmt numFmtId="167" formatCode="#,##0.000_);\(#,##0.000\)"/>
  </numFmts>
  <fonts count="24" x14ac:knownFonts="1">
    <font>
      <sz val="11"/>
      <color theme="1"/>
      <name val="Calibri"/>
      <family val="2"/>
      <charset val="1"/>
    </font>
    <font>
      <b/>
      <sz val="16"/>
      <color rgb="FFFFFFFF"/>
      <name val="Arial"/>
      <charset val="1"/>
    </font>
    <font>
      <i/>
      <sz val="9"/>
      <color rgb="FF595959"/>
      <name val="Arial"/>
      <charset val="1"/>
    </font>
    <font>
      <b/>
      <sz val="10"/>
      <color rgb="FFFFFFFF"/>
      <name val="Arial"/>
      <charset val="1"/>
    </font>
    <font>
      <b/>
      <sz val="9"/>
      <color rgb="FF2E5496"/>
      <name val="Arial"/>
      <charset val="1"/>
    </font>
    <font>
      <sz val="9"/>
      <color rgb="FF000000"/>
      <name val="Arial"/>
      <charset val="1"/>
    </font>
    <font>
      <b/>
      <sz val="11"/>
      <color rgb="FFFFFFFF"/>
      <name val="Arial"/>
      <charset val="1"/>
    </font>
    <font>
      <b/>
      <sz val="14"/>
      <color rgb="FFFFFFFF"/>
      <name val="Arial"/>
      <charset val="1"/>
    </font>
    <font>
      <b/>
      <sz val="9"/>
      <color rgb="FF1F3864"/>
      <name val="Arial"/>
      <charset val="1"/>
    </font>
    <font>
      <sz val="9"/>
      <color rgb="FF2E5496"/>
      <name val="Arial"/>
      <charset val="1"/>
    </font>
    <font>
      <b/>
      <sz val="11"/>
      <color theme="1"/>
      <name val="Calibri"/>
      <family val="2"/>
      <charset val="1"/>
    </font>
    <font>
      <b/>
      <sz val="10"/>
      <color theme="1"/>
      <name val="Calibri"/>
      <family val="2"/>
      <charset val="1"/>
    </font>
    <font>
      <b/>
      <sz val="11"/>
      <color rgb="FF0000FF"/>
      <name val="Calibri"/>
      <family val="2"/>
      <charset val="1"/>
    </font>
    <font>
      <b/>
      <sz val="11"/>
      <color theme="1"/>
      <name val="Calibri"/>
      <family val="2"/>
    </font>
    <font>
      <b/>
      <sz val="9"/>
      <color theme="1"/>
      <name val="Arial"/>
      <family val="2"/>
    </font>
    <font>
      <sz val="9"/>
      <color rgb="FF000000"/>
      <name val="Arial"/>
      <family val="2"/>
    </font>
    <font>
      <b/>
      <sz val="9"/>
      <color rgb="FF1F3864"/>
      <name val="Arial"/>
      <family val="2"/>
    </font>
    <font>
      <b/>
      <sz val="12"/>
      <color rgb="FFFFFFFF"/>
      <name val="Calibri"/>
      <family val="2"/>
      <charset val="1"/>
    </font>
    <font>
      <b/>
      <sz val="12"/>
      <color rgb="FFFFFFFF"/>
      <name val="Calibri"/>
    </font>
    <font>
      <b/>
      <i/>
      <sz val="11"/>
      <color rgb="FF7F6000"/>
      <name val="Calibri"/>
    </font>
    <font>
      <b/>
      <i/>
      <sz val="11"/>
      <color rgb="FF1F3864"/>
      <name val="Calibri"/>
    </font>
    <font>
      <b/>
      <sz val="9"/>
      <color theme="1"/>
      <name val="Arial"/>
    </font>
    <font>
      <sz val="9"/>
      <color rgb="FF000000"/>
      <name val="Arial"/>
    </font>
    <font>
      <sz val="9"/>
      <color theme="1"/>
      <name val="Arial"/>
    </font>
  </fonts>
  <fills count="16">
    <fill>
      <patternFill patternType="none"/>
    </fill>
    <fill>
      <patternFill patternType="gray125"/>
    </fill>
    <fill>
      <patternFill patternType="solid">
        <fgColor rgb="FF1F3864"/>
        <bgColor rgb="FF333333"/>
      </patternFill>
    </fill>
    <fill>
      <patternFill patternType="solid">
        <fgColor rgb="FF2E5496"/>
        <bgColor rgb="FF1F3864"/>
      </patternFill>
    </fill>
    <fill>
      <patternFill patternType="solid">
        <fgColor rgb="FFF2F2F2"/>
        <bgColor rgb="FFFFFFFF"/>
      </patternFill>
    </fill>
    <fill>
      <patternFill patternType="solid">
        <fgColor rgb="FFD9E1F2"/>
        <bgColor rgb="FFF2F2F2"/>
      </patternFill>
    </fill>
    <fill>
      <patternFill patternType="solid">
        <fgColor rgb="FFFFFFFF"/>
        <bgColor indexed="64"/>
      </patternFill>
    </fill>
    <fill>
      <patternFill patternType="solid">
        <fgColor rgb="FFF2F2F2"/>
        <bgColor indexed="64"/>
      </patternFill>
    </fill>
    <fill>
      <patternFill patternType="solid">
        <fgColor rgb="FFFFFF00"/>
        <bgColor indexed="64"/>
      </patternFill>
    </fill>
    <fill>
      <patternFill patternType="solid">
        <fgColor rgb="FF44546A"/>
        <bgColor indexed="64"/>
      </patternFill>
    </fill>
    <fill>
      <patternFill patternType="solid">
        <fgColor rgb="FF1F3864"/>
        <bgColor indexed="64"/>
      </patternFill>
    </fill>
    <fill>
      <patternFill patternType="solid">
        <fgColor rgb="FFFFF2CC"/>
        <bgColor indexed="64"/>
      </patternFill>
    </fill>
    <fill>
      <patternFill patternType="solid">
        <fgColor rgb="FFDDEBF7"/>
        <bgColor indexed="64"/>
      </patternFill>
    </fill>
    <fill>
      <patternFill patternType="solid">
        <fgColor rgb="FFD9E1F2"/>
        <bgColor indexed="64"/>
      </patternFill>
    </fill>
    <fill>
      <patternFill patternType="solid">
        <fgColor theme="2" tint="-9.9978637043366805E-2"/>
        <bgColor rgb="FFF2F2F2"/>
      </patternFill>
    </fill>
    <fill>
      <patternFill patternType="solid">
        <fgColor rgb="FFB4C6E7"/>
        <bgColor indexed="64"/>
      </patternFill>
    </fill>
  </fills>
  <borders count="16">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style="thin">
        <color auto="1"/>
      </left>
      <right style="thin">
        <color auto="1"/>
      </right>
      <top style="thin">
        <color auto="1"/>
      </top>
      <bottom style="thin">
        <color rgb="FFBFBFBF"/>
      </bottom>
      <diagonal/>
    </border>
    <border>
      <left style="thin">
        <color rgb="FFBFBFBF"/>
      </left>
      <right style="thin">
        <color rgb="FFBFBFBF"/>
      </right>
      <top/>
      <bottom/>
      <diagonal/>
    </border>
    <border>
      <left style="thin">
        <color indexed="64"/>
      </left>
      <right style="thin">
        <color indexed="64"/>
      </right>
      <top style="thin">
        <color indexed="64"/>
      </top>
      <bottom style="thin">
        <color indexed="64"/>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diagonal/>
    </border>
    <border>
      <left/>
      <right/>
      <top/>
      <bottom style="thin">
        <color rgb="FFBFBFBF"/>
      </bottom>
      <diagonal/>
    </border>
    <border>
      <left/>
      <right/>
      <top style="thin">
        <color rgb="FFBFBFBF"/>
      </top>
      <bottom/>
      <diagonal/>
    </border>
    <border>
      <left/>
      <right/>
      <top style="thin">
        <color rgb="FF000000"/>
      </top>
      <bottom/>
      <diagonal/>
    </border>
    <border>
      <left/>
      <right/>
      <top style="thin">
        <color rgb="FF000000"/>
      </top>
      <bottom style="thin">
        <color rgb="FFBFBFBF"/>
      </bottom>
      <diagonal/>
    </border>
    <border>
      <left style="thin">
        <color rgb="FFBFBFBF"/>
      </left>
      <right/>
      <top style="thin">
        <color rgb="FF000000"/>
      </top>
      <bottom style="thin">
        <color rgb="FFBFBFBF"/>
      </bottom>
      <diagonal/>
    </border>
    <border>
      <left/>
      <right style="thin">
        <color rgb="FFBFBFBF"/>
      </right>
      <top style="thin">
        <color rgb="FFBFBFBF"/>
      </top>
      <bottom/>
      <diagonal/>
    </border>
    <border>
      <left/>
      <right style="thin">
        <color rgb="FFBFBFBF"/>
      </right>
      <top/>
      <bottom/>
      <diagonal/>
    </border>
    <border>
      <left/>
      <right style="thin">
        <color rgb="FFBFBFBF"/>
      </right>
      <top style="thin">
        <color rgb="FF000000"/>
      </top>
      <bottom style="thin">
        <color rgb="FFBFBFBF"/>
      </bottom>
      <diagonal/>
    </border>
  </borders>
  <cellStyleXfs count="1">
    <xf numFmtId="0" fontId="0" fillId="0" borderId="0"/>
  </cellStyleXfs>
  <cellXfs count="91">
    <xf numFmtId="0" fontId="0" fillId="0" borderId="0" xfId="0"/>
    <xf numFmtId="0" fontId="7" fillId="2" borderId="0" xfId="0" applyFont="1" applyFill="1"/>
    <xf numFmtId="0" fontId="6" fillId="2" borderId="1" xfId="0" applyFont="1" applyFill="1" applyBorder="1" applyAlignment="1">
      <alignment horizontal="right" vertical="center"/>
    </xf>
    <xf numFmtId="0" fontId="2" fillId="0" borderId="0" xfId="0" applyFont="1"/>
    <xf numFmtId="0" fontId="1" fillId="2" borderId="0" xfId="0" applyFont="1" applyFill="1" applyAlignment="1">
      <alignment horizontal="left" vertical="center"/>
    </xf>
    <xf numFmtId="0" fontId="3" fillId="3" borderId="1" xfId="0" applyFont="1" applyFill="1" applyBorder="1" applyAlignment="1">
      <alignment horizontal="center" vertical="center" wrapText="1"/>
    </xf>
    <xf numFmtId="0" fontId="4" fillId="0" borderId="1" xfId="0" applyFont="1" applyBorder="1" applyAlignment="1">
      <alignment vertical="top"/>
    </xf>
    <xf numFmtId="0" fontId="5" fillId="0" borderId="1" xfId="0" applyFont="1" applyBorder="1" applyAlignment="1">
      <alignment vertical="top" wrapText="1"/>
    </xf>
    <xf numFmtId="0" fontId="5" fillId="0" borderId="1" xfId="0" applyFont="1" applyBorder="1" applyAlignment="1">
      <alignment vertical="top"/>
    </xf>
    <xf numFmtId="164" fontId="5" fillId="0" borderId="1" xfId="0" applyNumberFormat="1" applyFont="1" applyBorder="1" applyAlignment="1">
      <alignment horizontal="right" vertical="top"/>
    </xf>
    <xf numFmtId="0" fontId="5" fillId="4" borderId="1" xfId="0" applyFont="1" applyFill="1" applyBorder="1" applyAlignment="1">
      <alignment vertical="top" wrapText="1"/>
    </xf>
    <xf numFmtId="0" fontId="5" fillId="4" borderId="1" xfId="0" applyFont="1" applyFill="1" applyBorder="1" applyAlignment="1">
      <alignment vertical="top"/>
    </xf>
    <xf numFmtId="164" fontId="5" fillId="4" borderId="1" xfId="0" applyNumberFormat="1" applyFont="1" applyFill="1" applyBorder="1" applyAlignment="1">
      <alignment horizontal="right" vertical="top"/>
    </xf>
    <xf numFmtId="164" fontId="6" fillId="2" borderId="1" xfId="0" applyNumberFormat="1" applyFont="1" applyFill="1" applyBorder="1" applyAlignment="1">
      <alignment horizontal="right" vertical="center"/>
    </xf>
    <xf numFmtId="0" fontId="6" fillId="2" borderId="1" xfId="0" applyFont="1" applyFill="1" applyBorder="1" applyAlignment="1">
      <alignment horizontal="center" vertical="center"/>
    </xf>
    <xf numFmtId="0" fontId="8" fillId="5" borderId="1" xfId="0" applyFont="1" applyFill="1" applyBorder="1" applyAlignment="1">
      <alignment vertical="top" wrapText="1"/>
    </xf>
    <xf numFmtId="165" fontId="5" fillId="0" borderId="1" xfId="0" applyNumberFormat="1" applyFont="1" applyBorder="1" applyAlignment="1">
      <alignment horizontal="right" vertical="top"/>
    </xf>
    <xf numFmtId="0" fontId="9" fillId="0" borderId="1" xfId="0" applyFont="1" applyBorder="1" applyAlignment="1">
      <alignment vertical="top"/>
    </xf>
    <xf numFmtId="0" fontId="9" fillId="4" borderId="1" xfId="0" applyFont="1" applyFill="1" applyBorder="1" applyAlignment="1">
      <alignment vertical="top"/>
    </xf>
    <xf numFmtId="0" fontId="0" fillId="5" borderId="1" xfId="0" applyFill="1" applyBorder="1"/>
    <xf numFmtId="166" fontId="5" fillId="4" borderId="1" xfId="0" applyNumberFormat="1" applyFont="1" applyFill="1" applyBorder="1" applyAlignment="1">
      <alignment horizontal="right" vertical="top"/>
    </xf>
    <xf numFmtId="166" fontId="5" fillId="0" borderId="1" xfId="0" applyNumberFormat="1" applyFont="1" applyBorder="1" applyAlignment="1">
      <alignment horizontal="right" vertical="top"/>
    </xf>
    <xf numFmtId="14" fontId="5" fillId="0" borderId="1" xfId="0" applyNumberFormat="1" applyFont="1" applyBorder="1" applyAlignment="1">
      <alignment vertical="top"/>
    </xf>
    <xf numFmtId="14" fontId="5" fillId="4" borderId="1" xfId="0" applyNumberFormat="1" applyFont="1" applyFill="1" applyBorder="1" applyAlignment="1">
      <alignment vertical="top"/>
    </xf>
    <xf numFmtId="14" fontId="5" fillId="0" borderId="1" xfId="0" applyNumberFormat="1" applyFont="1" applyBorder="1" applyAlignment="1">
      <alignment vertical="top" wrapText="1"/>
    </xf>
    <xf numFmtId="11" fontId="5" fillId="0" borderId="1" xfId="0" applyNumberFormat="1" applyFont="1" applyBorder="1" applyAlignment="1">
      <alignment vertical="top"/>
    </xf>
    <xf numFmtId="11" fontId="5" fillId="4" borderId="1" xfId="0" applyNumberFormat="1" applyFont="1" applyFill="1" applyBorder="1" applyAlignment="1">
      <alignment vertical="top"/>
    </xf>
    <xf numFmtId="0" fontId="4" fillId="6" borderId="1" xfId="0" applyFont="1" applyFill="1" applyBorder="1" applyAlignment="1">
      <alignment vertical="top"/>
    </xf>
    <xf numFmtId="0" fontId="5" fillId="6" borderId="1" xfId="0" applyFont="1" applyFill="1" applyBorder="1" applyAlignment="1">
      <alignment vertical="top" wrapText="1"/>
    </xf>
    <xf numFmtId="0" fontId="5" fillId="6" borderId="1" xfId="0" applyFont="1" applyFill="1" applyBorder="1" applyAlignment="1">
      <alignment vertical="top"/>
    </xf>
    <xf numFmtId="0" fontId="5" fillId="6" borderId="1" xfId="0" applyFont="1" applyFill="1" applyBorder="1" applyAlignment="1">
      <alignment horizontal="center" vertical="top"/>
    </xf>
    <xf numFmtId="14" fontId="5" fillId="6" borderId="1" xfId="0" applyNumberFormat="1" applyFont="1" applyFill="1" applyBorder="1" applyAlignment="1">
      <alignment vertical="top"/>
    </xf>
    <xf numFmtId="164" fontId="5" fillId="6" borderId="1" xfId="0" applyNumberFormat="1" applyFont="1" applyFill="1" applyBorder="1" applyAlignment="1">
      <alignment horizontal="right" vertical="top"/>
    </xf>
    <xf numFmtId="0" fontId="4" fillId="7" borderId="1" xfId="0" applyFont="1" applyFill="1" applyBorder="1" applyAlignment="1">
      <alignment vertical="top"/>
    </xf>
    <xf numFmtId="0" fontId="5" fillId="7" borderId="1" xfId="0" applyFont="1" applyFill="1" applyBorder="1" applyAlignment="1">
      <alignment vertical="top" wrapText="1"/>
    </xf>
    <xf numFmtId="0" fontId="5" fillId="7" borderId="1" xfId="0" applyFont="1" applyFill="1" applyBorder="1" applyAlignment="1">
      <alignment vertical="top"/>
    </xf>
    <xf numFmtId="0" fontId="5" fillId="7" borderId="1" xfId="0" applyFont="1" applyFill="1" applyBorder="1" applyAlignment="1">
      <alignment horizontal="center" vertical="top"/>
    </xf>
    <xf numFmtId="14" fontId="5" fillId="7" borderId="1" xfId="0" applyNumberFormat="1" applyFont="1" applyFill="1" applyBorder="1" applyAlignment="1">
      <alignment vertical="top"/>
    </xf>
    <xf numFmtId="0" fontId="11" fillId="0" borderId="0" xfId="0" applyFont="1" applyAlignment="1">
      <alignment horizontal="right"/>
    </xf>
    <xf numFmtId="0" fontId="0" fillId="8" borderId="0" xfId="0" applyFill="1"/>
    <xf numFmtId="0" fontId="3" fillId="3" borderId="2" xfId="0" applyFont="1" applyFill="1" applyBorder="1" applyAlignment="1">
      <alignment horizontal="center" vertical="center" wrapText="1"/>
    </xf>
    <xf numFmtId="0" fontId="12" fillId="8" borderId="3" xfId="0" applyFont="1" applyFill="1" applyBorder="1" applyAlignment="1">
      <alignment horizontal="center"/>
    </xf>
    <xf numFmtId="0" fontId="13" fillId="0" borderId="0" xfId="0" applyFont="1"/>
    <xf numFmtId="17" fontId="14" fillId="0" borderId="0" xfId="0" applyNumberFormat="1" applyFont="1" applyAlignment="1">
      <alignment horizontal="center"/>
    </xf>
    <xf numFmtId="0" fontId="3" fillId="9" borderId="1" xfId="0" applyFont="1" applyFill="1" applyBorder="1" applyAlignment="1">
      <alignment horizontal="center" vertical="center" wrapText="1"/>
    </xf>
    <xf numFmtId="164" fontId="5" fillId="0" borderId="6" xfId="0" applyNumberFormat="1" applyFont="1" applyBorder="1" applyAlignment="1">
      <alignment horizontal="right" vertical="top"/>
    </xf>
    <xf numFmtId="164" fontId="5" fillId="4" borderId="6" xfId="0" applyNumberFormat="1" applyFont="1" applyFill="1" applyBorder="1" applyAlignment="1">
      <alignment horizontal="right" vertical="top"/>
    </xf>
    <xf numFmtId="0" fontId="0" fillId="5" borderId="6" xfId="0" applyFill="1" applyBorder="1"/>
    <xf numFmtId="0" fontId="3" fillId="3" borderId="7" xfId="0" applyFont="1" applyFill="1" applyBorder="1" applyAlignment="1">
      <alignment horizontal="center" vertical="center" wrapText="1"/>
    </xf>
    <xf numFmtId="164" fontId="15" fillId="0" borderId="5" xfId="0" applyNumberFormat="1" applyFont="1" applyFill="1" applyBorder="1" applyAlignment="1">
      <alignment horizontal="right" vertical="top"/>
    </xf>
    <xf numFmtId="164" fontId="0" fillId="0" borderId="5" xfId="0" applyNumberFormat="1" applyBorder="1"/>
    <xf numFmtId="164" fontId="15" fillId="4" borderId="5" xfId="0" applyNumberFormat="1" applyFont="1" applyFill="1" applyBorder="1" applyAlignment="1">
      <alignment horizontal="right" vertical="top"/>
    </xf>
    <xf numFmtId="0" fontId="0" fillId="0" borderId="5" xfId="0" applyBorder="1"/>
    <xf numFmtId="167" fontId="0" fillId="0" borderId="0" xfId="0" applyNumberFormat="1"/>
    <xf numFmtId="0" fontId="16" fillId="5" borderId="1" xfId="0" applyFont="1" applyFill="1" applyBorder="1" applyAlignment="1">
      <alignment vertical="top" wrapText="1"/>
    </xf>
    <xf numFmtId="0" fontId="15" fillId="0" borderId="1" xfId="0" applyFont="1" applyBorder="1" applyAlignment="1">
      <alignment vertical="top" wrapText="1"/>
    </xf>
    <xf numFmtId="0" fontId="17" fillId="10" borderId="0" xfId="0" applyFont="1" applyFill="1"/>
    <xf numFmtId="0" fontId="18" fillId="10" borderId="0" xfId="0" applyFont="1" applyFill="1" applyAlignment="1">
      <alignment vertical="center"/>
    </xf>
    <xf numFmtId="0" fontId="0" fillId="11" borderId="0" xfId="0" applyFill="1"/>
    <xf numFmtId="0" fontId="19" fillId="11" borderId="0" xfId="0" applyFont="1" applyFill="1" applyAlignment="1">
      <alignment vertical="center"/>
    </xf>
    <xf numFmtId="0" fontId="0" fillId="12" borderId="0" xfId="0" applyFill="1"/>
    <xf numFmtId="0" fontId="20" fillId="12" borderId="0" xfId="0" applyFont="1" applyFill="1" applyAlignment="1">
      <alignment vertical="center"/>
    </xf>
    <xf numFmtId="17" fontId="21" fillId="13" borderId="8" xfId="0" applyNumberFormat="1" applyFont="1" applyFill="1" applyBorder="1" applyAlignment="1">
      <alignment horizontal="center"/>
    </xf>
    <xf numFmtId="0" fontId="21" fillId="13" borderId="8" xfId="0" applyFont="1" applyFill="1" applyBorder="1" applyAlignment="1">
      <alignment horizontal="center"/>
    </xf>
    <xf numFmtId="0" fontId="22" fillId="7" borderId="1" xfId="0" applyFont="1" applyFill="1" applyBorder="1" applyAlignment="1">
      <alignment vertical="top"/>
    </xf>
    <xf numFmtId="164" fontId="23" fillId="7" borderId="0" xfId="0" applyNumberFormat="1" applyFont="1" applyFill="1" applyAlignment="1">
      <alignment horizontal="right"/>
    </xf>
    <xf numFmtId="0" fontId="22" fillId="6" borderId="1" xfId="0" applyFont="1" applyFill="1" applyBorder="1" applyAlignment="1">
      <alignment vertical="top"/>
    </xf>
    <xf numFmtId="164" fontId="23" fillId="6" borderId="0" xfId="0" applyNumberFormat="1" applyFont="1" applyFill="1" applyAlignment="1">
      <alignment horizontal="right"/>
    </xf>
    <xf numFmtId="0" fontId="22" fillId="6" borderId="7" xfId="0" applyFont="1" applyFill="1" applyBorder="1" applyAlignment="1">
      <alignment vertical="top"/>
    </xf>
    <xf numFmtId="0" fontId="21" fillId="13" borderId="10" xfId="0" applyFont="1" applyFill="1" applyBorder="1"/>
    <xf numFmtId="164" fontId="21" fillId="13" borderId="10" xfId="0" applyNumberFormat="1" applyFont="1" applyFill="1" applyBorder="1" applyAlignment="1">
      <alignment horizontal="right"/>
    </xf>
    <xf numFmtId="164" fontId="23" fillId="7" borderId="9" xfId="0" applyNumberFormat="1" applyFont="1" applyFill="1" applyBorder="1" applyAlignment="1">
      <alignment horizontal="right"/>
    </xf>
    <xf numFmtId="164" fontId="23" fillId="6" borderId="0" xfId="0" applyNumberFormat="1" applyFont="1" applyFill="1" applyBorder="1" applyAlignment="1">
      <alignment horizontal="right"/>
    </xf>
    <xf numFmtId="164" fontId="23" fillId="7" borderId="0" xfId="0" applyNumberFormat="1" applyFont="1" applyFill="1" applyBorder="1" applyAlignment="1">
      <alignment horizontal="right"/>
    </xf>
    <xf numFmtId="17" fontId="21" fillId="13" borderId="0" xfId="0" applyNumberFormat="1" applyFont="1" applyFill="1" applyBorder="1" applyAlignment="1">
      <alignment horizontal="center"/>
    </xf>
    <xf numFmtId="164" fontId="21" fillId="13" borderId="11" xfId="0" applyNumberFormat="1" applyFont="1" applyFill="1" applyBorder="1" applyAlignment="1">
      <alignment horizontal="right"/>
    </xf>
    <xf numFmtId="0" fontId="21" fillId="13" borderId="12" xfId="0" applyFont="1" applyFill="1" applyBorder="1"/>
    <xf numFmtId="164" fontId="23" fillId="7" borderId="13" xfId="0" applyNumberFormat="1" applyFont="1" applyFill="1" applyBorder="1" applyAlignment="1">
      <alignment horizontal="right"/>
    </xf>
    <xf numFmtId="164" fontId="23" fillId="6" borderId="14" xfId="0" applyNumberFormat="1" applyFont="1" applyFill="1" applyBorder="1" applyAlignment="1">
      <alignment horizontal="right"/>
    </xf>
    <xf numFmtId="164" fontId="23" fillId="7" borderId="14" xfId="0" applyNumberFormat="1" applyFont="1" applyFill="1" applyBorder="1" applyAlignment="1">
      <alignment horizontal="right"/>
    </xf>
    <xf numFmtId="164" fontId="21" fillId="13" borderId="15" xfId="0" applyNumberFormat="1" applyFont="1" applyFill="1" applyBorder="1" applyAlignment="1">
      <alignment horizontal="right"/>
    </xf>
    <xf numFmtId="0" fontId="0" fillId="7" borderId="0" xfId="0" applyFill="1"/>
    <xf numFmtId="0" fontId="23" fillId="7" borderId="0" xfId="0" applyFont="1" applyFill="1" applyAlignment="1">
      <alignment horizontal="right"/>
    </xf>
    <xf numFmtId="0" fontId="0" fillId="6" borderId="0" xfId="0" applyFill="1"/>
    <xf numFmtId="0" fontId="23" fillId="6" borderId="0" xfId="0" applyFont="1" applyFill="1" applyAlignment="1">
      <alignment horizontal="right"/>
    </xf>
    <xf numFmtId="0" fontId="21" fillId="13" borderId="10" xfId="0" applyFont="1" applyFill="1" applyBorder="1" applyAlignment="1">
      <alignment horizontal="right"/>
    </xf>
    <xf numFmtId="0" fontId="8" fillId="14" borderId="1" xfId="0" applyFont="1" applyFill="1" applyBorder="1" applyAlignment="1">
      <alignment vertical="top" wrapText="1"/>
    </xf>
    <xf numFmtId="0" fontId="3" fillId="3" borderId="4" xfId="0" applyFont="1" applyFill="1" applyBorder="1" applyAlignment="1">
      <alignment horizontal="center" vertical="center" wrapText="1"/>
    </xf>
    <xf numFmtId="0" fontId="10" fillId="11" borderId="0" xfId="0" applyFont="1" applyFill="1"/>
    <xf numFmtId="0" fontId="10" fillId="12" borderId="0" xfId="0" applyFont="1" applyFill="1"/>
    <xf numFmtId="0" fontId="21" fillId="15"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E89C4A0-CE37-4632-A431-A623FE843A24}">
  <we:reference id="29673e3c-d826-4f00-92ee-162334a52b1a" version="1.0.0.8" store="EXCatalog" storeType="EXCatalog"/>
  <we:alternateReferences>
    <we:reference id="WA200009404" version="1.0.0.8" store="en-US" storeType="OMEX"/>
  </we:alternateReferences>
  <we:properties>
    <we:property name="claude.fileId" value="&quot;6f1bc019-3ccb-43f6-9f05-8adaa84ada73&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169C3-88B9-4849-9555-EB850C71DA7D}">
  <dimension ref="A1:B3"/>
  <sheetViews>
    <sheetView workbookViewId="0">
      <selection activeCell="B4" sqref="B4"/>
    </sheetView>
  </sheetViews>
  <sheetFormatPr defaultRowHeight="15" x14ac:dyDescent="0.25"/>
  <cols>
    <col min="1" max="1" width="36.7109375" customWidth="1"/>
  </cols>
  <sheetData>
    <row r="1" spans="1:2" x14ac:dyDescent="0.25">
      <c r="A1" t="s">
        <v>1100</v>
      </c>
      <c r="B1" t="s">
        <v>1093</v>
      </c>
    </row>
    <row r="2" spans="1:2" x14ac:dyDescent="0.25">
      <c r="A2" t="s">
        <v>1101</v>
      </c>
    </row>
    <row r="3" spans="1:2" x14ac:dyDescent="0.25">
      <c r="A3" t="s">
        <v>1102</v>
      </c>
      <c r="B3" t="s">
        <v>1093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66C43-E105-41E4-9A4F-59B836210D39}">
  <dimension ref="A1:D6"/>
  <sheetViews>
    <sheetView workbookViewId="0">
      <selection activeCell="D1" sqref="D1"/>
    </sheetView>
  </sheetViews>
  <sheetFormatPr defaultRowHeight="15" x14ac:dyDescent="0.25"/>
  <cols>
    <col min="1" max="1" width="50.85546875" customWidth="1"/>
    <col min="4" max="4" width="30.7109375" customWidth="1"/>
  </cols>
  <sheetData>
    <row r="1" spans="1:4" x14ac:dyDescent="0.25">
      <c r="A1" s="42" t="s">
        <v>1096</v>
      </c>
      <c r="D1" s="42" t="s">
        <v>1097</v>
      </c>
    </row>
    <row r="2" spans="1:4" x14ac:dyDescent="0.25">
      <c r="A2" t="s">
        <v>1091</v>
      </c>
      <c r="B2" t="s">
        <v>1093</v>
      </c>
      <c r="D2" t="s">
        <v>1098</v>
      </c>
    </row>
    <row r="3" spans="1:4" x14ac:dyDescent="0.25">
      <c r="A3" t="s">
        <v>1092</v>
      </c>
      <c r="B3" t="s">
        <v>1093</v>
      </c>
    </row>
    <row r="4" spans="1:4" x14ac:dyDescent="0.25">
      <c r="A4" t="s">
        <v>1094</v>
      </c>
      <c r="B4" t="s">
        <v>1093</v>
      </c>
    </row>
    <row r="5" spans="1:4" x14ac:dyDescent="0.25">
      <c r="A5" t="s">
        <v>1095</v>
      </c>
    </row>
    <row r="6" spans="1:4" x14ac:dyDescent="0.25">
      <c r="A6" t="s">
        <v>1099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C36F2-548E-493A-9E9B-1D6F4FC8B8E9}">
  <dimension ref="A1:DM72"/>
  <sheetViews>
    <sheetView tabSelected="1" zoomScale="110" zoomScaleNormal="110" workbookViewId="0">
      <selection activeCell="K15" sqref="K15"/>
    </sheetView>
  </sheetViews>
  <sheetFormatPr defaultRowHeight="15" x14ac:dyDescent="0.25"/>
  <cols>
    <col min="1" max="1" width="38.140625" customWidth="1"/>
    <col min="2" max="6" width="8.7109375" customWidth="1"/>
    <col min="7" max="7" width="10.28515625" customWidth="1"/>
    <col min="8" max="61" width="8.7109375" customWidth="1"/>
  </cols>
  <sheetData>
    <row r="1" spans="1:19" ht="21.95" customHeight="1" x14ac:dyDescent="0.25">
      <c r="A1" s="57" t="s">
        <v>1103</v>
      </c>
      <c r="B1" s="57"/>
      <c r="C1" s="57"/>
      <c r="D1" s="57"/>
      <c r="E1" s="57"/>
      <c r="F1" s="57"/>
      <c r="G1" s="57"/>
      <c r="H1" s="57"/>
      <c r="I1" s="57"/>
      <c r="J1" s="57"/>
      <c r="K1" s="57"/>
      <c r="L1" s="57"/>
      <c r="M1" s="57"/>
      <c r="N1" s="57"/>
      <c r="O1" s="57"/>
      <c r="P1" s="57"/>
      <c r="Q1" s="57"/>
      <c r="R1" s="57"/>
      <c r="S1" s="57"/>
    </row>
    <row r="2" spans="1:19" x14ac:dyDescent="0.25">
      <c r="A2" s="59" t="s">
        <v>1089</v>
      </c>
      <c r="B2" s="59"/>
      <c r="C2" s="59"/>
      <c r="D2" s="59"/>
      <c r="E2" s="59"/>
      <c r="F2" s="59"/>
      <c r="G2" s="59"/>
      <c r="H2" s="59"/>
      <c r="I2" s="59"/>
      <c r="J2" s="59"/>
      <c r="K2" s="59"/>
      <c r="L2" s="59"/>
      <c r="M2" s="59"/>
      <c r="N2" s="59"/>
      <c r="O2" s="59"/>
      <c r="P2" s="59"/>
      <c r="Q2" s="59"/>
      <c r="R2" s="59"/>
      <c r="S2" s="59"/>
    </row>
    <row r="3" spans="1:19" x14ac:dyDescent="0.25">
      <c r="B3" s="74">
        <f>DATE(2026,7,1)</f>
        <v>46204</v>
      </c>
      <c r="C3" s="74">
        <f>EDATE(B3,1)</f>
        <v>46235</v>
      </c>
      <c r="D3" s="74">
        <f t="shared" ref="D3:S3" si="0">EDATE(C3,1)</f>
        <v>46266</v>
      </c>
      <c r="E3" s="74">
        <f t="shared" si="0"/>
        <v>46296</v>
      </c>
      <c r="F3" s="74">
        <f t="shared" si="0"/>
        <v>46327</v>
      </c>
      <c r="G3" s="74">
        <f t="shared" si="0"/>
        <v>46357</v>
      </c>
      <c r="H3" s="74">
        <f t="shared" si="0"/>
        <v>46388</v>
      </c>
      <c r="I3" s="74">
        <f t="shared" si="0"/>
        <v>46419</v>
      </c>
      <c r="J3" s="74">
        <f t="shared" si="0"/>
        <v>46447</v>
      </c>
      <c r="K3" s="74">
        <f t="shared" si="0"/>
        <v>46478</v>
      </c>
      <c r="L3" s="74">
        <f t="shared" si="0"/>
        <v>46508</v>
      </c>
      <c r="M3" s="74">
        <f t="shared" si="0"/>
        <v>46539</v>
      </c>
      <c r="N3" s="74">
        <f t="shared" si="0"/>
        <v>46569</v>
      </c>
      <c r="O3" s="74">
        <f t="shared" si="0"/>
        <v>46600</v>
      </c>
      <c r="P3" s="74">
        <f t="shared" si="0"/>
        <v>46631</v>
      </c>
      <c r="Q3" s="74">
        <f t="shared" si="0"/>
        <v>46661</v>
      </c>
      <c r="R3" s="74">
        <f t="shared" si="0"/>
        <v>46692</v>
      </c>
      <c r="S3" s="74">
        <f t="shared" si="0"/>
        <v>46722</v>
      </c>
    </row>
    <row r="4" spans="1:19" x14ac:dyDescent="0.25">
      <c r="A4" s="64" t="s">
        <v>21</v>
      </c>
      <c r="B4" s="71">
        <f>SUMIFS('Initiative Summary'!$O$5:$O$25,'Initiative Summary'!$C$5:$C$25,$A4,'Initiative Summary'!$K$5:$K$25,"&lt;="&amp;EOMONTH(B$3,0))</f>
        <v>0</v>
      </c>
      <c r="C4" s="71">
        <f>SUMIFS('Initiative Summary'!$O$5:$O$25,'Initiative Summary'!$C$5:$C$25,$A4,'Initiative Summary'!$K$5:$K$25,"&lt;="&amp;EOMONTH(C$3,0))</f>
        <v>0</v>
      </c>
      <c r="D4" s="71">
        <f>SUMIFS('Initiative Summary'!$O$5:$O$25,'Initiative Summary'!$C$5:$C$25,$A4,'Initiative Summary'!$K$5:$K$25,"&lt;="&amp;EOMONTH(D$3,0))</f>
        <v>0</v>
      </c>
      <c r="E4" s="71">
        <f>SUMIFS('Initiative Summary'!$O$5:$O$25,'Initiative Summary'!$C$5:$C$25,$A4,'Initiative Summary'!$K$5:$K$25,"&lt;="&amp;EOMONTH(E$3,0))</f>
        <v>0</v>
      </c>
      <c r="F4" s="71">
        <f>SUMIFS('Initiative Summary'!$O$5:$O$25,'Initiative Summary'!$C$5:$C$25,$A4,'Initiative Summary'!$K$5:$K$25,"&lt;="&amp;EOMONTH(F$3,0))</f>
        <v>1.76</v>
      </c>
      <c r="G4" s="71">
        <f>SUMIFS('Initiative Summary'!$O$5:$O$25,'Initiative Summary'!$C$5:$C$25,$A4,'Initiative Summary'!$K$5:$K$25,"&lt;="&amp;EOMONTH(G$3,0))</f>
        <v>1.8399999999999999</v>
      </c>
      <c r="H4" s="71">
        <f>SUMIFS('Initiative Summary'!$O$5:$O$25,'Initiative Summary'!$C$5:$C$25,$A4,'Initiative Summary'!$K$5:$K$25,"&lt;="&amp;EOMONTH(H$3,0))</f>
        <v>1.8399999999999999</v>
      </c>
      <c r="I4" s="71">
        <f>SUMIFS('Initiative Summary'!$O$5:$O$25,'Initiative Summary'!$C$5:$C$25,$A4,'Initiative Summary'!$K$5:$K$25,"&lt;="&amp;EOMONTH(I$3,0))</f>
        <v>1.8399999999999999</v>
      </c>
      <c r="J4" s="71">
        <f>SUMIFS('Initiative Summary'!$O$5:$O$25,'Initiative Summary'!$C$5:$C$25,$A4,'Initiative Summary'!$K$5:$K$25,"&lt;="&amp;EOMONTH(J$3,0))</f>
        <v>2.66</v>
      </c>
      <c r="K4" s="71">
        <f>SUMIFS('Initiative Summary'!$O$5:$O$25,'Initiative Summary'!$C$5:$C$25,$A4,'Initiative Summary'!$K$5:$K$25,"&lt;="&amp;EOMONTH(K$3,0))</f>
        <v>2.9000000000000004</v>
      </c>
      <c r="L4" s="71">
        <f>SUMIFS('Initiative Summary'!$O$5:$O$25,'Initiative Summary'!$C$5:$C$25,$A4,'Initiative Summary'!$K$5:$K$25,"&lt;="&amp;EOMONTH(L$3,0))</f>
        <v>2.9000000000000004</v>
      </c>
      <c r="M4" s="71">
        <f>SUMIFS('Initiative Summary'!$O$5:$O$25,'Initiative Summary'!$C$5:$C$25,$A4,'Initiative Summary'!$K$5:$K$25,"&lt;="&amp;EOMONTH(M$3,0))</f>
        <v>2.9000000000000004</v>
      </c>
      <c r="N4" s="71">
        <f>SUMIFS('Initiative Summary'!$O$5:$O$25,'Initiative Summary'!$C$5:$C$25,$A4,'Initiative Summary'!$K$5:$K$25,"&lt;="&amp;EOMONTH(N$3,0))</f>
        <v>2.9000000000000004</v>
      </c>
      <c r="O4" s="71">
        <f>SUMIFS('Initiative Summary'!$O$5:$O$25,'Initiative Summary'!$C$5:$C$25,$A4,'Initiative Summary'!$K$5:$K$25,"&lt;="&amp;EOMONTH(O$3,0))</f>
        <v>2.9000000000000004</v>
      </c>
      <c r="P4" s="71">
        <f>SUMIFS('Initiative Summary'!$O$5:$O$25,'Initiative Summary'!$C$5:$C$25,$A4,'Initiative Summary'!$K$5:$K$25,"&lt;="&amp;EOMONTH(P$3,0))</f>
        <v>3.46</v>
      </c>
      <c r="Q4" s="71">
        <f>SUMIFS('Initiative Summary'!$O$5:$O$25,'Initiative Summary'!$C$5:$C$25,$A4,'Initiative Summary'!$K$5:$K$25,"&lt;="&amp;EOMONTH(Q$3,0))</f>
        <v>3.46</v>
      </c>
      <c r="R4" s="71">
        <f>SUMIFS('Initiative Summary'!$O$5:$O$25,'Initiative Summary'!$C$5:$C$25,$A4,'Initiative Summary'!$K$5:$K$25,"&lt;="&amp;EOMONTH(R$3,0))</f>
        <v>3.46</v>
      </c>
      <c r="S4" s="77">
        <f>SUMIFS('Initiative Summary'!$O$5:$O$25,'Initiative Summary'!$C$5:$C$25,$A4,'Initiative Summary'!$K$5:$K$25,"&lt;="&amp;EOMONTH(S$3,0))</f>
        <v>4.8800000000000008</v>
      </c>
    </row>
    <row r="5" spans="1:19" x14ac:dyDescent="0.25">
      <c r="A5" s="66" t="s">
        <v>666</v>
      </c>
      <c r="B5" s="72">
        <f>SUMIFS('Initiative Summary'!$O$5:$O$25,'Initiative Summary'!$C$5:$C$25,$A5,'Initiative Summary'!$K$5:$K$25,"&lt;="&amp;EOMONTH(B$3,0))</f>
        <v>0</v>
      </c>
      <c r="C5" s="72">
        <f>SUMIFS('Initiative Summary'!$O$5:$O$25,'Initiative Summary'!$C$5:$C$25,$A5,'Initiative Summary'!$K$5:$K$25,"&lt;="&amp;EOMONTH(C$3,0))</f>
        <v>0</v>
      </c>
      <c r="D5" s="72">
        <f>SUMIFS('Initiative Summary'!$O$5:$O$25,'Initiative Summary'!$C$5:$C$25,$A5,'Initiative Summary'!$K$5:$K$25,"&lt;="&amp;EOMONTH(D$3,0))</f>
        <v>0</v>
      </c>
      <c r="E5" s="72">
        <f>SUMIFS('Initiative Summary'!$O$5:$O$25,'Initiative Summary'!$C$5:$C$25,$A5,'Initiative Summary'!$K$5:$K$25,"&lt;="&amp;EOMONTH(E$3,0))</f>
        <v>1.5839999999999999</v>
      </c>
      <c r="F5" s="72">
        <f>SUMIFS('Initiative Summary'!$O$5:$O$25,'Initiative Summary'!$C$5:$C$25,$A5,'Initiative Summary'!$K$5:$K$25,"&lt;="&amp;EOMONTH(F$3,0))</f>
        <v>1.5839999999999999</v>
      </c>
      <c r="G5" s="72">
        <f>SUMIFS('Initiative Summary'!$O$5:$O$25,'Initiative Summary'!$C$5:$C$25,$A5,'Initiative Summary'!$K$5:$K$25,"&lt;="&amp;EOMONTH(G$3,0))</f>
        <v>1.5839999999999999</v>
      </c>
      <c r="H5" s="72">
        <f>SUMIFS('Initiative Summary'!$O$5:$O$25,'Initiative Summary'!$C$5:$C$25,$A5,'Initiative Summary'!$K$5:$K$25,"&lt;="&amp;EOMONTH(H$3,0))</f>
        <v>1.5839999999999999</v>
      </c>
      <c r="I5" s="72">
        <f>SUMIFS('Initiative Summary'!$O$5:$O$25,'Initiative Summary'!$C$5:$C$25,$A5,'Initiative Summary'!$K$5:$K$25,"&lt;="&amp;EOMONTH(I$3,0))</f>
        <v>1.5839999999999999</v>
      </c>
      <c r="J5" s="72">
        <f>SUMIFS('Initiative Summary'!$O$5:$O$25,'Initiative Summary'!$C$5:$C$25,$A5,'Initiative Summary'!$K$5:$K$25,"&lt;="&amp;EOMONTH(J$3,0))</f>
        <v>1.5839999999999999</v>
      </c>
      <c r="K5" s="72">
        <f>SUMIFS('Initiative Summary'!$O$5:$O$25,'Initiative Summary'!$C$5:$C$25,$A5,'Initiative Summary'!$K$5:$K$25,"&lt;="&amp;EOMONTH(K$3,0))</f>
        <v>2.2000000000000002</v>
      </c>
      <c r="L5" s="72">
        <f>SUMIFS('Initiative Summary'!$O$5:$O$25,'Initiative Summary'!$C$5:$C$25,$A5,'Initiative Summary'!$K$5:$K$25,"&lt;="&amp;EOMONTH(L$3,0))</f>
        <v>2.2000000000000002</v>
      </c>
      <c r="M5" s="72">
        <f>SUMIFS('Initiative Summary'!$O$5:$O$25,'Initiative Summary'!$C$5:$C$25,$A5,'Initiative Summary'!$K$5:$K$25,"&lt;="&amp;EOMONTH(M$3,0))</f>
        <v>2.2000000000000002</v>
      </c>
      <c r="N5" s="72">
        <f>SUMIFS('Initiative Summary'!$O$5:$O$25,'Initiative Summary'!$C$5:$C$25,$A5,'Initiative Summary'!$K$5:$K$25,"&lt;="&amp;EOMONTH(N$3,0))</f>
        <v>3.8330000000000002</v>
      </c>
      <c r="O5" s="72">
        <f>SUMIFS('Initiative Summary'!$O$5:$O$25,'Initiative Summary'!$C$5:$C$25,$A5,'Initiative Summary'!$K$5:$K$25,"&lt;="&amp;EOMONTH(O$3,0))</f>
        <v>3.8330000000000002</v>
      </c>
      <c r="P5" s="72">
        <f>SUMIFS('Initiative Summary'!$O$5:$O$25,'Initiative Summary'!$C$5:$C$25,$A5,'Initiative Summary'!$K$5:$K$25,"&lt;="&amp;EOMONTH(P$3,0))</f>
        <v>3.9010000000000002</v>
      </c>
      <c r="Q5" s="72">
        <f>SUMIFS('Initiative Summary'!$O$5:$O$25,'Initiative Summary'!$C$5:$C$25,$A5,'Initiative Summary'!$K$5:$K$25,"&lt;="&amp;EOMONTH(Q$3,0))</f>
        <v>3.9010000000000002</v>
      </c>
      <c r="R5" s="72">
        <f>SUMIFS('Initiative Summary'!$O$5:$O$25,'Initiative Summary'!$C$5:$C$25,$A5,'Initiative Summary'!$K$5:$K$25,"&lt;="&amp;EOMONTH(R$3,0))</f>
        <v>3.9010000000000002</v>
      </c>
      <c r="S5" s="78">
        <f>SUMIFS('Initiative Summary'!$O$5:$O$25,'Initiative Summary'!$C$5:$C$25,$A5,'Initiative Summary'!$K$5:$K$25,"&lt;="&amp;EOMONTH(S$3,0))</f>
        <v>4.7620000000000005</v>
      </c>
    </row>
    <row r="6" spans="1:19" x14ac:dyDescent="0.25">
      <c r="A6" s="64" t="s">
        <v>683</v>
      </c>
      <c r="B6" s="73">
        <f>SUMIFS('Initiative Summary'!$O$5:$O$25,'Initiative Summary'!$C$5:$C$25,$A6,'Initiative Summary'!$K$5:$K$25,"&lt;="&amp;EOMONTH(B$3,0))</f>
        <v>0</v>
      </c>
      <c r="C6" s="73">
        <f>SUMIFS('Initiative Summary'!$O$5:$O$25,'Initiative Summary'!$C$5:$C$25,$A6,'Initiative Summary'!$K$5:$K$25,"&lt;="&amp;EOMONTH(C$3,0))</f>
        <v>0</v>
      </c>
      <c r="D6" s="73">
        <f>SUMIFS('Initiative Summary'!$O$5:$O$25,'Initiative Summary'!$C$5:$C$25,$A6,'Initiative Summary'!$K$5:$K$25,"&lt;="&amp;EOMONTH(D$3,0))</f>
        <v>0</v>
      </c>
      <c r="E6" s="73">
        <f>SUMIFS('Initiative Summary'!$O$5:$O$25,'Initiative Summary'!$C$5:$C$25,$A6,'Initiative Summary'!$K$5:$K$25,"&lt;="&amp;EOMONTH(E$3,0))</f>
        <v>0</v>
      </c>
      <c r="F6" s="73">
        <f>SUMIFS('Initiative Summary'!$O$5:$O$25,'Initiative Summary'!$C$5:$C$25,$A6,'Initiative Summary'!$K$5:$K$25,"&lt;="&amp;EOMONTH(F$3,0))</f>
        <v>0</v>
      </c>
      <c r="G6" s="73">
        <f>SUMIFS('Initiative Summary'!$O$5:$O$25,'Initiative Summary'!$C$5:$C$25,$A6,'Initiative Summary'!$K$5:$K$25,"&lt;="&amp;EOMONTH(G$3,0))</f>
        <v>8.8000000000000078E-2</v>
      </c>
      <c r="H6" s="73">
        <f>SUMIFS('Initiative Summary'!$O$5:$O$25,'Initiative Summary'!$C$5:$C$25,$A6,'Initiative Summary'!$K$5:$K$25,"&lt;="&amp;EOMONTH(H$3,0))</f>
        <v>0.62</v>
      </c>
      <c r="I6" s="73">
        <f>SUMIFS('Initiative Summary'!$O$5:$O$25,'Initiative Summary'!$C$5:$C$25,$A6,'Initiative Summary'!$K$5:$K$25,"&lt;="&amp;EOMONTH(I$3,0))</f>
        <v>0.62</v>
      </c>
      <c r="J6" s="73">
        <f>SUMIFS('Initiative Summary'!$O$5:$O$25,'Initiative Summary'!$C$5:$C$25,$A6,'Initiative Summary'!$K$5:$K$25,"&lt;="&amp;EOMONTH(J$3,0))</f>
        <v>0.62</v>
      </c>
      <c r="K6" s="73">
        <f>SUMIFS('Initiative Summary'!$O$5:$O$25,'Initiative Summary'!$C$5:$C$25,$A6,'Initiative Summary'!$K$5:$K$25,"&lt;="&amp;EOMONTH(K$3,0))</f>
        <v>0.62</v>
      </c>
      <c r="L6" s="73">
        <f>SUMIFS('Initiative Summary'!$O$5:$O$25,'Initiative Summary'!$C$5:$C$25,$A6,'Initiative Summary'!$K$5:$K$25,"&lt;="&amp;EOMONTH(L$3,0))</f>
        <v>2.7320000000000002</v>
      </c>
      <c r="M6" s="73">
        <f>SUMIFS('Initiative Summary'!$O$5:$O$25,'Initiative Summary'!$C$5:$C$25,$A6,'Initiative Summary'!$K$5:$K$25,"&lt;="&amp;EOMONTH(M$3,0))</f>
        <v>3.47</v>
      </c>
      <c r="N6" s="73">
        <f>SUMIFS('Initiative Summary'!$O$5:$O$25,'Initiative Summary'!$C$5:$C$25,$A6,'Initiative Summary'!$K$5:$K$25,"&lt;="&amp;EOMONTH(N$3,0))</f>
        <v>3.47</v>
      </c>
      <c r="O6" s="73">
        <f>SUMIFS('Initiative Summary'!$O$5:$O$25,'Initiative Summary'!$C$5:$C$25,$A6,'Initiative Summary'!$K$5:$K$25,"&lt;="&amp;EOMONTH(O$3,0))</f>
        <v>3.77</v>
      </c>
      <c r="P6" s="73">
        <f>SUMIFS('Initiative Summary'!$O$5:$O$25,'Initiative Summary'!$C$5:$C$25,$A6,'Initiative Summary'!$K$5:$K$25,"&lt;="&amp;EOMONTH(P$3,0))</f>
        <v>3.77</v>
      </c>
      <c r="Q6" s="73">
        <f>SUMIFS('Initiative Summary'!$O$5:$O$25,'Initiative Summary'!$C$5:$C$25,$A6,'Initiative Summary'!$K$5:$K$25,"&lt;="&amp;EOMONTH(Q$3,0))</f>
        <v>4.9059999999999997</v>
      </c>
      <c r="R6" s="73">
        <f>SUMIFS('Initiative Summary'!$O$5:$O$25,'Initiative Summary'!$C$5:$C$25,$A6,'Initiative Summary'!$K$5:$K$25,"&lt;="&amp;EOMONTH(R$3,0))</f>
        <v>4.9059999999999997</v>
      </c>
      <c r="S6" s="79">
        <f>SUMIFS('Initiative Summary'!$O$5:$O$25,'Initiative Summary'!$C$5:$C$25,$A6,'Initiative Summary'!$K$5:$K$25,"&lt;="&amp;EOMONTH(S$3,0))</f>
        <v>4.9059999999999997</v>
      </c>
    </row>
    <row r="7" spans="1:19" x14ac:dyDescent="0.25">
      <c r="A7" s="68" t="s">
        <v>705</v>
      </c>
      <c r="B7" s="72">
        <f>SUMIFS('Initiative Summary'!$O$5:$O$25,'Initiative Summary'!$C$5:$C$25,$A7,'Initiative Summary'!$K$5:$K$25,"&lt;="&amp;EOMONTH(B$3,0))</f>
        <v>0</v>
      </c>
      <c r="C7" s="72">
        <f>SUMIFS('Initiative Summary'!$O$5:$O$25,'Initiative Summary'!$C$5:$C$25,$A7,'Initiative Summary'!$K$5:$K$25,"&lt;="&amp;EOMONTH(C$3,0))</f>
        <v>0</v>
      </c>
      <c r="D7" s="72">
        <f>SUMIFS('Initiative Summary'!$O$5:$O$25,'Initiative Summary'!$C$5:$C$25,$A7,'Initiative Summary'!$K$5:$K$25,"&lt;="&amp;EOMONTH(D$3,0))</f>
        <v>0</v>
      </c>
      <c r="E7" s="72">
        <f>SUMIFS('Initiative Summary'!$O$5:$O$25,'Initiative Summary'!$C$5:$C$25,$A7,'Initiative Summary'!$K$5:$K$25,"&lt;="&amp;EOMONTH(E$3,0))</f>
        <v>0</v>
      </c>
      <c r="F7" s="72">
        <f>SUMIFS('Initiative Summary'!$O$5:$O$25,'Initiative Summary'!$C$5:$C$25,$A7,'Initiative Summary'!$K$5:$K$25,"&lt;="&amp;EOMONTH(F$3,0))</f>
        <v>9.1999999999999971E-2</v>
      </c>
      <c r="G7" s="72">
        <f>SUMIFS('Initiative Summary'!$O$5:$O$25,'Initiative Summary'!$C$5:$C$25,$A7,'Initiative Summary'!$K$5:$K$25,"&lt;="&amp;EOMONTH(G$3,0))</f>
        <v>9.1999999999999971E-2</v>
      </c>
      <c r="H7" s="72">
        <f>SUMIFS('Initiative Summary'!$O$5:$O$25,'Initiative Summary'!$C$5:$C$25,$A7,'Initiative Summary'!$K$5:$K$25,"&lt;="&amp;EOMONTH(H$3,0))</f>
        <v>9.1999999999999971E-2</v>
      </c>
      <c r="I7" s="72">
        <f>SUMIFS('Initiative Summary'!$O$5:$O$25,'Initiative Summary'!$C$5:$C$25,$A7,'Initiative Summary'!$K$5:$K$25,"&lt;="&amp;EOMONTH(I$3,0))</f>
        <v>1.4409999999999998</v>
      </c>
      <c r="J7" s="72">
        <f>SUMIFS('Initiative Summary'!$O$5:$O$25,'Initiative Summary'!$C$5:$C$25,$A7,'Initiative Summary'!$K$5:$K$25,"&lt;="&amp;EOMONTH(J$3,0))</f>
        <v>1.4409999999999998</v>
      </c>
      <c r="K7" s="72">
        <f>SUMIFS('Initiative Summary'!$O$5:$O$25,'Initiative Summary'!$C$5:$C$25,$A7,'Initiative Summary'!$K$5:$K$25,"&lt;="&amp;EOMONTH(K$3,0))</f>
        <v>1.4409999999999998</v>
      </c>
      <c r="L7" s="72">
        <f>SUMIFS('Initiative Summary'!$O$5:$O$25,'Initiative Summary'!$C$5:$C$25,$A7,'Initiative Summary'!$K$5:$K$25,"&lt;="&amp;EOMONTH(L$3,0))</f>
        <v>1.4409999999999998</v>
      </c>
      <c r="M7" s="72">
        <f>SUMIFS('Initiative Summary'!$O$5:$O$25,'Initiative Summary'!$C$5:$C$25,$A7,'Initiative Summary'!$K$5:$K$25,"&lt;="&amp;EOMONTH(M$3,0))</f>
        <v>2.9370000000000003</v>
      </c>
      <c r="N7" s="72">
        <f>SUMIFS('Initiative Summary'!$O$5:$O$25,'Initiative Summary'!$C$5:$C$25,$A7,'Initiative Summary'!$K$5:$K$25,"&lt;="&amp;EOMONTH(N$3,0))</f>
        <v>2.9370000000000003</v>
      </c>
      <c r="O7" s="72">
        <f>SUMIFS('Initiative Summary'!$O$5:$O$25,'Initiative Summary'!$C$5:$C$25,$A7,'Initiative Summary'!$K$5:$K$25,"&lt;="&amp;EOMONTH(O$3,0))</f>
        <v>2.9370000000000003</v>
      </c>
      <c r="P7" s="72">
        <f>SUMIFS('Initiative Summary'!$O$5:$O$25,'Initiative Summary'!$C$5:$C$25,$A7,'Initiative Summary'!$K$5:$K$25,"&lt;="&amp;EOMONTH(P$3,0))</f>
        <v>2.9370000000000003</v>
      </c>
      <c r="Q7" s="72">
        <f>SUMIFS('Initiative Summary'!$O$5:$O$25,'Initiative Summary'!$C$5:$C$25,$A7,'Initiative Summary'!$K$5:$K$25,"&lt;="&amp;EOMONTH(Q$3,0))</f>
        <v>2.9370000000000003</v>
      </c>
      <c r="R7" s="72">
        <f>SUMIFS('Initiative Summary'!$O$5:$O$25,'Initiative Summary'!$C$5:$C$25,$A7,'Initiative Summary'!$K$5:$K$25,"&lt;="&amp;EOMONTH(R$3,0))</f>
        <v>3.5250000000000004</v>
      </c>
      <c r="S7" s="78">
        <f>SUMIFS('Initiative Summary'!$O$5:$O$25,'Initiative Summary'!$C$5:$C$25,$A7,'Initiative Summary'!$K$5:$K$25,"&lt;="&amp;EOMONTH(S$3,0))</f>
        <v>3.5250000000000004</v>
      </c>
    </row>
    <row r="8" spans="1:19" x14ac:dyDescent="0.25">
      <c r="A8" s="76" t="s">
        <v>1075</v>
      </c>
      <c r="B8" s="75">
        <f>SUM(B4:B7)</f>
        <v>0</v>
      </c>
      <c r="C8" s="75">
        <f t="shared" ref="C8:S8" si="1">SUM(C4:C7)</f>
        <v>0</v>
      </c>
      <c r="D8" s="75">
        <f t="shared" si="1"/>
        <v>0</v>
      </c>
      <c r="E8" s="75">
        <f t="shared" si="1"/>
        <v>1.5839999999999999</v>
      </c>
      <c r="F8" s="75">
        <f t="shared" si="1"/>
        <v>3.4359999999999999</v>
      </c>
      <c r="G8" s="75">
        <f t="shared" si="1"/>
        <v>3.6039999999999996</v>
      </c>
      <c r="H8" s="75">
        <f t="shared" si="1"/>
        <v>4.1359999999999992</v>
      </c>
      <c r="I8" s="75">
        <f t="shared" si="1"/>
        <v>5.4849999999999994</v>
      </c>
      <c r="J8" s="75">
        <f t="shared" si="1"/>
        <v>6.3049999999999997</v>
      </c>
      <c r="K8" s="75">
        <f t="shared" si="1"/>
        <v>7.1610000000000005</v>
      </c>
      <c r="L8" s="75">
        <f t="shared" si="1"/>
        <v>9.2729999999999997</v>
      </c>
      <c r="M8" s="75">
        <f t="shared" si="1"/>
        <v>11.507000000000001</v>
      </c>
      <c r="N8" s="75">
        <f t="shared" si="1"/>
        <v>13.14</v>
      </c>
      <c r="O8" s="75">
        <f t="shared" si="1"/>
        <v>13.440000000000001</v>
      </c>
      <c r="P8" s="75">
        <f t="shared" si="1"/>
        <v>14.068000000000001</v>
      </c>
      <c r="Q8" s="75">
        <f t="shared" si="1"/>
        <v>15.204000000000001</v>
      </c>
      <c r="R8" s="75">
        <f t="shared" si="1"/>
        <v>15.792</v>
      </c>
      <c r="S8" s="80">
        <f t="shared" si="1"/>
        <v>18.073</v>
      </c>
    </row>
    <row r="10" spans="1:19" x14ac:dyDescent="0.25">
      <c r="A10" s="61" t="s">
        <v>1083</v>
      </c>
      <c r="B10" s="61"/>
      <c r="C10" s="61"/>
      <c r="D10" s="61"/>
      <c r="E10" s="61"/>
      <c r="F10" s="61"/>
      <c r="G10" s="61"/>
      <c r="H10" s="61"/>
      <c r="I10" s="61"/>
      <c r="J10" s="61"/>
      <c r="K10" s="61"/>
      <c r="L10" s="61"/>
      <c r="M10" s="61"/>
      <c r="N10" s="61"/>
      <c r="O10" s="61"/>
      <c r="P10" s="61"/>
      <c r="Q10" s="61"/>
      <c r="R10" s="61"/>
      <c r="S10" s="61"/>
    </row>
    <row r="11" spans="1:19" x14ac:dyDescent="0.25">
      <c r="B11" s="74">
        <f>DATE(2026,7,1)</f>
        <v>46204</v>
      </c>
      <c r="C11" s="74">
        <f>EDATE(B11,1)</f>
        <v>46235</v>
      </c>
      <c r="D11" s="74">
        <f t="shared" ref="D11:S11" si="2">EDATE(C11,1)</f>
        <v>46266</v>
      </c>
      <c r="E11" s="74">
        <f t="shared" si="2"/>
        <v>46296</v>
      </c>
      <c r="F11" s="74">
        <f t="shared" si="2"/>
        <v>46327</v>
      </c>
      <c r="G11" s="74">
        <f t="shared" si="2"/>
        <v>46357</v>
      </c>
      <c r="H11" s="74">
        <f t="shared" si="2"/>
        <v>46388</v>
      </c>
      <c r="I11" s="74">
        <f t="shared" si="2"/>
        <v>46419</v>
      </c>
      <c r="J11" s="74">
        <f t="shared" si="2"/>
        <v>46447</v>
      </c>
      <c r="K11" s="74">
        <f t="shared" si="2"/>
        <v>46478</v>
      </c>
      <c r="L11" s="74">
        <f t="shared" si="2"/>
        <v>46508</v>
      </c>
      <c r="M11" s="74">
        <f t="shared" si="2"/>
        <v>46539</v>
      </c>
      <c r="N11" s="74">
        <f t="shared" si="2"/>
        <v>46569</v>
      </c>
      <c r="O11" s="74">
        <f t="shared" si="2"/>
        <v>46600</v>
      </c>
      <c r="P11" s="74">
        <f t="shared" si="2"/>
        <v>46631</v>
      </c>
      <c r="Q11" s="74">
        <f t="shared" si="2"/>
        <v>46661</v>
      </c>
      <c r="R11" s="74">
        <f t="shared" si="2"/>
        <v>46692</v>
      </c>
      <c r="S11" s="74">
        <f t="shared" si="2"/>
        <v>46722</v>
      </c>
    </row>
    <row r="12" spans="1:19" x14ac:dyDescent="0.25">
      <c r="A12" s="64" t="s">
        <v>21</v>
      </c>
      <c r="B12" s="71"/>
      <c r="C12" s="71"/>
      <c r="D12" s="71"/>
      <c r="E12" s="71"/>
      <c r="F12" s="71"/>
      <c r="G12" s="71"/>
      <c r="H12" s="71"/>
      <c r="I12" s="71"/>
      <c r="J12" s="71"/>
      <c r="K12" s="71"/>
      <c r="L12" s="71"/>
      <c r="M12" s="71"/>
      <c r="N12" s="71"/>
      <c r="O12" s="71"/>
      <c r="P12" s="71"/>
      <c r="Q12" s="71"/>
      <c r="R12" s="71"/>
      <c r="S12" s="77"/>
    </row>
    <row r="13" spans="1:19" x14ac:dyDescent="0.25">
      <c r="A13" s="66" t="s">
        <v>666</v>
      </c>
      <c r="B13" s="72"/>
      <c r="C13" s="72"/>
      <c r="D13" s="72"/>
      <c r="E13" s="72"/>
      <c r="F13" s="72"/>
      <c r="G13" s="72"/>
      <c r="H13" s="72"/>
      <c r="I13" s="72"/>
      <c r="J13" s="72"/>
      <c r="K13" s="72"/>
      <c r="L13" s="72"/>
      <c r="M13" s="72"/>
      <c r="N13" s="72"/>
      <c r="O13" s="72"/>
      <c r="P13" s="72"/>
      <c r="Q13" s="72"/>
      <c r="R13" s="72"/>
      <c r="S13" s="78"/>
    </row>
    <row r="14" spans="1:19" x14ac:dyDescent="0.25">
      <c r="A14" s="64" t="s">
        <v>683</v>
      </c>
      <c r="B14" s="73"/>
      <c r="C14" s="73"/>
      <c r="D14" s="73"/>
      <c r="E14" s="73"/>
      <c r="F14" s="73"/>
      <c r="G14" s="73"/>
      <c r="H14" s="73"/>
      <c r="I14" s="73"/>
      <c r="J14" s="73"/>
      <c r="K14" s="73"/>
      <c r="L14" s="73"/>
      <c r="M14" s="73"/>
      <c r="N14" s="73"/>
      <c r="O14" s="73"/>
      <c r="P14" s="73"/>
      <c r="Q14" s="73"/>
      <c r="R14" s="73"/>
      <c r="S14" s="79"/>
    </row>
    <row r="15" spans="1:19" x14ac:dyDescent="0.25">
      <c r="A15" s="68" t="s">
        <v>705</v>
      </c>
      <c r="B15" s="72"/>
      <c r="C15" s="72"/>
      <c r="D15" s="72"/>
      <c r="E15" s="72"/>
      <c r="F15" s="72"/>
      <c r="G15" s="72"/>
      <c r="H15" s="72"/>
      <c r="I15" s="72"/>
      <c r="J15" s="72"/>
      <c r="K15" s="72"/>
      <c r="L15" s="72"/>
      <c r="M15" s="72"/>
      <c r="N15" s="72"/>
      <c r="O15" s="72"/>
      <c r="P15" s="72"/>
      <c r="Q15" s="72"/>
      <c r="R15" s="72"/>
      <c r="S15" s="78"/>
    </row>
    <row r="16" spans="1:19" x14ac:dyDescent="0.25">
      <c r="A16" s="76" t="s">
        <v>1075</v>
      </c>
      <c r="B16" s="75">
        <f>SUM(B12:B15)</f>
        <v>0</v>
      </c>
      <c r="C16" s="75">
        <f t="shared" ref="C16" si="3">SUM(C12:C15)</f>
        <v>0</v>
      </c>
      <c r="D16" s="75">
        <f t="shared" ref="D16" si="4">SUM(D12:D15)</f>
        <v>0</v>
      </c>
      <c r="E16" s="75">
        <f t="shared" ref="E16" si="5">SUM(E12:E15)</f>
        <v>0</v>
      </c>
      <c r="F16" s="75">
        <f t="shared" ref="F16" si="6">SUM(F12:F15)</f>
        <v>0</v>
      </c>
      <c r="G16" s="75">
        <f t="shared" ref="G16" si="7">SUM(G12:G15)</f>
        <v>0</v>
      </c>
      <c r="H16" s="75">
        <f t="shared" ref="H16" si="8">SUM(H12:H15)</f>
        <v>0</v>
      </c>
      <c r="I16" s="75">
        <f t="shared" ref="I16" si="9">SUM(I12:I15)</f>
        <v>0</v>
      </c>
      <c r="J16" s="75">
        <f t="shared" ref="J16" si="10">SUM(J12:J15)</f>
        <v>0</v>
      </c>
      <c r="K16" s="75">
        <f t="shared" ref="K16" si="11">SUM(K12:K15)</f>
        <v>0</v>
      </c>
      <c r="L16" s="75">
        <f t="shared" ref="L16" si="12">SUM(L12:L15)</f>
        <v>0</v>
      </c>
      <c r="M16" s="75">
        <f t="shared" ref="M16" si="13">SUM(M12:M15)</f>
        <v>0</v>
      </c>
      <c r="N16" s="75">
        <f t="shared" ref="N16" si="14">SUM(N12:N15)</f>
        <v>0</v>
      </c>
      <c r="O16" s="75">
        <f t="shared" ref="O16" si="15">SUM(O12:O15)</f>
        <v>0</v>
      </c>
      <c r="P16" s="75">
        <f t="shared" ref="P16" si="16">SUM(P12:P15)</f>
        <v>0</v>
      </c>
      <c r="Q16" s="75">
        <f t="shared" ref="Q16" si="17">SUM(Q12:Q15)</f>
        <v>0</v>
      </c>
      <c r="R16" s="75">
        <f t="shared" ref="R16" si="18">SUM(R12:R15)</f>
        <v>0</v>
      </c>
      <c r="S16" s="80">
        <f t="shared" ref="S16" si="19">SUM(S12:S15)</f>
        <v>0</v>
      </c>
    </row>
    <row r="20" spans="1:117" ht="21.95" customHeight="1" x14ac:dyDescent="0.25">
      <c r="A20" s="57" t="s">
        <v>1107</v>
      </c>
      <c r="B20" s="57"/>
      <c r="C20" s="57"/>
      <c r="D20" s="57"/>
      <c r="E20" s="57"/>
      <c r="F20" s="57"/>
      <c r="G20" s="57"/>
      <c r="H20" s="56"/>
      <c r="I20" s="56"/>
      <c r="J20" s="56"/>
      <c r="K20" s="56"/>
      <c r="L20" s="56"/>
      <c r="M20" s="56"/>
      <c r="N20" s="56"/>
      <c r="O20" s="56"/>
      <c r="P20" s="56"/>
      <c r="Q20" s="56"/>
      <c r="R20" s="56"/>
      <c r="S20" s="56"/>
      <c r="T20" s="56"/>
      <c r="U20" s="56"/>
      <c r="V20" s="56"/>
      <c r="W20" s="56"/>
      <c r="X20" s="56"/>
      <c r="Y20" s="56"/>
      <c r="Z20" s="56"/>
      <c r="AA20" s="56"/>
      <c r="AB20" s="56"/>
      <c r="AC20" s="56"/>
      <c r="AD20" s="56"/>
      <c r="AE20" s="56"/>
      <c r="AF20" s="56"/>
      <c r="AG20" s="56"/>
      <c r="AH20" s="56"/>
      <c r="AI20" s="56"/>
      <c r="AJ20" s="56"/>
      <c r="AK20" s="56"/>
      <c r="AL20" s="56"/>
      <c r="AM20" s="56"/>
      <c r="AN20" s="56"/>
      <c r="AO20" s="56"/>
      <c r="AP20" s="56"/>
      <c r="AQ20" s="56"/>
      <c r="AR20" s="56"/>
      <c r="AS20" s="56"/>
      <c r="AT20" s="56"/>
      <c r="AU20" s="56"/>
      <c r="AV20" s="56"/>
      <c r="AW20" s="56"/>
      <c r="AX20" s="56"/>
      <c r="AY20" s="56"/>
      <c r="AZ20" s="56"/>
      <c r="BA20" s="56"/>
      <c r="BB20" s="56"/>
      <c r="BC20" s="56"/>
      <c r="BD20" s="56"/>
      <c r="BE20" s="56"/>
      <c r="BF20" s="56"/>
      <c r="BG20" s="56"/>
      <c r="BH20" s="56"/>
      <c r="BI20" s="56"/>
    </row>
    <row r="21" spans="1:117" x14ac:dyDescent="0.25">
      <c r="B21" s="63" t="s">
        <v>87</v>
      </c>
      <c r="C21" s="63" t="s">
        <v>88</v>
      </c>
      <c r="D21" s="63" t="s">
        <v>89</v>
      </c>
      <c r="E21" s="63" t="s">
        <v>90</v>
      </c>
      <c r="F21" s="63" t="s">
        <v>91</v>
      </c>
      <c r="H21" s="62">
        <f>DATE(2026,7,1)</f>
        <v>46204</v>
      </c>
      <c r="I21" s="62">
        <f>EDATE(H21,1)</f>
        <v>46235</v>
      </c>
      <c r="J21" s="62">
        <f>EDATE(I21,1)</f>
        <v>46266</v>
      </c>
      <c r="K21" s="62">
        <f>EDATE(J21,1)</f>
        <v>46296</v>
      </c>
      <c r="L21" s="62">
        <f>EDATE(K21,1)</f>
        <v>46327</v>
      </c>
      <c r="M21" s="62">
        <f>EDATE(L21,1)</f>
        <v>46357</v>
      </c>
      <c r="N21" s="62">
        <f>EDATE(M21,1)</f>
        <v>46388</v>
      </c>
      <c r="O21" s="62">
        <f>EDATE(N21,1)</f>
        <v>46419</v>
      </c>
      <c r="P21" s="62">
        <f>EDATE(O21,1)</f>
        <v>46447</v>
      </c>
      <c r="Q21" s="62">
        <f>EDATE(P21,1)</f>
        <v>46478</v>
      </c>
      <c r="R21" s="62">
        <f>EDATE(Q21,1)</f>
        <v>46508</v>
      </c>
      <c r="S21" s="62">
        <f>EDATE(R21,1)</f>
        <v>46539</v>
      </c>
      <c r="T21" s="62">
        <f>EDATE(S21,1)</f>
        <v>46569</v>
      </c>
      <c r="U21" s="62">
        <f>EDATE(T21,1)</f>
        <v>46600</v>
      </c>
      <c r="V21" s="62">
        <f>EDATE(U21,1)</f>
        <v>46631</v>
      </c>
      <c r="W21" s="62">
        <f>EDATE(V21,1)</f>
        <v>46661</v>
      </c>
      <c r="X21" s="62">
        <f>EDATE(W21,1)</f>
        <v>46692</v>
      </c>
      <c r="Y21" s="62">
        <f>EDATE(X21,1)</f>
        <v>46722</v>
      </c>
      <c r="Z21" s="62">
        <f>EDATE(Y21,1)</f>
        <v>46753</v>
      </c>
      <c r="AA21" s="62">
        <f>EDATE(Z21,1)</f>
        <v>46784</v>
      </c>
      <c r="AB21" s="62">
        <f>EDATE(AA21,1)</f>
        <v>46813</v>
      </c>
      <c r="AC21" s="62">
        <f>EDATE(AB21,1)</f>
        <v>46844</v>
      </c>
      <c r="AD21" s="62">
        <f>EDATE(AC21,1)</f>
        <v>46874</v>
      </c>
      <c r="AE21" s="62">
        <f>EDATE(AD21,1)</f>
        <v>46905</v>
      </c>
      <c r="AF21" s="62">
        <f>EDATE(AE21,1)</f>
        <v>46935</v>
      </c>
      <c r="AG21" s="62">
        <f>EDATE(AF21,1)</f>
        <v>46966</v>
      </c>
      <c r="AH21" s="62">
        <f>EDATE(AG21,1)</f>
        <v>46997</v>
      </c>
      <c r="AI21" s="62">
        <f>EDATE(AH21,1)</f>
        <v>47027</v>
      </c>
      <c r="AJ21" s="62">
        <f>EDATE(AI21,1)</f>
        <v>47058</v>
      </c>
      <c r="AK21" s="62">
        <f>EDATE(AJ21,1)</f>
        <v>47088</v>
      </c>
      <c r="AL21" s="62">
        <f>EDATE(AK21,1)</f>
        <v>47119</v>
      </c>
      <c r="AM21" s="62">
        <f>EDATE(AL21,1)</f>
        <v>47150</v>
      </c>
      <c r="AN21" s="62">
        <f>EDATE(AM21,1)</f>
        <v>47178</v>
      </c>
      <c r="AO21" s="62">
        <f>EDATE(AN21,1)</f>
        <v>47209</v>
      </c>
      <c r="AP21" s="62">
        <f>EDATE(AO21,1)</f>
        <v>47239</v>
      </c>
      <c r="AQ21" s="62">
        <f>EDATE(AP21,1)</f>
        <v>47270</v>
      </c>
      <c r="AR21" s="62">
        <f>EDATE(AQ21,1)</f>
        <v>47300</v>
      </c>
      <c r="AS21" s="62">
        <f>EDATE(AR21,1)</f>
        <v>47331</v>
      </c>
      <c r="AT21" s="62">
        <f>EDATE(AS21,1)</f>
        <v>47362</v>
      </c>
      <c r="AU21" s="62">
        <f>EDATE(AT21,1)</f>
        <v>47392</v>
      </c>
      <c r="AV21" s="62">
        <f>EDATE(AU21,1)</f>
        <v>47423</v>
      </c>
      <c r="AW21" s="62">
        <f>EDATE(AV21,1)</f>
        <v>47453</v>
      </c>
      <c r="AX21" s="62">
        <f>EDATE(AW21,1)</f>
        <v>47484</v>
      </c>
      <c r="AY21" s="62">
        <f>EDATE(AX21,1)</f>
        <v>47515</v>
      </c>
      <c r="AZ21" s="62">
        <f>EDATE(AY21,1)</f>
        <v>47543</v>
      </c>
      <c r="BA21" s="62">
        <f>EDATE(AZ21,1)</f>
        <v>47574</v>
      </c>
      <c r="BB21" s="62">
        <f>EDATE(BA21,1)</f>
        <v>47604</v>
      </c>
      <c r="BC21" s="62">
        <f>EDATE(BB21,1)</f>
        <v>47635</v>
      </c>
      <c r="BD21" s="62">
        <f>EDATE(BC21,1)</f>
        <v>47665</v>
      </c>
      <c r="BE21" s="62">
        <f>EDATE(BD21,1)</f>
        <v>47696</v>
      </c>
      <c r="BF21" s="62">
        <f>EDATE(BE21,1)</f>
        <v>47727</v>
      </c>
      <c r="BG21" s="62">
        <f>EDATE(BF21,1)</f>
        <v>47757</v>
      </c>
      <c r="BH21" s="62">
        <f>EDATE(BG21,1)</f>
        <v>47788</v>
      </c>
      <c r="BI21" s="62">
        <f>EDATE(BH21,1)</f>
        <v>47818</v>
      </c>
      <c r="BJ21" s="43"/>
      <c r="BK21" s="43"/>
      <c r="BL21" s="43"/>
      <c r="BM21" s="43"/>
      <c r="BN21" s="43"/>
      <c r="BO21" s="43"/>
      <c r="BP21" s="43"/>
      <c r="BQ21" s="43"/>
      <c r="BR21" s="43"/>
      <c r="BS21" s="43"/>
      <c r="BT21" s="43"/>
      <c r="BU21" s="43"/>
      <c r="BV21" s="43"/>
      <c r="BW21" s="43"/>
      <c r="BX21" s="43"/>
      <c r="BY21" s="43"/>
      <c r="BZ21" s="43"/>
      <c r="CA21" s="43"/>
      <c r="CB21" s="43"/>
      <c r="CC21" s="43"/>
      <c r="CD21" s="43"/>
      <c r="CE21" s="43"/>
      <c r="CF21" s="43"/>
      <c r="CG21" s="43"/>
      <c r="CH21" s="43"/>
      <c r="CI21" s="43"/>
      <c r="CJ21" s="43"/>
      <c r="CK21" s="43"/>
      <c r="CL21" s="43"/>
      <c r="CM21" s="43"/>
      <c r="CN21" s="43"/>
      <c r="CO21" s="43"/>
      <c r="CP21" s="43"/>
      <c r="CQ21" s="43"/>
      <c r="CR21" s="43"/>
      <c r="CS21" s="43"/>
      <c r="CT21" s="43"/>
      <c r="CU21" s="43"/>
      <c r="CV21" s="43"/>
      <c r="CW21" s="43"/>
      <c r="CX21" s="43"/>
      <c r="CY21" s="43"/>
      <c r="CZ21" s="43"/>
      <c r="DA21" s="43"/>
      <c r="DB21" s="43"/>
      <c r="DC21" s="43"/>
      <c r="DD21" s="43"/>
      <c r="DE21" s="43"/>
      <c r="DF21" s="43"/>
      <c r="DG21" s="43"/>
      <c r="DH21" s="43"/>
      <c r="DI21" s="43"/>
      <c r="DJ21" s="43"/>
      <c r="DK21" s="43"/>
      <c r="DL21" s="43"/>
      <c r="DM21" s="43"/>
    </row>
    <row r="22" spans="1:117" x14ac:dyDescent="0.25">
      <c r="A22" s="88" t="s">
        <v>1105</v>
      </c>
      <c r="B22" s="58"/>
      <c r="C22" s="58"/>
      <c r="D22" s="58"/>
      <c r="E22" s="58"/>
      <c r="F22" s="58"/>
      <c r="G22" s="58"/>
      <c r="H22" s="58"/>
      <c r="I22" s="58"/>
      <c r="J22" s="58"/>
      <c r="K22" s="58"/>
      <c r="L22" s="58"/>
      <c r="M22" s="58"/>
      <c r="N22" s="58"/>
      <c r="O22" s="58"/>
      <c r="P22" s="58"/>
      <c r="Q22" s="58"/>
      <c r="R22" s="58"/>
      <c r="S22" s="58"/>
      <c r="T22" s="58"/>
      <c r="U22" s="58"/>
      <c r="V22" s="58"/>
      <c r="W22" s="58"/>
      <c r="X22" s="58"/>
      <c r="Y22" s="58"/>
      <c r="Z22" s="58"/>
      <c r="AA22" s="58"/>
      <c r="AB22" s="58"/>
      <c r="AC22" s="58"/>
      <c r="AD22" s="58"/>
      <c r="AE22" s="58"/>
      <c r="AF22" s="58"/>
      <c r="AG22" s="58"/>
      <c r="AH22" s="58"/>
      <c r="AI22" s="58"/>
      <c r="AJ22" s="58"/>
      <c r="AK22" s="58"/>
      <c r="AL22" s="58"/>
      <c r="AM22" s="58"/>
      <c r="AN22" s="58"/>
      <c r="AO22" s="58"/>
      <c r="AP22" s="58"/>
      <c r="AQ22" s="58"/>
      <c r="AR22" s="58"/>
      <c r="AS22" s="58"/>
      <c r="AT22" s="58"/>
      <c r="AU22" s="58"/>
      <c r="AV22" s="58"/>
      <c r="AW22" s="58"/>
      <c r="AX22" s="58"/>
      <c r="AY22" s="58"/>
      <c r="AZ22" s="58"/>
      <c r="BA22" s="58"/>
      <c r="BB22" s="58"/>
      <c r="BC22" s="58"/>
      <c r="BD22" s="58"/>
      <c r="BE22" s="58"/>
      <c r="BF22" s="58"/>
      <c r="BG22" s="58"/>
      <c r="BH22" s="58"/>
      <c r="BI22" s="58"/>
      <c r="BJ22" s="43"/>
      <c r="BK22" s="43"/>
      <c r="BL22" s="43"/>
      <c r="BM22" s="43"/>
      <c r="BN22" s="43"/>
      <c r="BO22" s="43"/>
      <c r="BP22" s="43"/>
      <c r="BQ22" s="43"/>
      <c r="BR22" s="43"/>
      <c r="BS22" s="43"/>
      <c r="BT22" s="43"/>
      <c r="BU22" s="43"/>
      <c r="BV22" s="43"/>
      <c r="BW22" s="43"/>
      <c r="BX22" s="43"/>
      <c r="BY22" s="43"/>
      <c r="BZ22" s="43"/>
      <c r="CA22" s="43"/>
      <c r="CB22" s="43"/>
      <c r="CC22" s="43"/>
      <c r="CD22" s="43"/>
      <c r="CE22" s="43"/>
      <c r="CF22" s="43"/>
      <c r="CG22" s="43"/>
      <c r="CH22" s="43"/>
      <c r="CI22" s="43"/>
      <c r="CJ22" s="43"/>
      <c r="CK22" s="43"/>
      <c r="CL22" s="43"/>
      <c r="CM22" s="43"/>
      <c r="CN22" s="43"/>
      <c r="CO22" s="43"/>
      <c r="CP22" s="43"/>
      <c r="CQ22" s="43"/>
      <c r="CR22" s="43"/>
      <c r="CS22" s="43"/>
      <c r="CT22" s="43"/>
      <c r="CU22" s="43"/>
      <c r="CV22" s="43"/>
      <c r="CW22" s="43"/>
      <c r="CX22" s="43"/>
      <c r="CY22" s="43"/>
      <c r="CZ22" s="43"/>
      <c r="DA22" s="43"/>
      <c r="DB22" s="43"/>
      <c r="DC22" s="43"/>
      <c r="DD22" s="43"/>
      <c r="DE22" s="43"/>
      <c r="DF22" s="43"/>
      <c r="DG22" s="43"/>
      <c r="DH22" s="43"/>
      <c r="DI22" s="43"/>
      <c r="DJ22" s="43"/>
      <c r="DK22" s="43"/>
      <c r="DL22" s="43"/>
      <c r="DM22" s="43"/>
    </row>
    <row r="23" spans="1:117" x14ac:dyDescent="0.25">
      <c r="A23" s="90" t="s">
        <v>1109</v>
      </c>
      <c r="B23" s="90"/>
      <c r="C23" s="90"/>
      <c r="D23" s="90"/>
      <c r="E23" s="90"/>
      <c r="F23" s="90"/>
      <c r="G23" s="90"/>
      <c r="H23" s="90"/>
      <c r="I23" s="90"/>
      <c r="J23" s="90"/>
      <c r="K23" s="90"/>
      <c r="L23" s="90"/>
      <c r="M23" s="90"/>
      <c r="N23" s="90"/>
      <c r="O23" s="90"/>
      <c r="P23" s="90"/>
      <c r="Q23" s="90"/>
      <c r="R23" s="90"/>
      <c r="S23" s="90"/>
      <c r="T23" s="90"/>
      <c r="U23" s="90"/>
      <c r="V23" s="90"/>
      <c r="W23" s="90"/>
      <c r="X23" s="90"/>
      <c r="Y23" s="90"/>
      <c r="Z23" s="90"/>
      <c r="AA23" s="90"/>
      <c r="AB23" s="90"/>
      <c r="AC23" s="90"/>
      <c r="AD23" s="90"/>
      <c r="AE23" s="90"/>
      <c r="AF23" s="90"/>
      <c r="AG23" s="90"/>
      <c r="AH23" s="90"/>
      <c r="AI23" s="90"/>
      <c r="AJ23" s="90"/>
      <c r="AK23" s="90"/>
      <c r="AL23" s="90"/>
      <c r="AM23" s="90"/>
      <c r="AN23" s="90"/>
      <c r="AO23" s="90"/>
      <c r="AP23" s="90"/>
      <c r="AQ23" s="90"/>
      <c r="AR23" s="90"/>
      <c r="AS23" s="90"/>
      <c r="AT23" s="90"/>
      <c r="AU23" s="90"/>
      <c r="AV23" s="90"/>
      <c r="AW23" s="90"/>
      <c r="AX23" s="90"/>
      <c r="AY23" s="90"/>
      <c r="AZ23" s="90"/>
      <c r="BA23" s="90"/>
      <c r="BB23" s="90"/>
      <c r="BC23" s="90"/>
      <c r="BD23" s="90"/>
      <c r="BE23" s="90"/>
      <c r="BF23" s="90"/>
      <c r="BG23" s="90"/>
      <c r="BH23" s="90"/>
      <c r="BI23" s="90"/>
    </row>
    <row r="24" spans="1:117" x14ac:dyDescent="0.25">
      <c r="A24" s="81" t="s">
        <v>21</v>
      </c>
      <c r="B24" s="65">
        <f>SUMIFS(Benefits!$S:$S,Benefits!$E:$E,"Revenue",Benefits!$F:$F,"USD",Benefits!$D:$D,"Plan Base",Benefits!$CS:$CS,$A24)</f>
        <v>0.52</v>
      </c>
      <c r="C24" s="65">
        <f>SUMIFS(Benefits!$T:$T,Benefits!$E:$E,"Revenue",Benefits!$F:$F,"USD",Benefits!$D:$D,"Plan Base",Benefits!$CS:$CS,$A24)</f>
        <v>2.3199999999999998</v>
      </c>
      <c r="D24" s="65">
        <f>SUMIFS(Benefits!$U:$U,Benefits!$E:$E,"Revenue",Benefits!$F:$F,"USD",Benefits!$D:$D,"Plan Base",Benefits!$CS:$CS,$A24)</f>
        <v>3.96</v>
      </c>
      <c r="E24" s="65">
        <f>SUMIFS(Benefits!$V:$V,Benefits!$E:$E,"Revenue",Benefits!$F:$F,"USD",Benefits!$D:$D,"Plan Base",Benefits!$CS:$CS,$A24)</f>
        <v>3.96</v>
      </c>
      <c r="F24" s="65">
        <f>SUMIFS(Benefits!$W:$W,Benefits!$E:$E,"Revenue",Benefits!$F:$F,"USD",Benefits!$D:$D,"Plan Base",Benefits!$CS:$CS,$A24)</f>
        <v>3.96</v>
      </c>
      <c r="G24" s="82"/>
      <c r="H24" s="65">
        <f>SUMIFS(Benefits!$AD:$AD,Benefits!$E:$E,"Revenue",Benefits!$F:$F,"USD",Benefits!$D:$D,"Plan Base",Benefits!$CS:$CS,$A24)</f>
        <v>0</v>
      </c>
      <c r="I24" s="65">
        <f>SUMIFS(Benefits!$AE:$AE,Benefits!$E:$E,"Revenue",Benefits!$F:$F,"USD",Benefits!$D:$D,"Plan Base",Benefits!$CS:$CS,$A24)</f>
        <v>0</v>
      </c>
      <c r="J24" s="65">
        <f>SUMIFS(Benefits!$AF:$AF,Benefits!$E:$E,"Revenue",Benefits!$F:$F,"USD",Benefits!$D:$D,"Plan Base",Benefits!$CS:$CS,$A24)</f>
        <v>0</v>
      </c>
      <c r="K24" s="65">
        <f>SUMIFS(Benefits!$AG:$AG,Benefits!$E:$E,"Revenue",Benefits!$F:$F,"USD",Benefits!$D:$D,"Plan Base",Benefits!$CS:$CS,$A24)</f>
        <v>0</v>
      </c>
      <c r="L24" s="65">
        <f>SUMIFS(Benefits!$AH:$AH,Benefits!$E:$E,"Revenue",Benefits!$F:$F,"USD",Benefits!$D:$D,"Plan Base",Benefits!$CS:$CS,$A24)</f>
        <v>0</v>
      </c>
      <c r="M24" s="65">
        <f>SUMIFS(Benefits!$AI:$AI,Benefits!$E:$E,"Revenue",Benefits!$F:$F,"USD",Benefits!$D:$D,"Plan Base",Benefits!$CS:$CS,$A24)</f>
        <v>0.52</v>
      </c>
      <c r="N24" s="65">
        <f>SUMIFS(Benefits!$AJ:$AJ,Benefits!$E:$E,"Revenue",Benefits!$F:$F,"USD",Benefits!$D:$D,"Plan Base",Benefits!$CS:$CS,$A24)</f>
        <v>9.1666666666666674E-2</v>
      </c>
      <c r="O24" s="65">
        <f>SUMIFS(Benefits!$AK:$AK,Benefits!$E:$E,"Revenue",Benefits!$F:$F,"USD",Benefits!$D:$D,"Plan Base",Benefits!$CS:$CS,$A24)</f>
        <v>9.1666666666666674E-2</v>
      </c>
      <c r="P24" s="65">
        <f>SUMIFS(Benefits!$AL:$AL,Benefits!$E:$E,"Revenue",Benefits!$F:$F,"USD",Benefits!$D:$D,"Plan Base",Benefits!$CS:$CS,$A24)</f>
        <v>9.1666666666666674E-2</v>
      </c>
      <c r="Q24" s="65">
        <f>SUMIFS(Benefits!$AM:$AM,Benefits!$E:$E,"Revenue",Benefits!$F:$F,"USD",Benefits!$D:$D,"Plan Base",Benefits!$CS:$CS,$A24)</f>
        <v>0.13611111111111113</v>
      </c>
      <c r="R24" s="65">
        <f>SUMIFS(Benefits!$AN:$AN,Benefits!$E:$E,"Revenue",Benefits!$F:$F,"USD",Benefits!$D:$D,"Plan Base",Benefits!$CS:$CS,$A24)</f>
        <v>0.13611111111111113</v>
      </c>
      <c r="S24" s="65">
        <f>SUMIFS(Benefits!$AO:$AO,Benefits!$E:$E,"Revenue",Benefits!$F:$F,"USD",Benefits!$D:$D,"Plan Base",Benefits!$CS:$CS,$A24)</f>
        <v>0.13611111111111113</v>
      </c>
      <c r="T24" s="65">
        <f>SUMIFS(Benefits!$AP:$AP,Benefits!$E:$E,"Revenue",Benefits!$F:$F,"USD",Benefits!$D:$D,"Plan Base",Benefits!$CS:$CS,$A24)</f>
        <v>0.13611111111111113</v>
      </c>
      <c r="U24" s="65">
        <f>SUMIFS(Benefits!$AQ:$AQ,Benefits!$E:$E,"Revenue",Benefits!$F:$F,"USD",Benefits!$D:$D,"Plan Base",Benefits!$CS:$CS,$A24)</f>
        <v>0.13611111111111113</v>
      </c>
      <c r="V24" s="65">
        <f>SUMIFS(Benefits!$AR:$AR,Benefits!$E:$E,"Revenue",Benefits!$F:$F,"USD",Benefits!$D:$D,"Plan Base",Benefits!$CS:$CS,$A24)</f>
        <v>0.13611111111111113</v>
      </c>
      <c r="W24" s="65">
        <f>SUMIFS(Benefits!$AS:$AS,Benefits!$E:$E,"Revenue",Benefits!$F:$F,"USD",Benefits!$D:$D,"Plan Base",Benefits!$CS:$CS,$A24)</f>
        <v>0.13611111111111113</v>
      </c>
      <c r="X24" s="65">
        <f>SUMIFS(Benefits!$AT:$AT,Benefits!$E:$E,"Revenue",Benefits!$F:$F,"USD",Benefits!$D:$D,"Plan Base",Benefits!$CS:$CS,$A24)</f>
        <v>0.13611111111111113</v>
      </c>
      <c r="Y24" s="65">
        <f>SUMIFS(Benefits!$AU:$AU,Benefits!$E:$E,"Revenue",Benefits!$F:$F,"USD",Benefits!$D:$D,"Plan Base",Benefits!$CS:$CS,$A24)</f>
        <v>0.95611111111111102</v>
      </c>
      <c r="Z24" s="65">
        <f>SUMIFS(Benefits!$AV:$AV,Benefits!$E:$E,"Revenue",Benefits!$F:$F,"USD",Benefits!$D:$D,"Plan Base",Benefits!$CS:$CS,$A24)</f>
        <v>0.32999999999999996</v>
      </c>
      <c r="AA24" s="65">
        <f>SUMIFS(Benefits!$AW:$AW,Benefits!$E:$E,"Revenue",Benefits!$F:$F,"USD",Benefits!$D:$D,"Plan Base",Benefits!$CS:$CS,$A24)</f>
        <v>0.32999999999999996</v>
      </c>
      <c r="AB24" s="65">
        <f>SUMIFS(Benefits!$AX:$AX,Benefits!$E:$E,"Revenue",Benefits!$F:$F,"USD",Benefits!$D:$D,"Plan Base",Benefits!$CS:$CS,$A24)</f>
        <v>0.32999999999999996</v>
      </c>
      <c r="AC24" s="65">
        <f>SUMIFS(Benefits!$AY:$AY,Benefits!$E:$E,"Revenue",Benefits!$F:$F,"USD",Benefits!$D:$D,"Plan Base",Benefits!$CS:$CS,$A24)</f>
        <v>0.32999999999999996</v>
      </c>
      <c r="AD24" s="65">
        <f>SUMIFS(Benefits!$AZ:$AZ,Benefits!$E:$E,"Revenue",Benefits!$F:$F,"USD",Benefits!$D:$D,"Plan Base",Benefits!$CS:$CS,$A24)</f>
        <v>0.32999999999999996</v>
      </c>
      <c r="AE24" s="65">
        <f>SUMIFS(Benefits!$BA:$BA,Benefits!$E:$E,"Revenue",Benefits!$F:$F,"USD",Benefits!$D:$D,"Plan Base",Benefits!$CS:$CS,$A24)</f>
        <v>0.32999999999999996</v>
      </c>
      <c r="AF24" s="65">
        <f>SUMIFS(Benefits!$BB:$BB,Benefits!$E:$E,"Revenue",Benefits!$F:$F,"USD",Benefits!$D:$D,"Plan Base",Benefits!$CS:$CS,$A24)</f>
        <v>0.32999999999999996</v>
      </c>
      <c r="AG24" s="65">
        <f>SUMIFS(Benefits!$BC:$BC,Benefits!$E:$E,"Revenue",Benefits!$F:$F,"USD",Benefits!$D:$D,"Plan Base",Benefits!$CS:$CS,$A24)</f>
        <v>0.32999999999999996</v>
      </c>
      <c r="AH24" s="65">
        <f>SUMIFS(Benefits!$BD:$BD,Benefits!$E:$E,"Revenue",Benefits!$F:$F,"USD",Benefits!$D:$D,"Plan Base",Benefits!$CS:$CS,$A24)</f>
        <v>0.32999999999999996</v>
      </c>
      <c r="AI24" s="65">
        <f>SUMIFS(Benefits!$BE:$BE,Benefits!$E:$E,"Revenue",Benefits!$F:$F,"USD",Benefits!$D:$D,"Plan Base",Benefits!$CS:$CS,$A24)</f>
        <v>0.32999999999999996</v>
      </c>
      <c r="AJ24" s="65">
        <f>SUMIFS(Benefits!$BF:$BF,Benefits!$E:$E,"Revenue",Benefits!$F:$F,"USD",Benefits!$D:$D,"Plan Base",Benefits!$CS:$CS,$A24)</f>
        <v>0.32999999999999996</v>
      </c>
      <c r="AK24" s="65">
        <f>SUMIFS(Benefits!$BG:$BG,Benefits!$E:$E,"Revenue",Benefits!$F:$F,"USD",Benefits!$D:$D,"Plan Base",Benefits!$CS:$CS,$A24)</f>
        <v>0.32999999999999996</v>
      </c>
      <c r="AL24" s="65">
        <f>SUMIFS(Benefits!$BH:$BH,Benefits!$E:$E,"Revenue",Benefits!$F:$F,"USD",Benefits!$D:$D,"Plan Base",Benefits!$CS:$CS,$A24)</f>
        <v>0.32999999999999996</v>
      </c>
      <c r="AM24" s="65">
        <f>SUMIFS(Benefits!$BI:$BI,Benefits!$E:$E,"Revenue",Benefits!$F:$F,"USD",Benefits!$D:$D,"Plan Base",Benefits!$CS:$CS,$A24)</f>
        <v>0.32999999999999996</v>
      </c>
      <c r="AN24" s="65">
        <f>SUMIFS(Benefits!$BJ:$BJ,Benefits!$E:$E,"Revenue",Benefits!$F:$F,"USD",Benefits!$D:$D,"Plan Base",Benefits!$CS:$CS,$A24)</f>
        <v>0.32999999999999996</v>
      </c>
      <c r="AO24" s="65">
        <f>SUMIFS(Benefits!$BK:$BK,Benefits!$E:$E,"Revenue",Benefits!$F:$F,"USD",Benefits!$D:$D,"Plan Base",Benefits!$CS:$CS,$A24)</f>
        <v>0.32999999999999996</v>
      </c>
      <c r="AP24" s="65">
        <f>SUMIFS(Benefits!$BL:$BL,Benefits!$E:$E,"Revenue",Benefits!$F:$F,"USD",Benefits!$D:$D,"Plan Base",Benefits!$CS:$CS,$A24)</f>
        <v>0.32999999999999996</v>
      </c>
      <c r="AQ24" s="65">
        <f>SUMIFS(Benefits!$BM:$BM,Benefits!$E:$E,"Revenue",Benefits!$F:$F,"USD",Benefits!$D:$D,"Plan Base",Benefits!$CS:$CS,$A24)</f>
        <v>0.32999999999999996</v>
      </c>
      <c r="AR24" s="65">
        <f>SUMIFS(Benefits!$BN:$BN,Benefits!$E:$E,"Revenue",Benefits!$F:$F,"USD",Benefits!$D:$D,"Plan Base",Benefits!$CS:$CS,$A24)</f>
        <v>0.32999999999999996</v>
      </c>
      <c r="AS24" s="65">
        <f>SUMIFS(Benefits!$BO:$BO,Benefits!$E:$E,"Revenue",Benefits!$F:$F,"USD",Benefits!$D:$D,"Plan Base",Benefits!$CS:$CS,$A24)</f>
        <v>0.32999999999999996</v>
      </c>
      <c r="AT24" s="65">
        <f>SUMIFS(Benefits!$BP:$BP,Benefits!$E:$E,"Revenue",Benefits!$F:$F,"USD",Benefits!$D:$D,"Plan Base",Benefits!$CS:$CS,$A24)</f>
        <v>0.32999999999999996</v>
      </c>
      <c r="AU24" s="65">
        <f>SUMIFS(Benefits!$BQ:$BQ,Benefits!$E:$E,"Revenue",Benefits!$F:$F,"USD",Benefits!$D:$D,"Plan Base",Benefits!$CS:$CS,$A24)</f>
        <v>0.32999999999999996</v>
      </c>
      <c r="AV24" s="65">
        <f>SUMIFS(Benefits!$BR:$BR,Benefits!$E:$E,"Revenue",Benefits!$F:$F,"USD",Benefits!$D:$D,"Plan Base",Benefits!$CS:$CS,$A24)</f>
        <v>0.32999999999999996</v>
      </c>
      <c r="AW24" s="65">
        <f>SUMIFS(Benefits!$BS:$BS,Benefits!$E:$E,"Revenue",Benefits!$F:$F,"USD",Benefits!$D:$D,"Plan Base",Benefits!$CS:$CS,$A24)</f>
        <v>0.32999999999999996</v>
      </c>
      <c r="AX24" s="65">
        <f>SUMIFS(Benefits!$BT:$BT,Benefits!$E:$E,"Revenue",Benefits!$F:$F,"USD",Benefits!$D:$D,"Plan Base",Benefits!$CS:$CS,$A24)</f>
        <v>0.32999999999999996</v>
      </c>
      <c r="AY24" s="65">
        <f>SUMIFS(Benefits!$BU:$BU,Benefits!$E:$E,"Revenue",Benefits!$F:$F,"USD",Benefits!$D:$D,"Plan Base",Benefits!$CS:$CS,$A24)</f>
        <v>0.32999999999999996</v>
      </c>
      <c r="AZ24" s="65">
        <f>SUMIFS(Benefits!$BV:$BV,Benefits!$E:$E,"Revenue",Benefits!$F:$F,"USD",Benefits!$D:$D,"Plan Base",Benefits!$CS:$CS,$A24)</f>
        <v>0.32999999999999996</v>
      </c>
      <c r="BA24" s="65">
        <f>SUMIFS(Benefits!$BW:$BW,Benefits!$E:$E,"Revenue",Benefits!$F:$F,"USD",Benefits!$D:$D,"Plan Base",Benefits!$CS:$CS,$A24)</f>
        <v>0.32999999999999996</v>
      </c>
      <c r="BB24" s="65">
        <f>SUMIFS(Benefits!$BX:$BX,Benefits!$E:$E,"Revenue",Benefits!$F:$F,"USD",Benefits!$D:$D,"Plan Base",Benefits!$CS:$CS,$A24)</f>
        <v>0.32999999999999996</v>
      </c>
      <c r="BC24" s="65">
        <f>SUMIFS(Benefits!$BY:$BY,Benefits!$E:$E,"Revenue",Benefits!$F:$F,"USD",Benefits!$D:$D,"Plan Base",Benefits!$CS:$CS,$A24)</f>
        <v>0.32999999999999996</v>
      </c>
      <c r="BD24" s="65">
        <f>SUMIFS(Benefits!$BZ:$BZ,Benefits!$E:$E,"Revenue",Benefits!$F:$F,"USD",Benefits!$D:$D,"Plan Base",Benefits!$CS:$CS,$A24)</f>
        <v>0.32999999999999996</v>
      </c>
      <c r="BE24" s="65">
        <f>SUMIFS(Benefits!$CA:$CA,Benefits!$E:$E,"Revenue",Benefits!$F:$F,"USD",Benefits!$D:$D,"Plan Base",Benefits!$CS:$CS,$A24)</f>
        <v>0.32999999999999996</v>
      </c>
      <c r="BF24" s="65">
        <f>SUMIFS(Benefits!$CB:$CB,Benefits!$E:$E,"Revenue",Benefits!$F:$F,"USD",Benefits!$D:$D,"Plan Base",Benefits!$CS:$CS,$A24)</f>
        <v>0.32999999999999996</v>
      </c>
      <c r="BG24" s="65">
        <f>SUMIFS(Benefits!$CC:$CC,Benefits!$E:$E,"Revenue",Benefits!$F:$F,"USD",Benefits!$D:$D,"Plan Base",Benefits!$CS:$CS,$A24)</f>
        <v>0.32999999999999996</v>
      </c>
      <c r="BH24" s="65">
        <f>SUMIFS(Benefits!$CD:$CD,Benefits!$E:$E,"Revenue",Benefits!$F:$F,"USD",Benefits!$D:$D,"Plan Base",Benefits!$CS:$CS,$A24)</f>
        <v>0.32999999999999996</v>
      </c>
      <c r="BI24" s="65">
        <f>SUMIFS(Benefits!$CE:$CE,Benefits!$E:$E,"Revenue",Benefits!$F:$F,"USD",Benefits!$D:$D,"Plan Base",Benefits!$CS:$CS,$A24)</f>
        <v>0.32999999999999996</v>
      </c>
    </row>
    <row r="25" spans="1:117" x14ac:dyDescent="0.25">
      <c r="A25" s="83" t="s">
        <v>666</v>
      </c>
      <c r="B25" s="67">
        <f>SUMIFS(Benefits!$S:$S,Benefits!$E:$E,"Revenue",Benefits!$F:$F,"USD",Benefits!$D:$D,"Plan Base",Benefits!$CS:$CS,$A25)</f>
        <v>0</v>
      </c>
      <c r="C25" s="67">
        <f>SUMIFS(Benefits!$T:$T,Benefits!$E:$E,"Revenue",Benefits!$F:$F,"USD",Benefits!$D:$D,"Plan Base",Benefits!$CS:$CS,$A25)</f>
        <v>1.385</v>
      </c>
      <c r="D25" s="67">
        <f>SUMIFS(Benefits!$U:$U,Benefits!$E:$E,"Revenue",Benefits!$F:$F,"USD",Benefits!$D:$D,"Plan Base",Benefits!$CS:$CS,$A25)</f>
        <v>3.7640000000000002</v>
      </c>
      <c r="E25" s="67">
        <f>SUMIFS(Benefits!$V:$V,Benefits!$E:$E,"Revenue",Benefits!$F:$F,"USD",Benefits!$D:$D,"Plan Base",Benefits!$CS:$CS,$A25)</f>
        <v>3.7640000000000002</v>
      </c>
      <c r="F25" s="67">
        <f>SUMIFS(Benefits!$W:$W,Benefits!$E:$E,"Revenue",Benefits!$F:$F,"USD",Benefits!$D:$D,"Plan Base",Benefits!$CS:$CS,$A25)</f>
        <v>3.7640000000000002</v>
      </c>
      <c r="G25" s="84"/>
      <c r="H25" s="67">
        <f>SUMIFS(Benefits!$AD:$AD,Benefits!$E:$E,"Revenue",Benefits!$F:$F,"USD",Benefits!$D:$D,"Plan Base",Benefits!$CS:$CS,$A25)</f>
        <v>0</v>
      </c>
      <c r="I25" s="67">
        <f>SUMIFS(Benefits!$AE:$AE,Benefits!$E:$E,"Revenue",Benefits!$F:$F,"USD",Benefits!$D:$D,"Plan Base",Benefits!$CS:$CS,$A25)</f>
        <v>0</v>
      </c>
      <c r="J25" s="67">
        <f>SUMIFS(Benefits!$AF:$AF,Benefits!$E:$E,"Revenue",Benefits!$F:$F,"USD",Benefits!$D:$D,"Plan Base",Benefits!$CS:$CS,$A25)</f>
        <v>0</v>
      </c>
      <c r="K25" s="67">
        <f>SUMIFS(Benefits!$AG:$AG,Benefits!$E:$E,"Revenue",Benefits!$F:$F,"USD",Benefits!$D:$D,"Plan Base",Benefits!$CS:$CS,$A25)</f>
        <v>0</v>
      </c>
      <c r="L25" s="67">
        <f>SUMIFS(Benefits!$AH:$AH,Benefits!$E:$E,"Revenue",Benefits!$F:$F,"USD",Benefits!$D:$D,"Plan Base",Benefits!$CS:$CS,$A25)</f>
        <v>0</v>
      </c>
      <c r="M25" s="67">
        <f>SUMIFS(Benefits!$AI:$AI,Benefits!$E:$E,"Revenue",Benefits!$F:$F,"USD",Benefits!$D:$D,"Plan Base",Benefits!$CS:$CS,$A25)</f>
        <v>0</v>
      </c>
      <c r="N25" s="67">
        <f>SUMIFS(Benefits!$AJ:$AJ,Benefits!$E:$E,"Revenue",Benefits!$F:$F,"USD",Benefits!$D:$D,"Plan Base",Benefits!$CS:$CS,$A25)</f>
        <v>0</v>
      </c>
      <c r="O25" s="67">
        <f>SUMIFS(Benefits!$AK:$AK,Benefits!$E:$E,"Revenue",Benefits!$F:$F,"USD",Benefits!$D:$D,"Plan Base",Benefits!$CS:$CS,$A25)</f>
        <v>0</v>
      </c>
      <c r="P25" s="67">
        <f>SUMIFS(Benefits!$AL:$AL,Benefits!$E:$E,"Revenue",Benefits!$F:$F,"USD",Benefits!$D:$D,"Plan Base",Benefits!$CS:$CS,$A25)</f>
        <v>0</v>
      </c>
      <c r="Q25" s="67">
        <f>SUMIFS(Benefits!$AM:$AM,Benefits!$E:$E,"Revenue",Benefits!$F:$F,"USD",Benefits!$D:$D,"Plan Base",Benefits!$CS:$CS,$A25)</f>
        <v>0</v>
      </c>
      <c r="R25" s="67">
        <f>SUMIFS(Benefits!$AN:$AN,Benefits!$E:$E,"Revenue",Benefits!$F:$F,"USD",Benefits!$D:$D,"Plan Base",Benefits!$CS:$CS,$A25)</f>
        <v>0</v>
      </c>
      <c r="S25" s="67">
        <f>SUMIFS(Benefits!$AO:$AO,Benefits!$E:$E,"Revenue",Benefits!$F:$F,"USD",Benefits!$D:$D,"Plan Base",Benefits!$CS:$CS,$A25)</f>
        <v>0</v>
      </c>
      <c r="T25" s="67">
        <f>SUMIFS(Benefits!$AP:$AP,Benefits!$E:$E,"Revenue",Benefits!$F:$F,"USD",Benefits!$D:$D,"Plan Base",Benefits!$CS:$CS,$A25)</f>
        <v>0.15716666666666665</v>
      </c>
      <c r="U25" s="67">
        <f>SUMIFS(Benefits!$AQ:$AQ,Benefits!$E:$E,"Revenue",Benefits!$F:$F,"USD",Benefits!$D:$D,"Plan Base",Benefits!$CS:$CS,$A25)</f>
        <v>0.15716666666666665</v>
      </c>
      <c r="V25" s="67">
        <f>SUMIFS(Benefits!$AR:$AR,Benefits!$E:$E,"Revenue",Benefits!$F:$F,"USD",Benefits!$D:$D,"Plan Base",Benefits!$CS:$CS,$A25)</f>
        <v>0.26766666666666666</v>
      </c>
      <c r="W25" s="67">
        <f>SUMIFS(Benefits!$AS:$AS,Benefits!$E:$E,"Revenue",Benefits!$F:$F,"USD",Benefits!$D:$D,"Plan Base",Benefits!$CS:$CS,$A25)</f>
        <v>0.26766666666666666</v>
      </c>
      <c r="X25" s="67">
        <f>SUMIFS(Benefits!$AT:$AT,Benefits!$E:$E,"Revenue",Benefits!$F:$F,"USD",Benefits!$D:$D,"Plan Base",Benefits!$CS:$CS,$A25)</f>
        <v>0.26766666666666666</v>
      </c>
      <c r="Y25" s="67">
        <f>SUMIFS(Benefits!$AU:$AU,Benefits!$E:$E,"Revenue",Benefits!$F:$F,"USD",Benefits!$D:$D,"Plan Base",Benefits!$CS:$CS,$A25)</f>
        <v>0.26766666666666666</v>
      </c>
      <c r="Z25" s="67">
        <f>SUMIFS(Benefits!$AV:$AV,Benefits!$E:$E,"Revenue",Benefits!$F:$F,"USD",Benefits!$D:$D,"Plan Base",Benefits!$CS:$CS,$A25)</f>
        <v>0.3136666666666667</v>
      </c>
      <c r="AA25" s="67">
        <f>SUMIFS(Benefits!$AW:$AW,Benefits!$E:$E,"Revenue",Benefits!$F:$F,"USD",Benefits!$D:$D,"Plan Base",Benefits!$CS:$CS,$A25)</f>
        <v>0.3136666666666667</v>
      </c>
      <c r="AB25" s="67">
        <f>SUMIFS(Benefits!$AX:$AX,Benefits!$E:$E,"Revenue",Benefits!$F:$F,"USD",Benefits!$D:$D,"Plan Base",Benefits!$CS:$CS,$A25)</f>
        <v>0.3136666666666667</v>
      </c>
      <c r="AC25" s="67">
        <f>SUMIFS(Benefits!$AY:$AY,Benefits!$E:$E,"Revenue",Benefits!$F:$F,"USD",Benefits!$D:$D,"Plan Base",Benefits!$CS:$CS,$A25)</f>
        <v>0.3136666666666667</v>
      </c>
      <c r="AD25" s="67">
        <f>SUMIFS(Benefits!$AZ:$AZ,Benefits!$E:$E,"Revenue",Benefits!$F:$F,"USD",Benefits!$D:$D,"Plan Base",Benefits!$CS:$CS,$A25)</f>
        <v>0.3136666666666667</v>
      </c>
      <c r="AE25" s="67">
        <f>SUMIFS(Benefits!$BA:$BA,Benefits!$E:$E,"Revenue",Benefits!$F:$F,"USD",Benefits!$D:$D,"Plan Base",Benefits!$CS:$CS,$A25)</f>
        <v>0.3136666666666667</v>
      </c>
      <c r="AF25" s="67">
        <f>SUMIFS(Benefits!$BB:$BB,Benefits!$E:$E,"Revenue",Benefits!$F:$F,"USD",Benefits!$D:$D,"Plan Base",Benefits!$CS:$CS,$A25)</f>
        <v>0.3136666666666667</v>
      </c>
      <c r="AG25" s="67">
        <f>SUMIFS(Benefits!$BC:$BC,Benefits!$E:$E,"Revenue",Benefits!$F:$F,"USD",Benefits!$D:$D,"Plan Base",Benefits!$CS:$CS,$A25)</f>
        <v>0.3136666666666667</v>
      </c>
      <c r="AH25" s="67">
        <f>SUMIFS(Benefits!$BD:$BD,Benefits!$E:$E,"Revenue",Benefits!$F:$F,"USD",Benefits!$D:$D,"Plan Base",Benefits!$CS:$CS,$A25)</f>
        <v>0.3136666666666667</v>
      </c>
      <c r="AI25" s="67">
        <f>SUMIFS(Benefits!$BE:$BE,Benefits!$E:$E,"Revenue",Benefits!$F:$F,"USD",Benefits!$D:$D,"Plan Base",Benefits!$CS:$CS,$A25)</f>
        <v>0.3136666666666667</v>
      </c>
      <c r="AJ25" s="67">
        <f>SUMIFS(Benefits!$BF:$BF,Benefits!$E:$E,"Revenue",Benefits!$F:$F,"USD",Benefits!$D:$D,"Plan Base",Benefits!$CS:$CS,$A25)</f>
        <v>0.3136666666666667</v>
      </c>
      <c r="AK25" s="67">
        <f>SUMIFS(Benefits!$BG:$BG,Benefits!$E:$E,"Revenue",Benefits!$F:$F,"USD",Benefits!$D:$D,"Plan Base",Benefits!$CS:$CS,$A25)</f>
        <v>0.3136666666666667</v>
      </c>
      <c r="AL25" s="67">
        <f>SUMIFS(Benefits!$BH:$BH,Benefits!$E:$E,"Revenue",Benefits!$F:$F,"USD",Benefits!$D:$D,"Plan Base",Benefits!$CS:$CS,$A25)</f>
        <v>0.3136666666666667</v>
      </c>
      <c r="AM25" s="67">
        <f>SUMIFS(Benefits!$BI:$BI,Benefits!$E:$E,"Revenue",Benefits!$F:$F,"USD",Benefits!$D:$D,"Plan Base",Benefits!$CS:$CS,$A25)</f>
        <v>0.3136666666666667</v>
      </c>
      <c r="AN25" s="67">
        <f>SUMIFS(Benefits!$BJ:$BJ,Benefits!$E:$E,"Revenue",Benefits!$F:$F,"USD",Benefits!$D:$D,"Plan Base",Benefits!$CS:$CS,$A25)</f>
        <v>0.3136666666666667</v>
      </c>
      <c r="AO25" s="67">
        <f>SUMIFS(Benefits!$BK:$BK,Benefits!$E:$E,"Revenue",Benefits!$F:$F,"USD",Benefits!$D:$D,"Plan Base",Benefits!$CS:$CS,$A25)</f>
        <v>0.3136666666666667</v>
      </c>
      <c r="AP25" s="67">
        <f>SUMIFS(Benefits!$BL:$BL,Benefits!$E:$E,"Revenue",Benefits!$F:$F,"USD",Benefits!$D:$D,"Plan Base",Benefits!$CS:$CS,$A25)</f>
        <v>0.3136666666666667</v>
      </c>
      <c r="AQ25" s="67">
        <f>SUMIFS(Benefits!$BM:$BM,Benefits!$E:$E,"Revenue",Benefits!$F:$F,"USD",Benefits!$D:$D,"Plan Base",Benefits!$CS:$CS,$A25)</f>
        <v>0.3136666666666667</v>
      </c>
      <c r="AR25" s="67">
        <f>SUMIFS(Benefits!$BN:$BN,Benefits!$E:$E,"Revenue",Benefits!$F:$F,"USD",Benefits!$D:$D,"Plan Base",Benefits!$CS:$CS,$A25)</f>
        <v>0.3136666666666667</v>
      </c>
      <c r="AS25" s="67">
        <f>SUMIFS(Benefits!$BO:$BO,Benefits!$E:$E,"Revenue",Benefits!$F:$F,"USD",Benefits!$D:$D,"Plan Base",Benefits!$CS:$CS,$A25)</f>
        <v>0.3136666666666667</v>
      </c>
      <c r="AT25" s="67">
        <f>SUMIFS(Benefits!$BP:$BP,Benefits!$E:$E,"Revenue",Benefits!$F:$F,"USD",Benefits!$D:$D,"Plan Base",Benefits!$CS:$CS,$A25)</f>
        <v>0.3136666666666667</v>
      </c>
      <c r="AU25" s="67">
        <f>SUMIFS(Benefits!$BQ:$BQ,Benefits!$E:$E,"Revenue",Benefits!$F:$F,"USD",Benefits!$D:$D,"Plan Base",Benefits!$CS:$CS,$A25)</f>
        <v>0.3136666666666667</v>
      </c>
      <c r="AV25" s="67">
        <f>SUMIFS(Benefits!$BR:$BR,Benefits!$E:$E,"Revenue",Benefits!$F:$F,"USD",Benefits!$D:$D,"Plan Base",Benefits!$CS:$CS,$A25)</f>
        <v>0.3136666666666667</v>
      </c>
      <c r="AW25" s="67">
        <f>SUMIFS(Benefits!$BS:$BS,Benefits!$E:$E,"Revenue",Benefits!$F:$F,"USD",Benefits!$D:$D,"Plan Base",Benefits!$CS:$CS,$A25)</f>
        <v>0.3136666666666667</v>
      </c>
      <c r="AX25" s="67">
        <f>SUMIFS(Benefits!$BT:$BT,Benefits!$E:$E,"Revenue",Benefits!$F:$F,"USD",Benefits!$D:$D,"Plan Base",Benefits!$CS:$CS,$A25)</f>
        <v>0.3136666666666667</v>
      </c>
      <c r="AY25" s="67">
        <f>SUMIFS(Benefits!$BU:$BU,Benefits!$E:$E,"Revenue",Benefits!$F:$F,"USD",Benefits!$D:$D,"Plan Base",Benefits!$CS:$CS,$A25)</f>
        <v>0.3136666666666667</v>
      </c>
      <c r="AZ25" s="67">
        <f>SUMIFS(Benefits!$BV:$BV,Benefits!$E:$E,"Revenue",Benefits!$F:$F,"USD",Benefits!$D:$D,"Plan Base",Benefits!$CS:$CS,$A25)</f>
        <v>0.3136666666666667</v>
      </c>
      <c r="BA25" s="67">
        <f>SUMIFS(Benefits!$BW:$BW,Benefits!$E:$E,"Revenue",Benefits!$F:$F,"USD",Benefits!$D:$D,"Plan Base",Benefits!$CS:$CS,$A25)</f>
        <v>0.3136666666666667</v>
      </c>
      <c r="BB25" s="67">
        <f>SUMIFS(Benefits!$BX:$BX,Benefits!$E:$E,"Revenue",Benefits!$F:$F,"USD",Benefits!$D:$D,"Plan Base",Benefits!$CS:$CS,$A25)</f>
        <v>0.3136666666666667</v>
      </c>
      <c r="BC25" s="67">
        <f>SUMIFS(Benefits!$BY:$BY,Benefits!$E:$E,"Revenue",Benefits!$F:$F,"USD",Benefits!$D:$D,"Plan Base",Benefits!$CS:$CS,$A25)</f>
        <v>0.3136666666666667</v>
      </c>
      <c r="BD25" s="67">
        <f>SUMIFS(Benefits!$BZ:$BZ,Benefits!$E:$E,"Revenue",Benefits!$F:$F,"USD",Benefits!$D:$D,"Plan Base",Benefits!$CS:$CS,$A25)</f>
        <v>0.3136666666666667</v>
      </c>
      <c r="BE25" s="67">
        <f>SUMIFS(Benefits!$CA:$CA,Benefits!$E:$E,"Revenue",Benefits!$F:$F,"USD",Benefits!$D:$D,"Plan Base",Benefits!$CS:$CS,$A25)</f>
        <v>0.3136666666666667</v>
      </c>
      <c r="BF25" s="67">
        <f>SUMIFS(Benefits!$CB:$CB,Benefits!$E:$E,"Revenue",Benefits!$F:$F,"USD",Benefits!$D:$D,"Plan Base",Benefits!$CS:$CS,$A25)</f>
        <v>0.3136666666666667</v>
      </c>
      <c r="BG25" s="67">
        <f>SUMIFS(Benefits!$CC:$CC,Benefits!$E:$E,"Revenue",Benefits!$F:$F,"USD",Benefits!$D:$D,"Plan Base",Benefits!$CS:$CS,$A25)</f>
        <v>0.3136666666666667</v>
      </c>
      <c r="BH25" s="67">
        <f>SUMIFS(Benefits!$CD:$CD,Benefits!$E:$E,"Revenue",Benefits!$F:$F,"USD",Benefits!$D:$D,"Plan Base",Benefits!$CS:$CS,$A25)</f>
        <v>0.3136666666666667</v>
      </c>
      <c r="BI25" s="67">
        <f>SUMIFS(Benefits!$CE:$CE,Benefits!$E:$E,"Revenue",Benefits!$F:$F,"USD",Benefits!$D:$D,"Plan Base",Benefits!$CS:$CS,$A25)</f>
        <v>0.3136666666666667</v>
      </c>
    </row>
    <row r="26" spans="1:117" x14ac:dyDescent="0.25">
      <c r="A26" s="81" t="s">
        <v>683</v>
      </c>
      <c r="B26" s="65">
        <f>SUMIFS(Benefits!$S:$S,Benefits!$E:$E,"Revenue",Benefits!$F:$F,"USD",Benefits!$D:$D,"Plan Base",Benefits!$CS:$CS,$A26)</f>
        <v>0.57199999999999995</v>
      </c>
      <c r="C26" s="65">
        <f>SUMIFS(Benefits!$T:$T,Benefits!$E:$E,"Revenue",Benefits!$F:$F,"USD",Benefits!$D:$D,"Plan Base",Benefits!$CS:$CS,$A26)</f>
        <v>2.3660000000000001</v>
      </c>
      <c r="D26" s="65">
        <f>SUMIFS(Benefits!$U:$U,Benefits!$E:$E,"Revenue",Benefits!$F:$F,"USD",Benefits!$D:$D,"Plan Base",Benefits!$CS:$CS,$A26)</f>
        <v>3.6779999999999999</v>
      </c>
      <c r="E26" s="65">
        <f>SUMIFS(Benefits!$V:$V,Benefits!$E:$E,"Revenue",Benefits!$F:$F,"USD",Benefits!$D:$D,"Plan Base",Benefits!$CS:$CS,$A26)</f>
        <v>3.6779999999999999</v>
      </c>
      <c r="F26" s="65">
        <f>SUMIFS(Benefits!$W:$W,Benefits!$E:$E,"Revenue",Benefits!$F:$F,"USD",Benefits!$D:$D,"Plan Base",Benefits!$CS:$CS,$A26)</f>
        <v>3.6779999999999999</v>
      </c>
      <c r="G26" s="82"/>
      <c r="H26" s="65">
        <f>SUMIFS(Benefits!$AD:$AD,Benefits!$E:$E,"Revenue",Benefits!$F:$F,"USD",Benefits!$D:$D,"Plan Base",Benefits!$CS:$CS,$A26)</f>
        <v>0</v>
      </c>
      <c r="I26" s="65">
        <f>SUMIFS(Benefits!$AE:$AE,Benefits!$E:$E,"Revenue",Benefits!$F:$F,"USD",Benefits!$D:$D,"Plan Base",Benefits!$CS:$CS,$A26)</f>
        <v>0</v>
      </c>
      <c r="J26" s="65">
        <f>SUMIFS(Benefits!$AF:$AF,Benefits!$E:$E,"Revenue",Benefits!$F:$F,"USD",Benefits!$D:$D,"Plan Base",Benefits!$CS:$CS,$A26)</f>
        <v>0</v>
      </c>
      <c r="K26" s="65">
        <f>SUMIFS(Benefits!$AG:$AG,Benefits!$E:$E,"Revenue",Benefits!$F:$F,"USD",Benefits!$D:$D,"Plan Base",Benefits!$CS:$CS,$A26)</f>
        <v>0</v>
      </c>
      <c r="L26" s="65">
        <f>SUMIFS(Benefits!$AH:$AH,Benefits!$E:$E,"Revenue",Benefits!$F:$F,"USD",Benefits!$D:$D,"Plan Base",Benefits!$CS:$CS,$A26)</f>
        <v>0</v>
      </c>
      <c r="M26" s="65">
        <f>SUMIFS(Benefits!$AI:$AI,Benefits!$E:$E,"Revenue",Benefits!$F:$F,"USD",Benefits!$D:$D,"Plan Base",Benefits!$CS:$CS,$A26)</f>
        <v>0.57199999999999995</v>
      </c>
      <c r="N26" s="65">
        <f>SUMIFS(Benefits!$AJ:$AJ,Benefits!$E:$E,"Revenue",Benefits!$F:$F,"USD",Benefits!$D:$D,"Plan Base",Benefits!$CS:$CS,$A26)</f>
        <v>0.10083333333333333</v>
      </c>
      <c r="O26" s="65">
        <f>SUMIFS(Benefits!$AK:$AK,Benefits!$E:$E,"Revenue",Benefits!$F:$F,"USD",Benefits!$D:$D,"Plan Base",Benefits!$CS:$CS,$A26)</f>
        <v>0.10083333333333333</v>
      </c>
      <c r="P26" s="65">
        <f>SUMIFS(Benefits!$AL:$AL,Benefits!$E:$E,"Revenue",Benefits!$F:$F,"USD",Benefits!$D:$D,"Plan Base",Benefits!$CS:$CS,$A26)</f>
        <v>0.10083333333333333</v>
      </c>
      <c r="Q26" s="65">
        <f>SUMIFS(Benefits!$AM:$AM,Benefits!$E:$E,"Revenue",Benefits!$F:$F,"USD",Benefits!$D:$D,"Plan Base",Benefits!$CS:$CS,$A26)</f>
        <v>0.10083333333333333</v>
      </c>
      <c r="R26" s="65">
        <f>SUMIFS(Benefits!$AN:$AN,Benefits!$E:$E,"Revenue",Benefits!$F:$F,"USD",Benefits!$D:$D,"Plan Base",Benefits!$CS:$CS,$A26)</f>
        <v>0.10083333333333333</v>
      </c>
      <c r="S26" s="65">
        <f>SUMIFS(Benefits!$AO:$AO,Benefits!$E:$E,"Revenue",Benefits!$F:$F,"USD",Benefits!$D:$D,"Plan Base",Benefits!$CS:$CS,$A26)</f>
        <v>0.10083333333333333</v>
      </c>
      <c r="T26" s="65">
        <f>SUMIFS(Benefits!$AP:$AP,Benefits!$E:$E,"Revenue",Benefits!$F:$F,"USD",Benefits!$D:$D,"Plan Base",Benefits!$CS:$CS,$A26)</f>
        <v>0.10083333333333333</v>
      </c>
      <c r="U26" s="65">
        <f>SUMIFS(Benefits!$AQ:$AQ,Benefits!$E:$E,"Revenue",Benefits!$F:$F,"USD",Benefits!$D:$D,"Plan Base",Benefits!$CS:$CS,$A26)</f>
        <v>0.20083333333333334</v>
      </c>
      <c r="V26" s="65">
        <f>SUMIFS(Benefits!$AR:$AR,Benefits!$E:$E,"Revenue",Benefits!$F:$F,"USD",Benefits!$D:$D,"Plan Base",Benefits!$CS:$CS,$A26)</f>
        <v>0.20083333333333334</v>
      </c>
      <c r="W26" s="65">
        <f>SUMIFS(Benefits!$AS:$AS,Benefits!$E:$E,"Revenue",Benefits!$F:$F,"USD",Benefits!$D:$D,"Plan Base",Benefits!$CS:$CS,$A26)</f>
        <v>0.41949999999999998</v>
      </c>
      <c r="X26" s="65">
        <f>SUMIFS(Benefits!$AT:$AT,Benefits!$E:$E,"Revenue",Benefits!$F:$F,"USD",Benefits!$D:$D,"Plan Base",Benefits!$CS:$CS,$A26)</f>
        <v>0.41949999999999998</v>
      </c>
      <c r="Y26" s="65">
        <f>SUMIFS(Benefits!$AU:$AU,Benefits!$E:$E,"Revenue",Benefits!$F:$F,"USD",Benefits!$D:$D,"Plan Base",Benefits!$CS:$CS,$A26)</f>
        <v>0.41949999999999998</v>
      </c>
      <c r="Z26" s="65">
        <f>SUMIFS(Benefits!$AV:$AV,Benefits!$E:$E,"Revenue",Benefits!$F:$F,"USD",Benefits!$D:$D,"Plan Base",Benefits!$CS:$CS,$A26)</f>
        <v>0.30650000000000005</v>
      </c>
      <c r="AA26" s="65">
        <f>SUMIFS(Benefits!$AW:$AW,Benefits!$E:$E,"Revenue",Benefits!$F:$F,"USD",Benefits!$D:$D,"Plan Base",Benefits!$CS:$CS,$A26)</f>
        <v>0.30650000000000005</v>
      </c>
      <c r="AB26" s="65">
        <f>SUMIFS(Benefits!$AX:$AX,Benefits!$E:$E,"Revenue",Benefits!$F:$F,"USD",Benefits!$D:$D,"Plan Base",Benefits!$CS:$CS,$A26)</f>
        <v>0.30650000000000005</v>
      </c>
      <c r="AC26" s="65">
        <f>SUMIFS(Benefits!$AY:$AY,Benefits!$E:$E,"Revenue",Benefits!$F:$F,"USD",Benefits!$D:$D,"Plan Base",Benefits!$CS:$CS,$A26)</f>
        <v>0.30650000000000005</v>
      </c>
      <c r="AD26" s="65">
        <f>SUMIFS(Benefits!$AZ:$AZ,Benefits!$E:$E,"Revenue",Benefits!$F:$F,"USD",Benefits!$D:$D,"Plan Base",Benefits!$CS:$CS,$A26)</f>
        <v>0.30650000000000005</v>
      </c>
      <c r="AE26" s="65">
        <f>SUMIFS(Benefits!$BA:$BA,Benefits!$E:$E,"Revenue",Benefits!$F:$F,"USD",Benefits!$D:$D,"Plan Base",Benefits!$CS:$CS,$A26)</f>
        <v>0.30650000000000005</v>
      </c>
      <c r="AF26" s="65">
        <f>SUMIFS(Benefits!$BB:$BB,Benefits!$E:$E,"Revenue",Benefits!$F:$F,"USD",Benefits!$D:$D,"Plan Base",Benefits!$CS:$CS,$A26)</f>
        <v>0.30650000000000005</v>
      </c>
      <c r="AG26" s="65">
        <f>SUMIFS(Benefits!$BC:$BC,Benefits!$E:$E,"Revenue",Benefits!$F:$F,"USD",Benefits!$D:$D,"Plan Base",Benefits!$CS:$CS,$A26)</f>
        <v>0.30650000000000005</v>
      </c>
      <c r="AH26" s="65">
        <f>SUMIFS(Benefits!$BD:$BD,Benefits!$E:$E,"Revenue",Benefits!$F:$F,"USD",Benefits!$D:$D,"Plan Base",Benefits!$CS:$CS,$A26)</f>
        <v>0.30650000000000005</v>
      </c>
      <c r="AI26" s="65">
        <f>SUMIFS(Benefits!$BE:$BE,Benefits!$E:$E,"Revenue",Benefits!$F:$F,"USD",Benefits!$D:$D,"Plan Base",Benefits!$CS:$CS,$A26)</f>
        <v>0.30650000000000005</v>
      </c>
      <c r="AJ26" s="65">
        <f>SUMIFS(Benefits!$BF:$BF,Benefits!$E:$E,"Revenue",Benefits!$F:$F,"USD",Benefits!$D:$D,"Plan Base",Benefits!$CS:$CS,$A26)</f>
        <v>0.30650000000000005</v>
      </c>
      <c r="AK26" s="65">
        <f>SUMIFS(Benefits!$BG:$BG,Benefits!$E:$E,"Revenue",Benefits!$F:$F,"USD",Benefits!$D:$D,"Plan Base",Benefits!$CS:$CS,$A26)</f>
        <v>0.30650000000000005</v>
      </c>
      <c r="AL26" s="65">
        <f>SUMIFS(Benefits!$BH:$BH,Benefits!$E:$E,"Revenue",Benefits!$F:$F,"USD",Benefits!$D:$D,"Plan Base",Benefits!$CS:$CS,$A26)</f>
        <v>0.30650000000000005</v>
      </c>
      <c r="AM26" s="65">
        <f>SUMIFS(Benefits!$BI:$BI,Benefits!$E:$E,"Revenue",Benefits!$F:$F,"USD",Benefits!$D:$D,"Plan Base",Benefits!$CS:$CS,$A26)</f>
        <v>0.30650000000000005</v>
      </c>
      <c r="AN26" s="65">
        <f>SUMIFS(Benefits!$BJ:$BJ,Benefits!$E:$E,"Revenue",Benefits!$F:$F,"USD",Benefits!$D:$D,"Plan Base",Benefits!$CS:$CS,$A26)</f>
        <v>0.30650000000000005</v>
      </c>
      <c r="AO26" s="65">
        <f>SUMIFS(Benefits!$BK:$BK,Benefits!$E:$E,"Revenue",Benefits!$F:$F,"USD",Benefits!$D:$D,"Plan Base",Benefits!$CS:$CS,$A26)</f>
        <v>0.30650000000000005</v>
      </c>
      <c r="AP26" s="65">
        <f>SUMIFS(Benefits!$BL:$BL,Benefits!$E:$E,"Revenue",Benefits!$F:$F,"USD",Benefits!$D:$D,"Plan Base",Benefits!$CS:$CS,$A26)</f>
        <v>0.30650000000000005</v>
      </c>
      <c r="AQ26" s="65">
        <f>SUMIFS(Benefits!$BM:$BM,Benefits!$E:$E,"Revenue",Benefits!$F:$F,"USD",Benefits!$D:$D,"Plan Base",Benefits!$CS:$CS,$A26)</f>
        <v>0.30650000000000005</v>
      </c>
      <c r="AR26" s="65">
        <f>SUMIFS(Benefits!$BN:$BN,Benefits!$E:$E,"Revenue",Benefits!$F:$F,"USD",Benefits!$D:$D,"Plan Base",Benefits!$CS:$CS,$A26)</f>
        <v>0.30650000000000005</v>
      </c>
      <c r="AS26" s="65">
        <f>SUMIFS(Benefits!$BO:$BO,Benefits!$E:$E,"Revenue",Benefits!$F:$F,"USD",Benefits!$D:$D,"Plan Base",Benefits!$CS:$CS,$A26)</f>
        <v>0.30650000000000005</v>
      </c>
      <c r="AT26" s="65">
        <f>SUMIFS(Benefits!$BP:$BP,Benefits!$E:$E,"Revenue",Benefits!$F:$F,"USD",Benefits!$D:$D,"Plan Base",Benefits!$CS:$CS,$A26)</f>
        <v>0.30650000000000005</v>
      </c>
      <c r="AU26" s="65">
        <f>SUMIFS(Benefits!$BQ:$BQ,Benefits!$E:$E,"Revenue",Benefits!$F:$F,"USD",Benefits!$D:$D,"Plan Base",Benefits!$CS:$CS,$A26)</f>
        <v>0.30650000000000005</v>
      </c>
      <c r="AV26" s="65">
        <f>SUMIFS(Benefits!$BR:$BR,Benefits!$E:$E,"Revenue",Benefits!$F:$F,"USD",Benefits!$D:$D,"Plan Base",Benefits!$CS:$CS,$A26)</f>
        <v>0.30650000000000005</v>
      </c>
      <c r="AW26" s="65">
        <f>SUMIFS(Benefits!$BS:$BS,Benefits!$E:$E,"Revenue",Benefits!$F:$F,"USD",Benefits!$D:$D,"Plan Base",Benefits!$CS:$CS,$A26)</f>
        <v>0.30650000000000005</v>
      </c>
      <c r="AX26" s="65">
        <f>SUMIFS(Benefits!$BT:$BT,Benefits!$E:$E,"Revenue",Benefits!$F:$F,"USD",Benefits!$D:$D,"Plan Base",Benefits!$CS:$CS,$A26)</f>
        <v>0.30650000000000005</v>
      </c>
      <c r="AY26" s="65">
        <f>SUMIFS(Benefits!$BU:$BU,Benefits!$E:$E,"Revenue",Benefits!$F:$F,"USD",Benefits!$D:$D,"Plan Base",Benefits!$CS:$CS,$A26)</f>
        <v>0.30650000000000005</v>
      </c>
      <c r="AZ26" s="65">
        <f>SUMIFS(Benefits!$BV:$BV,Benefits!$E:$E,"Revenue",Benefits!$F:$F,"USD",Benefits!$D:$D,"Plan Base",Benefits!$CS:$CS,$A26)</f>
        <v>0.30650000000000005</v>
      </c>
      <c r="BA26" s="65">
        <f>SUMIFS(Benefits!$BW:$BW,Benefits!$E:$E,"Revenue",Benefits!$F:$F,"USD",Benefits!$D:$D,"Plan Base",Benefits!$CS:$CS,$A26)</f>
        <v>0.30650000000000005</v>
      </c>
      <c r="BB26" s="65">
        <f>SUMIFS(Benefits!$BX:$BX,Benefits!$E:$E,"Revenue",Benefits!$F:$F,"USD",Benefits!$D:$D,"Plan Base",Benefits!$CS:$CS,$A26)</f>
        <v>0.30650000000000005</v>
      </c>
      <c r="BC26" s="65">
        <f>SUMIFS(Benefits!$BY:$BY,Benefits!$E:$E,"Revenue",Benefits!$F:$F,"USD",Benefits!$D:$D,"Plan Base",Benefits!$CS:$CS,$A26)</f>
        <v>0.30650000000000005</v>
      </c>
      <c r="BD26" s="65">
        <f>SUMIFS(Benefits!$BZ:$BZ,Benefits!$E:$E,"Revenue",Benefits!$F:$F,"USD",Benefits!$D:$D,"Plan Base",Benefits!$CS:$CS,$A26)</f>
        <v>0.30650000000000005</v>
      </c>
      <c r="BE26" s="65">
        <f>SUMIFS(Benefits!$CA:$CA,Benefits!$E:$E,"Revenue",Benefits!$F:$F,"USD",Benefits!$D:$D,"Plan Base",Benefits!$CS:$CS,$A26)</f>
        <v>0.30650000000000005</v>
      </c>
      <c r="BF26" s="65">
        <f>SUMIFS(Benefits!$CB:$CB,Benefits!$E:$E,"Revenue",Benefits!$F:$F,"USD",Benefits!$D:$D,"Plan Base",Benefits!$CS:$CS,$A26)</f>
        <v>0.30650000000000005</v>
      </c>
      <c r="BG26" s="65">
        <f>SUMIFS(Benefits!$CC:$CC,Benefits!$E:$E,"Revenue",Benefits!$F:$F,"USD",Benefits!$D:$D,"Plan Base",Benefits!$CS:$CS,$A26)</f>
        <v>0.30650000000000005</v>
      </c>
      <c r="BH26" s="65">
        <f>SUMIFS(Benefits!$CD:$CD,Benefits!$E:$E,"Revenue",Benefits!$F:$F,"USD",Benefits!$D:$D,"Plan Base",Benefits!$CS:$CS,$A26)</f>
        <v>0.30650000000000005</v>
      </c>
      <c r="BI26" s="65">
        <f>SUMIFS(Benefits!$CE:$CE,Benefits!$E:$E,"Revenue",Benefits!$F:$F,"USD",Benefits!$D:$D,"Plan Base",Benefits!$CS:$CS,$A26)</f>
        <v>0.30650000000000005</v>
      </c>
    </row>
    <row r="27" spans="1:117" x14ac:dyDescent="0.25">
      <c r="A27" s="83" t="s">
        <v>705</v>
      </c>
      <c r="B27" s="67">
        <f>SUMIFS(Benefits!$S:$S,Benefits!$E:$E,"Revenue",Benefits!$F:$F,"USD",Benefits!$D:$D,"Plan Base",Benefits!$CS:$CS,$A27)</f>
        <v>0.59799999999999998</v>
      </c>
      <c r="C27" s="67">
        <f>SUMIFS(Benefits!$T:$T,Benefits!$E:$E,"Revenue",Benefits!$F:$F,"USD",Benefits!$D:$D,"Plan Base",Benefits!$CS:$CS,$A27)</f>
        <v>2.044</v>
      </c>
      <c r="D27" s="67">
        <f>SUMIFS(Benefits!$U:$U,Benefits!$E:$E,"Revenue",Benefits!$F:$F,"USD",Benefits!$D:$D,"Plan Base",Benefits!$CS:$CS,$A27)</f>
        <v>3.6020000000000003</v>
      </c>
      <c r="E27" s="67">
        <f>SUMIFS(Benefits!$V:$V,Benefits!$E:$E,"Revenue",Benefits!$F:$F,"USD",Benefits!$D:$D,"Plan Base",Benefits!$CS:$CS,$A27)</f>
        <v>3.6020000000000003</v>
      </c>
      <c r="F27" s="67">
        <f>SUMIFS(Benefits!$W:$W,Benefits!$E:$E,"Revenue",Benefits!$F:$F,"USD",Benefits!$D:$D,"Plan Base",Benefits!$CS:$CS,$A27)</f>
        <v>3.6020000000000003</v>
      </c>
      <c r="G27" s="84"/>
      <c r="H27" s="67">
        <f>SUMIFS(Benefits!$AD:$AD,Benefits!$E:$E,"Revenue",Benefits!$F:$F,"USD",Benefits!$D:$D,"Plan Base",Benefits!$CS:$CS,$A27)</f>
        <v>0</v>
      </c>
      <c r="I27" s="67">
        <f>SUMIFS(Benefits!$AE:$AE,Benefits!$E:$E,"Revenue",Benefits!$F:$F,"USD",Benefits!$D:$D,"Plan Base",Benefits!$CS:$CS,$A27)</f>
        <v>0</v>
      </c>
      <c r="J27" s="67">
        <f>SUMIFS(Benefits!$AF:$AF,Benefits!$E:$E,"Revenue",Benefits!$F:$F,"USD",Benefits!$D:$D,"Plan Base",Benefits!$CS:$CS,$A27)</f>
        <v>0</v>
      </c>
      <c r="K27" s="67">
        <f>SUMIFS(Benefits!$AG:$AG,Benefits!$E:$E,"Revenue",Benefits!$F:$F,"USD",Benefits!$D:$D,"Plan Base",Benefits!$CS:$CS,$A27)</f>
        <v>0</v>
      </c>
      <c r="L27" s="67">
        <f>SUMIFS(Benefits!$AH:$AH,Benefits!$E:$E,"Revenue",Benefits!$F:$F,"USD",Benefits!$D:$D,"Plan Base",Benefits!$CS:$CS,$A27)</f>
        <v>0.29899999999999999</v>
      </c>
      <c r="M27" s="67">
        <f>SUMIFS(Benefits!$AI:$AI,Benefits!$E:$E,"Revenue",Benefits!$F:$F,"USD",Benefits!$D:$D,"Plan Base",Benefits!$CS:$CS,$A27)</f>
        <v>0.29899999999999999</v>
      </c>
      <c r="N27" s="67">
        <f>SUMIFS(Benefits!$AJ:$AJ,Benefits!$E:$E,"Revenue",Benefits!$F:$F,"USD",Benefits!$D:$D,"Plan Base",Benefits!$CS:$CS,$A27)</f>
        <v>0.10541666666666666</v>
      </c>
      <c r="O27" s="67">
        <f>SUMIFS(Benefits!$AK:$AK,Benefits!$E:$E,"Revenue",Benefits!$F:$F,"USD",Benefits!$D:$D,"Plan Base",Benefits!$CS:$CS,$A27)</f>
        <v>0.17623484848484849</v>
      </c>
      <c r="P27" s="67">
        <f>SUMIFS(Benefits!$AL:$AL,Benefits!$E:$E,"Revenue",Benefits!$F:$F,"USD",Benefits!$D:$D,"Plan Base",Benefits!$CS:$CS,$A27)</f>
        <v>0.17623484848484849</v>
      </c>
      <c r="Q27" s="67">
        <f>SUMIFS(Benefits!$AM:$AM,Benefits!$E:$E,"Revenue",Benefits!$F:$F,"USD",Benefits!$D:$D,"Plan Base",Benefits!$CS:$CS,$A27)</f>
        <v>0.17623484848484849</v>
      </c>
      <c r="R27" s="67">
        <f>SUMIFS(Benefits!$AN:$AN,Benefits!$E:$E,"Revenue",Benefits!$F:$F,"USD",Benefits!$D:$D,"Plan Base",Benefits!$CS:$CS,$A27)</f>
        <v>0.17623484848484849</v>
      </c>
      <c r="S27" s="67">
        <f>SUMIFS(Benefits!$AO:$AO,Benefits!$E:$E,"Revenue",Benefits!$F:$F,"USD",Benefits!$D:$D,"Plan Base",Benefits!$CS:$CS,$A27)</f>
        <v>0.17623484848484849</v>
      </c>
      <c r="T27" s="67">
        <f>SUMIFS(Benefits!$AP:$AP,Benefits!$E:$E,"Revenue",Benefits!$F:$F,"USD",Benefits!$D:$D,"Plan Base",Benefits!$CS:$CS,$A27)</f>
        <v>0.17623484848484849</v>
      </c>
      <c r="U27" s="67">
        <f>SUMIFS(Benefits!$AQ:$AQ,Benefits!$E:$E,"Revenue",Benefits!$F:$F,"USD",Benefits!$D:$D,"Plan Base",Benefits!$CS:$CS,$A27)</f>
        <v>0.17623484848484849</v>
      </c>
      <c r="V27" s="67">
        <f>SUMIFS(Benefits!$AR:$AR,Benefits!$E:$E,"Revenue",Benefits!$F:$F,"USD",Benefits!$D:$D,"Plan Base",Benefits!$CS:$CS,$A27)</f>
        <v>0.17623484848484849</v>
      </c>
      <c r="W27" s="67">
        <f>SUMIFS(Benefits!$AS:$AS,Benefits!$E:$E,"Revenue",Benefits!$F:$F,"USD",Benefits!$D:$D,"Plan Base",Benefits!$CS:$CS,$A27)</f>
        <v>0.17623484848484849</v>
      </c>
      <c r="X27" s="67">
        <f>SUMIFS(Benefits!$AT:$AT,Benefits!$E:$E,"Revenue",Benefits!$F:$F,"USD",Benefits!$D:$D,"Plan Base",Benefits!$CS:$CS,$A27)</f>
        <v>0.17623484848484849</v>
      </c>
      <c r="Y27" s="67">
        <f>SUMIFS(Benefits!$AU:$AU,Benefits!$E:$E,"Revenue",Benefits!$F:$F,"USD",Benefits!$D:$D,"Plan Base",Benefits!$CS:$CS,$A27)</f>
        <v>0.17623484848484849</v>
      </c>
      <c r="Z27" s="67">
        <f>SUMIFS(Benefits!$AV:$AV,Benefits!$E:$E,"Revenue",Benefits!$F:$F,"USD",Benefits!$D:$D,"Plan Base",Benefits!$CS:$CS,$A27)</f>
        <v>0.30016666666666669</v>
      </c>
      <c r="AA27" s="67">
        <f>SUMIFS(Benefits!$AW:$AW,Benefits!$E:$E,"Revenue",Benefits!$F:$F,"USD",Benefits!$D:$D,"Plan Base",Benefits!$CS:$CS,$A27)</f>
        <v>0.30016666666666669</v>
      </c>
      <c r="AB27" s="67">
        <f>SUMIFS(Benefits!$AX:$AX,Benefits!$E:$E,"Revenue",Benefits!$F:$F,"USD",Benefits!$D:$D,"Plan Base",Benefits!$CS:$CS,$A27)</f>
        <v>0.30016666666666669</v>
      </c>
      <c r="AC27" s="67">
        <f>SUMIFS(Benefits!$AY:$AY,Benefits!$E:$E,"Revenue",Benefits!$F:$F,"USD",Benefits!$D:$D,"Plan Base",Benefits!$CS:$CS,$A27)</f>
        <v>0.30016666666666669</v>
      </c>
      <c r="AD27" s="67">
        <f>SUMIFS(Benefits!$AZ:$AZ,Benefits!$E:$E,"Revenue",Benefits!$F:$F,"USD",Benefits!$D:$D,"Plan Base",Benefits!$CS:$CS,$A27)</f>
        <v>0.30016666666666669</v>
      </c>
      <c r="AE27" s="67">
        <f>SUMIFS(Benefits!$BA:$BA,Benefits!$E:$E,"Revenue",Benefits!$F:$F,"USD",Benefits!$D:$D,"Plan Base",Benefits!$CS:$CS,$A27)</f>
        <v>0.30016666666666669</v>
      </c>
      <c r="AF27" s="67">
        <f>SUMIFS(Benefits!$BB:$BB,Benefits!$E:$E,"Revenue",Benefits!$F:$F,"USD",Benefits!$D:$D,"Plan Base",Benefits!$CS:$CS,$A27)</f>
        <v>0.30016666666666669</v>
      </c>
      <c r="AG27" s="67">
        <f>SUMIFS(Benefits!$BC:$BC,Benefits!$E:$E,"Revenue",Benefits!$F:$F,"USD",Benefits!$D:$D,"Plan Base",Benefits!$CS:$CS,$A27)</f>
        <v>0.30016666666666669</v>
      </c>
      <c r="AH27" s="67">
        <f>SUMIFS(Benefits!$BD:$BD,Benefits!$E:$E,"Revenue",Benefits!$F:$F,"USD",Benefits!$D:$D,"Plan Base",Benefits!$CS:$CS,$A27)</f>
        <v>0.30016666666666669</v>
      </c>
      <c r="AI27" s="67">
        <f>SUMIFS(Benefits!$BE:$BE,Benefits!$E:$E,"Revenue",Benefits!$F:$F,"USD",Benefits!$D:$D,"Plan Base",Benefits!$CS:$CS,$A27)</f>
        <v>0.30016666666666669</v>
      </c>
      <c r="AJ27" s="67">
        <f>SUMIFS(Benefits!$BF:$BF,Benefits!$E:$E,"Revenue",Benefits!$F:$F,"USD",Benefits!$D:$D,"Plan Base",Benefits!$CS:$CS,$A27)</f>
        <v>0.30016666666666669</v>
      </c>
      <c r="AK27" s="67">
        <f>SUMIFS(Benefits!$BG:$BG,Benefits!$E:$E,"Revenue",Benefits!$F:$F,"USD",Benefits!$D:$D,"Plan Base",Benefits!$CS:$CS,$A27)</f>
        <v>0.30016666666666669</v>
      </c>
      <c r="AL27" s="67">
        <f>SUMIFS(Benefits!$BH:$BH,Benefits!$E:$E,"Revenue",Benefits!$F:$F,"USD",Benefits!$D:$D,"Plan Base",Benefits!$CS:$CS,$A27)</f>
        <v>0.30016666666666669</v>
      </c>
      <c r="AM27" s="67">
        <f>SUMIFS(Benefits!$BI:$BI,Benefits!$E:$E,"Revenue",Benefits!$F:$F,"USD",Benefits!$D:$D,"Plan Base",Benefits!$CS:$CS,$A27)</f>
        <v>0.30016666666666669</v>
      </c>
      <c r="AN27" s="67">
        <f>SUMIFS(Benefits!$BJ:$BJ,Benefits!$E:$E,"Revenue",Benefits!$F:$F,"USD",Benefits!$D:$D,"Plan Base",Benefits!$CS:$CS,$A27)</f>
        <v>0.30016666666666669</v>
      </c>
      <c r="AO27" s="67">
        <f>SUMIFS(Benefits!$BK:$BK,Benefits!$E:$E,"Revenue",Benefits!$F:$F,"USD",Benefits!$D:$D,"Plan Base",Benefits!$CS:$CS,$A27)</f>
        <v>0.30016666666666669</v>
      </c>
      <c r="AP27" s="67">
        <f>SUMIFS(Benefits!$BL:$BL,Benefits!$E:$E,"Revenue",Benefits!$F:$F,"USD",Benefits!$D:$D,"Plan Base",Benefits!$CS:$CS,$A27)</f>
        <v>0.30016666666666669</v>
      </c>
      <c r="AQ27" s="67">
        <f>SUMIFS(Benefits!$BM:$BM,Benefits!$E:$E,"Revenue",Benefits!$F:$F,"USD",Benefits!$D:$D,"Plan Base",Benefits!$CS:$CS,$A27)</f>
        <v>0.30016666666666669</v>
      </c>
      <c r="AR27" s="67">
        <f>SUMIFS(Benefits!$BN:$BN,Benefits!$E:$E,"Revenue",Benefits!$F:$F,"USD",Benefits!$D:$D,"Plan Base",Benefits!$CS:$CS,$A27)</f>
        <v>0.30016666666666669</v>
      </c>
      <c r="AS27" s="67">
        <f>SUMIFS(Benefits!$BO:$BO,Benefits!$E:$E,"Revenue",Benefits!$F:$F,"USD",Benefits!$D:$D,"Plan Base",Benefits!$CS:$CS,$A27)</f>
        <v>0.30016666666666669</v>
      </c>
      <c r="AT27" s="67">
        <f>SUMIFS(Benefits!$BP:$BP,Benefits!$E:$E,"Revenue",Benefits!$F:$F,"USD",Benefits!$D:$D,"Plan Base",Benefits!$CS:$CS,$A27)</f>
        <v>0.30016666666666669</v>
      </c>
      <c r="AU27" s="67">
        <f>SUMIFS(Benefits!$BQ:$BQ,Benefits!$E:$E,"Revenue",Benefits!$F:$F,"USD",Benefits!$D:$D,"Plan Base",Benefits!$CS:$CS,$A27)</f>
        <v>0.30016666666666669</v>
      </c>
      <c r="AV27" s="67">
        <f>SUMIFS(Benefits!$BR:$BR,Benefits!$E:$E,"Revenue",Benefits!$F:$F,"USD",Benefits!$D:$D,"Plan Base",Benefits!$CS:$CS,$A27)</f>
        <v>0.30016666666666669</v>
      </c>
      <c r="AW27" s="67">
        <f>SUMIFS(Benefits!$BS:$BS,Benefits!$E:$E,"Revenue",Benefits!$F:$F,"USD",Benefits!$D:$D,"Plan Base",Benefits!$CS:$CS,$A27)</f>
        <v>0.30016666666666669</v>
      </c>
      <c r="AX27" s="67">
        <f>SUMIFS(Benefits!$BT:$BT,Benefits!$E:$E,"Revenue",Benefits!$F:$F,"USD",Benefits!$D:$D,"Plan Base",Benefits!$CS:$CS,$A27)</f>
        <v>0.30016666666666669</v>
      </c>
      <c r="AY27" s="67">
        <f>SUMIFS(Benefits!$BU:$BU,Benefits!$E:$E,"Revenue",Benefits!$F:$F,"USD",Benefits!$D:$D,"Plan Base",Benefits!$CS:$CS,$A27)</f>
        <v>0.30016666666666669</v>
      </c>
      <c r="AZ27" s="67">
        <f>SUMIFS(Benefits!$BV:$BV,Benefits!$E:$E,"Revenue",Benefits!$F:$F,"USD",Benefits!$D:$D,"Plan Base",Benefits!$CS:$CS,$A27)</f>
        <v>0.30016666666666669</v>
      </c>
      <c r="BA27" s="67">
        <f>SUMIFS(Benefits!$BW:$BW,Benefits!$E:$E,"Revenue",Benefits!$F:$F,"USD",Benefits!$D:$D,"Plan Base",Benefits!$CS:$CS,$A27)</f>
        <v>0.30016666666666669</v>
      </c>
      <c r="BB27" s="67">
        <f>SUMIFS(Benefits!$BX:$BX,Benefits!$E:$E,"Revenue",Benefits!$F:$F,"USD",Benefits!$D:$D,"Plan Base",Benefits!$CS:$CS,$A27)</f>
        <v>0.30016666666666669</v>
      </c>
      <c r="BC27" s="67">
        <f>SUMIFS(Benefits!$BY:$BY,Benefits!$E:$E,"Revenue",Benefits!$F:$F,"USD",Benefits!$D:$D,"Plan Base",Benefits!$CS:$CS,$A27)</f>
        <v>0.30016666666666669</v>
      </c>
      <c r="BD27" s="67">
        <f>SUMIFS(Benefits!$BZ:$BZ,Benefits!$E:$E,"Revenue",Benefits!$F:$F,"USD",Benefits!$D:$D,"Plan Base",Benefits!$CS:$CS,$A27)</f>
        <v>0.30016666666666669</v>
      </c>
      <c r="BE27" s="67">
        <f>SUMIFS(Benefits!$CA:$CA,Benefits!$E:$E,"Revenue",Benefits!$F:$F,"USD",Benefits!$D:$D,"Plan Base",Benefits!$CS:$CS,$A27)</f>
        <v>0.30016666666666669</v>
      </c>
      <c r="BF27" s="67">
        <f>SUMIFS(Benefits!$CB:$CB,Benefits!$E:$E,"Revenue",Benefits!$F:$F,"USD",Benefits!$D:$D,"Plan Base",Benefits!$CS:$CS,$A27)</f>
        <v>0.30016666666666669</v>
      </c>
      <c r="BG27" s="67">
        <f>SUMIFS(Benefits!$CC:$CC,Benefits!$E:$E,"Revenue",Benefits!$F:$F,"USD",Benefits!$D:$D,"Plan Base",Benefits!$CS:$CS,$A27)</f>
        <v>0.30016666666666669</v>
      </c>
      <c r="BH27" s="67">
        <f>SUMIFS(Benefits!$CD:$CD,Benefits!$E:$E,"Revenue",Benefits!$F:$F,"USD",Benefits!$D:$D,"Plan Base",Benefits!$CS:$CS,$A27)</f>
        <v>0.30016666666666669</v>
      </c>
      <c r="BI27" s="67">
        <f>SUMIFS(Benefits!$CE:$CE,Benefits!$E:$E,"Revenue",Benefits!$F:$F,"USD",Benefits!$D:$D,"Plan Base",Benefits!$CS:$CS,$A27)</f>
        <v>0.30016666666666669</v>
      </c>
    </row>
    <row r="28" spans="1:117" x14ac:dyDescent="0.25">
      <c r="A28" s="69" t="s">
        <v>1110</v>
      </c>
      <c r="B28" s="70">
        <f>SUM(B24:B27)</f>
        <v>1.69</v>
      </c>
      <c r="C28" s="70">
        <f>SUM(C24:C27)</f>
        <v>8.1150000000000002</v>
      </c>
      <c r="D28" s="70">
        <f>SUM(D24:D27)</f>
        <v>15.004000000000001</v>
      </c>
      <c r="E28" s="70">
        <f>SUM(E24:E27)</f>
        <v>15.004000000000001</v>
      </c>
      <c r="F28" s="70">
        <f>SUM(F24:F27)</f>
        <v>15.004000000000001</v>
      </c>
      <c r="G28" s="85"/>
      <c r="H28" s="70">
        <f>SUM(H24:H27)</f>
        <v>0</v>
      </c>
      <c r="I28" s="70">
        <f>SUM(I24:I27)</f>
        <v>0</v>
      </c>
      <c r="J28" s="70">
        <f>SUM(J24:J27)</f>
        <v>0</v>
      </c>
      <c r="K28" s="70">
        <f>SUM(K24:K27)</f>
        <v>0</v>
      </c>
      <c r="L28" s="70">
        <f>SUM(L24:L27)</f>
        <v>0.29899999999999999</v>
      </c>
      <c r="M28" s="70">
        <f>SUM(M24:M27)</f>
        <v>1.391</v>
      </c>
      <c r="N28" s="70">
        <f>SUM(N24:N27)</f>
        <v>0.29791666666666666</v>
      </c>
      <c r="O28" s="70">
        <f>SUM(O24:O27)</f>
        <v>0.3687348484848485</v>
      </c>
      <c r="P28" s="70">
        <f>SUM(P24:P27)</f>
        <v>0.3687348484848485</v>
      </c>
      <c r="Q28" s="70">
        <f>SUM(Q24:Q27)</f>
        <v>0.41317929292929295</v>
      </c>
      <c r="R28" s="70">
        <f>SUM(R24:R27)</f>
        <v>0.41317929292929295</v>
      </c>
      <c r="S28" s="70">
        <f>SUM(S24:S27)</f>
        <v>0.41317929292929295</v>
      </c>
      <c r="T28" s="70">
        <f>SUM(T24:T27)</f>
        <v>0.57034595959595957</v>
      </c>
      <c r="U28" s="70">
        <f>SUM(U24:U27)</f>
        <v>0.67034595959595955</v>
      </c>
      <c r="V28" s="70">
        <f>SUM(V24:V27)</f>
        <v>0.78084595959595959</v>
      </c>
      <c r="W28" s="70">
        <f>SUM(W24:W27)</f>
        <v>0.99951262626262627</v>
      </c>
      <c r="X28" s="70">
        <f>SUM(X24:X27)</f>
        <v>0.99951262626262627</v>
      </c>
      <c r="Y28" s="70">
        <f>SUM(Y24:Y27)</f>
        <v>1.8195126262626262</v>
      </c>
      <c r="Z28" s="70">
        <f>SUM(Z24:Z27)</f>
        <v>1.2503333333333333</v>
      </c>
      <c r="AA28" s="70">
        <f>SUM(AA24:AA27)</f>
        <v>1.2503333333333333</v>
      </c>
      <c r="AB28" s="70">
        <f>SUM(AB24:AB27)</f>
        <v>1.2503333333333333</v>
      </c>
      <c r="AC28" s="70">
        <f>SUM(AC24:AC27)</f>
        <v>1.2503333333333333</v>
      </c>
      <c r="AD28" s="70">
        <f>SUM(AD24:AD27)</f>
        <v>1.2503333333333333</v>
      </c>
      <c r="AE28" s="70">
        <f>SUM(AE24:AE27)</f>
        <v>1.2503333333333333</v>
      </c>
      <c r="AF28" s="70">
        <f>SUM(AF24:AF27)</f>
        <v>1.2503333333333333</v>
      </c>
      <c r="AG28" s="70">
        <f>SUM(AG24:AG27)</f>
        <v>1.2503333333333333</v>
      </c>
      <c r="AH28" s="70">
        <f>SUM(AH24:AH27)</f>
        <v>1.2503333333333333</v>
      </c>
      <c r="AI28" s="70">
        <f>SUM(AI24:AI27)</f>
        <v>1.2503333333333333</v>
      </c>
      <c r="AJ28" s="70">
        <f>SUM(AJ24:AJ27)</f>
        <v>1.2503333333333333</v>
      </c>
      <c r="AK28" s="70">
        <f>SUM(AK24:AK27)</f>
        <v>1.2503333333333333</v>
      </c>
      <c r="AL28" s="70">
        <f>SUM(AL24:AL27)</f>
        <v>1.2503333333333333</v>
      </c>
      <c r="AM28" s="70">
        <f>SUM(AM24:AM27)</f>
        <v>1.2503333333333333</v>
      </c>
      <c r="AN28" s="70">
        <f>SUM(AN24:AN27)</f>
        <v>1.2503333333333333</v>
      </c>
      <c r="AO28" s="70">
        <f>SUM(AO24:AO27)</f>
        <v>1.2503333333333333</v>
      </c>
      <c r="AP28" s="70">
        <f>SUM(AP24:AP27)</f>
        <v>1.2503333333333333</v>
      </c>
      <c r="AQ28" s="70">
        <f>SUM(AQ24:AQ27)</f>
        <v>1.2503333333333333</v>
      </c>
      <c r="AR28" s="70">
        <f>SUM(AR24:AR27)</f>
        <v>1.2503333333333333</v>
      </c>
      <c r="AS28" s="70">
        <f>SUM(AS24:AS27)</f>
        <v>1.2503333333333333</v>
      </c>
      <c r="AT28" s="70">
        <f>SUM(AT24:AT27)</f>
        <v>1.2503333333333333</v>
      </c>
      <c r="AU28" s="70">
        <f>SUM(AU24:AU27)</f>
        <v>1.2503333333333333</v>
      </c>
      <c r="AV28" s="70">
        <f>SUM(AV24:AV27)</f>
        <v>1.2503333333333333</v>
      </c>
      <c r="AW28" s="70">
        <f>SUM(AW24:AW27)</f>
        <v>1.2503333333333333</v>
      </c>
      <c r="AX28" s="70">
        <f>SUM(AX24:AX27)</f>
        <v>1.2503333333333333</v>
      </c>
      <c r="AY28" s="70">
        <f>SUM(AY24:AY27)</f>
        <v>1.2503333333333333</v>
      </c>
      <c r="AZ28" s="70">
        <f>SUM(AZ24:AZ27)</f>
        <v>1.2503333333333333</v>
      </c>
      <c r="BA28" s="70">
        <f>SUM(BA24:BA27)</f>
        <v>1.2503333333333333</v>
      </c>
      <c r="BB28" s="70">
        <f>SUM(BB24:BB27)</f>
        <v>1.2503333333333333</v>
      </c>
      <c r="BC28" s="70">
        <f>SUM(BC24:BC27)</f>
        <v>1.2503333333333333</v>
      </c>
      <c r="BD28" s="70">
        <f>SUM(BD24:BD27)</f>
        <v>1.2503333333333333</v>
      </c>
      <c r="BE28" s="70">
        <f>SUM(BE24:BE27)</f>
        <v>1.2503333333333333</v>
      </c>
      <c r="BF28" s="70">
        <f>SUM(BF24:BF27)</f>
        <v>1.2503333333333333</v>
      </c>
      <c r="BG28" s="70">
        <f>SUM(BG24:BG27)</f>
        <v>1.2503333333333333</v>
      </c>
      <c r="BH28" s="70">
        <f>SUM(BH24:BH27)</f>
        <v>1.2503333333333333</v>
      </c>
      <c r="BI28" s="70">
        <f>SUM(BI24:BI27)</f>
        <v>1.2503333333333333</v>
      </c>
    </row>
    <row r="29" spans="1:117" x14ac:dyDescent="0.25">
      <c r="A29" s="90" t="s">
        <v>1111</v>
      </c>
      <c r="B29" s="90"/>
      <c r="C29" s="90"/>
      <c r="D29" s="90"/>
      <c r="E29" s="90"/>
      <c r="F29" s="90"/>
      <c r="G29" s="90"/>
      <c r="H29" s="90"/>
      <c r="I29" s="90"/>
      <c r="J29" s="90"/>
      <c r="K29" s="90"/>
      <c r="L29" s="90"/>
      <c r="M29" s="90"/>
      <c r="N29" s="90"/>
      <c r="O29" s="90"/>
      <c r="P29" s="90"/>
      <c r="Q29" s="90"/>
      <c r="R29" s="90"/>
      <c r="S29" s="90"/>
      <c r="T29" s="90"/>
      <c r="U29" s="90"/>
      <c r="V29" s="90"/>
      <c r="W29" s="90"/>
      <c r="X29" s="90"/>
      <c r="Y29" s="90"/>
      <c r="Z29" s="90"/>
      <c r="AA29" s="90"/>
      <c r="AB29" s="90"/>
      <c r="AC29" s="90"/>
      <c r="AD29" s="90"/>
      <c r="AE29" s="90"/>
      <c r="AF29" s="90"/>
      <c r="AG29" s="90"/>
      <c r="AH29" s="90"/>
      <c r="AI29" s="90"/>
      <c r="AJ29" s="90"/>
      <c r="AK29" s="90"/>
      <c r="AL29" s="90"/>
      <c r="AM29" s="90"/>
      <c r="AN29" s="90"/>
      <c r="AO29" s="90"/>
      <c r="AP29" s="90"/>
      <c r="AQ29" s="90"/>
      <c r="AR29" s="90"/>
      <c r="AS29" s="90"/>
      <c r="AT29" s="90"/>
      <c r="AU29" s="90"/>
      <c r="AV29" s="90"/>
      <c r="AW29" s="90"/>
      <c r="AX29" s="90"/>
      <c r="AY29" s="90"/>
      <c r="AZ29" s="90"/>
      <c r="BA29" s="90"/>
      <c r="BB29" s="90"/>
      <c r="BC29" s="90"/>
      <c r="BD29" s="90"/>
      <c r="BE29" s="90"/>
      <c r="BF29" s="90"/>
      <c r="BG29" s="90"/>
      <c r="BH29" s="90"/>
      <c r="BI29" s="90"/>
    </row>
    <row r="30" spans="1:117" x14ac:dyDescent="0.25">
      <c r="A30" s="81" t="s">
        <v>21</v>
      </c>
      <c r="B30" s="65">
        <f>SUMIFS(Benefits!$S:$S,Benefits!$E:$E,"Gross Margin",Benefits!$F:$F,"USD",Benefits!$D:$D,"Plan Base",Benefits!$CS:$CS,$A30)</f>
        <v>1.52</v>
      </c>
      <c r="C30" s="65">
        <f>SUMIFS(Benefits!$T:$T,Benefits!$E:$E,"Gross Margin",Benefits!$F:$F,"USD",Benefits!$D:$D,"Plan Base",Benefits!$CS:$CS,$A30)</f>
        <v>4.34</v>
      </c>
      <c r="D30" s="65">
        <f>SUMIFS(Benefits!$U:$U,Benefits!$E:$E,"Gross Margin",Benefits!$F:$F,"USD",Benefits!$D:$D,"Plan Base",Benefits!$CS:$CS,$A30)</f>
        <v>5.78</v>
      </c>
      <c r="E30" s="65">
        <f>SUMIFS(Benefits!$V:$V,Benefits!$E:$E,"Gross Margin",Benefits!$F:$F,"USD",Benefits!$D:$D,"Plan Base",Benefits!$CS:$CS,$A30)</f>
        <v>5.78</v>
      </c>
      <c r="F30" s="65">
        <f>SUMIFS(Benefits!$W:$W,Benefits!$E:$E,"Gross Margin",Benefits!$F:$F,"USD",Benefits!$D:$D,"Plan Base",Benefits!$CS:$CS,$A30)</f>
        <v>5.78</v>
      </c>
      <c r="G30" s="82"/>
      <c r="H30" s="65">
        <f>SUMIFS(Benefits!$AD:$AD,Benefits!$E:$E,"Gross Margin",Benefits!$F:$F,"USD",Benefits!$D:$D,"Plan Base",Benefits!$CS:$CS,$A30)</f>
        <v>0</v>
      </c>
      <c r="I30" s="65">
        <f>SUMIFS(Benefits!$AE:$AE,Benefits!$E:$E,"Gross Margin",Benefits!$F:$F,"USD",Benefits!$D:$D,"Plan Base",Benefits!$CS:$CS,$A30)</f>
        <v>0</v>
      </c>
      <c r="J30" s="65">
        <f>SUMIFS(Benefits!$AF:$AF,Benefits!$E:$E,"Gross Margin",Benefits!$F:$F,"USD",Benefits!$D:$D,"Plan Base",Benefits!$CS:$CS,$A30)</f>
        <v>0</v>
      </c>
      <c r="K30" s="65">
        <f>SUMIFS(Benefits!$AG:$AG,Benefits!$E:$E,"Gross Margin",Benefits!$F:$F,"USD",Benefits!$D:$D,"Plan Base",Benefits!$CS:$CS,$A30)</f>
        <v>0</v>
      </c>
      <c r="L30" s="65">
        <f>SUMIFS(Benefits!$AH:$AH,Benefits!$E:$E,"Gross Margin",Benefits!$F:$F,"USD",Benefits!$D:$D,"Plan Base",Benefits!$CS:$CS,$A30)</f>
        <v>0.62</v>
      </c>
      <c r="M30" s="65">
        <f>SUMIFS(Benefits!$AI:$AI,Benefits!$E:$E,"Gross Margin",Benefits!$F:$F,"USD",Benefits!$D:$D,"Plan Base",Benefits!$CS:$CS,$A30)</f>
        <v>0.9</v>
      </c>
      <c r="N30" s="65">
        <f>SUMIFS(Benefits!$AJ:$AJ,Benefits!$E:$E,"Gross Margin",Benefits!$F:$F,"USD",Benefits!$D:$D,"Plan Base",Benefits!$CS:$CS,$A30)</f>
        <v>0.215</v>
      </c>
      <c r="O30" s="65">
        <f>SUMIFS(Benefits!$AK:$AK,Benefits!$E:$E,"Gross Margin",Benefits!$F:$F,"USD",Benefits!$D:$D,"Plan Base",Benefits!$CS:$CS,$A30)</f>
        <v>0.215</v>
      </c>
      <c r="P30" s="65">
        <f>SUMIFS(Benefits!$AL:$AL,Benefits!$E:$E,"Gross Margin",Benefits!$F:$F,"USD",Benefits!$D:$D,"Plan Base",Benefits!$CS:$CS,$A30)</f>
        <v>0.27700000000000002</v>
      </c>
      <c r="Q30" s="65">
        <f>SUMIFS(Benefits!$AM:$AM,Benefits!$E:$E,"Gross Margin",Benefits!$F:$F,"USD",Benefits!$D:$D,"Plan Base",Benefits!$CS:$CS,$A30)</f>
        <v>0.3036666666666667</v>
      </c>
      <c r="R30" s="65">
        <f>SUMIFS(Benefits!$AN:$AN,Benefits!$E:$E,"Gross Margin",Benefits!$F:$F,"USD",Benefits!$D:$D,"Plan Base",Benefits!$CS:$CS,$A30)</f>
        <v>0.3036666666666667</v>
      </c>
      <c r="S30" s="65">
        <f>SUMIFS(Benefits!$AO:$AO,Benefits!$E:$E,"Gross Margin",Benefits!$F:$F,"USD",Benefits!$D:$D,"Plan Base",Benefits!$CS:$CS,$A30)</f>
        <v>0.3036666666666667</v>
      </c>
      <c r="T30" s="65">
        <f>SUMIFS(Benefits!$AP:$AP,Benefits!$E:$E,"Gross Margin",Benefits!$F:$F,"USD",Benefits!$D:$D,"Plan Base",Benefits!$CS:$CS,$A30)</f>
        <v>0.3036666666666667</v>
      </c>
      <c r="U30" s="65">
        <f>SUMIFS(Benefits!$AQ:$AQ,Benefits!$E:$E,"Gross Margin",Benefits!$F:$F,"USD",Benefits!$D:$D,"Plan Base",Benefits!$CS:$CS,$A30)</f>
        <v>0.3036666666666667</v>
      </c>
      <c r="V30" s="65">
        <f>SUMIFS(Benefits!$AR:$AR,Benefits!$E:$E,"Gross Margin",Benefits!$F:$F,"USD",Benefits!$D:$D,"Plan Base",Benefits!$CS:$CS,$A30)</f>
        <v>0.40866666666666662</v>
      </c>
      <c r="W30" s="65">
        <f>SUMIFS(Benefits!$AS:$AS,Benefits!$E:$E,"Gross Margin",Benefits!$F:$F,"USD",Benefits!$D:$D,"Plan Base",Benefits!$CS:$CS,$A30)</f>
        <v>0.40866666666666662</v>
      </c>
      <c r="X30" s="65">
        <f>SUMIFS(Benefits!$AT:$AT,Benefits!$E:$E,"Gross Margin",Benefits!$F:$F,"USD",Benefits!$D:$D,"Plan Base",Benefits!$CS:$CS,$A30)</f>
        <v>0.40866666666666662</v>
      </c>
      <c r="Y30" s="65">
        <f>SUMIFS(Benefits!$AU:$AU,Benefits!$E:$E,"Gross Margin",Benefits!$F:$F,"USD",Benefits!$D:$D,"Plan Base",Benefits!$CS:$CS,$A30)</f>
        <v>0.88866666666666649</v>
      </c>
      <c r="Z30" s="65">
        <f>SUMIFS(Benefits!$AV:$AV,Benefits!$E:$E,"Gross Margin",Benefits!$F:$F,"USD",Benefits!$D:$D,"Plan Base",Benefits!$CS:$CS,$A30)</f>
        <v>0.48166666666666669</v>
      </c>
      <c r="AA30" s="65">
        <f>SUMIFS(Benefits!$AW:$AW,Benefits!$E:$E,"Gross Margin",Benefits!$F:$F,"USD",Benefits!$D:$D,"Plan Base",Benefits!$CS:$CS,$A30)</f>
        <v>0.48166666666666669</v>
      </c>
      <c r="AB30" s="65">
        <f>SUMIFS(Benefits!$AX:$AX,Benefits!$E:$E,"Gross Margin",Benefits!$F:$F,"USD",Benefits!$D:$D,"Plan Base",Benefits!$CS:$CS,$A30)</f>
        <v>0.48166666666666669</v>
      </c>
      <c r="AC30" s="65">
        <f>SUMIFS(Benefits!$AY:$AY,Benefits!$E:$E,"Gross Margin",Benefits!$F:$F,"USD",Benefits!$D:$D,"Plan Base",Benefits!$CS:$CS,$A30)</f>
        <v>0.48166666666666669</v>
      </c>
      <c r="AD30" s="65">
        <f>SUMIFS(Benefits!$AZ:$AZ,Benefits!$E:$E,"Gross Margin",Benefits!$F:$F,"USD",Benefits!$D:$D,"Plan Base",Benefits!$CS:$CS,$A30)</f>
        <v>0.48166666666666669</v>
      </c>
      <c r="AE30" s="65">
        <f>SUMIFS(Benefits!$BA:$BA,Benefits!$E:$E,"Gross Margin",Benefits!$F:$F,"USD",Benefits!$D:$D,"Plan Base",Benefits!$CS:$CS,$A30)</f>
        <v>0.48166666666666669</v>
      </c>
      <c r="AF30" s="65">
        <f>SUMIFS(Benefits!$BB:$BB,Benefits!$E:$E,"Gross Margin",Benefits!$F:$F,"USD",Benefits!$D:$D,"Plan Base",Benefits!$CS:$CS,$A30)</f>
        <v>0.48166666666666669</v>
      </c>
      <c r="AG30" s="65">
        <f>SUMIFS(Benefits!$BC:$BC,Benefits!$E:$E,"Gross Margin",Benefits!$F:$F,"USD",Benefits!$D:$D,"Plan Base",Benefits!$CS:$CS,$A30)</f>
        <v>0.48166666666666669</v>
      </c>
      <c r="AH30" s="65">
        <f>SUMIFS(Benefits!$BD:$BD,Benefits!$E:$E,"Gross Margin",Benefits!$F:$F,"USD",Benefits!$D:$D,"Plan Base",Benefits!$CS:$CS,$A30)</f>
        <v>0.48166666666666669</v>
      </c>
      <c r="AI30" s="65">
        <f>SUMIFS(Benefits!$BE:$BE,Benefits!$E:$E,"Gross Margin",Benefits!$F:$F,"USD",Benefits!$D:$D,"Plan Base",Benefits!$CS:$CS,$A30)</f>
        <v>0.48166666666666669</v>
      </c>
      <c r="AJ30" s="65">
        <f>SUMIFS(Benefits!$BF:$BF,Benefits!$E:$E,"Gross Margin",Benefits!$F:$F,"USD",Benefits!$D:$D,"Plan Base",Benefits!$CS:$CS,$A30)</f>
        <v>0.48166666666666669</v>
      </c>
      <c r="AK30" s="65">
        <f>SUMIFS(Benefits!$BG:$BG,Benefits!$E:$E,"Gross Margin",Benefits!$F:$F,"USD",Benefits!$D:$D,"Plan Base",Benefits!$CS:$CS,$A30)</f>
        <v>0.48166666666666669</v>
      </c>
      <c r="AL30" s="65">
        <f>SUMIFS(Benefits!$BH:$BH,Benefits!$E:$E,"Gross Margin",Benefits!$F:$F,"USD",Benefits!$D:$D,"Plan Base",Benefits!$CS:$CS,$A30)</f>
        <v>0.48166666666666669</v>
      </c>
      <c r="AM30" s="65">
        <f>SUMIFS(Benefits!$BI:$BI,Benefits!$E:$E,"Gross Margin",Benefits!$F:$F,"USD",Benefits!$D:$D,"Plan Base",Benefits!$CS:$CS,$A30)</f>
        <v>0.48166666666666669</v>
      </c>
      <c r="AN30" s="65">
        <f>SUMIFS(Benefits!$BJ:$BJ,Benefits!$E:$E,"Gross Margin",Benefits!$F:$F,"USD",Benefits!$D:$D,"Plan Base",Benefits!$CS:$CS,$A30)</f>
        <v>0.48166666666666669</v>
      </c>
      <c r="AO30" s="65">
        <f>SUMIFS(Benefits!$BK:$BK,Benefits!$E:$E,"Gross Margin",Benefits!$F:$F,"USD",Benefits!$D:$D,"Plan Base",Benefits!$CS:$CS,$A30)</f>
        <v>0.48166666666666669</v>
      </c>
      <c r="AP30" s="65">
        <f>SUMIFS(Benefits!$BL:$BL,Benefits!$E:$E,"Gross Margin",Benefits!$F:$F,"USD",Benefits!$D:$D,"Plan Base",Benefits!$CS:$CS,$A30)</f>
        <v>0.48166666666666669</v>
      </c>
      <c r="AQ30" s="65">
        <f>SUMIFS(Benefits!$BM:$BM,Benefits!$E:$E,"Gross Margin",Benefits!$F:$F,"USD",Benefits!$D:$D,"Plan Base",Benefits!$CS:$CS,$A30)</f>
        <v>0.48166666666666669</v>
      </c>
      <c r="AR30" s="65">
        <f>SUMIFS(Benefits!$BN:$BN,Benefits!$E:$E,"Gross Margin",Benefits!$F:$F,"USD",Benefits!$D:$D,"Plan Base",Benefits!$CS:$CS,$A30)</f>
        <v>0.48166666666666669</v>
      </c>
      <c r="AS30" s="65">
        <f>SUMIFS(Benefits!$BO:$BO,Benefits!$E:$E,"Gross Margin",Benefits!$F:$F,"USD",Benefits!$D:$D,"Plan Base",Benefits!$CS:$CS,$A30)</f>
        <v>0.48166666666666669</v>
      </c>
      <c r="AT30" s="65">
        <f>SUMIFS(Benefits!$BP:$BP,Benefits!$E:$E,"Gross Margin",Benefits!$F:$F,"USD",Benefits!$D:$D,"Plan Base",Benefits!$CS:$CS,$A30)</f>
        <v>0.48166666666666669</v>
      </c>
      <c r="AU30" s="65">
        <f>SUMIFS(Benefits!$BQ:$BQ,Benefits!$E:$E,"Gross Margin",Benefits!$F:$F,"USD",Benefits!$D:$D,"Plan Base",Benefits!$CS:$CS,$A30)</f>
        <v>0.48166666666666669</v>
      </c>
      <c r="AV30" s="65">
        <f>SUMIFS(Benefits!$BR:$BR,Benefits!$E:$E,"Gross Margin",Benefits!$F:$F,"USD",Benefits!$D:$D,"Plan Base",Benefits!$CS:$CS,$A30)</f>
        <v>0.48166666666666669</v>
      </c>
      <c r="AW30" s="65">
        <f>SUMIFS(Benefits!$BS:$BS,Benefits!$E:$E,"Gross Margin",Benefits!$F:$F,"USD",Benefits!$D:$D,"Plan Base",Benefits!$CS:$CS,$A30)</f>
        <v>0.48166666666666669</v>
      </c>
      <c r="AX30" s="65">
        <f>SUMIFS(Benefits!$BT:$BT,Benefits!$E:$E,"Gross Margin",Benefits!$F:$F,"USD",Benefits!$D:$D,"Plan Base",Benefits!$CS:$CS,$A30)</f>
        <v>0.48166666666666669</v>
      </c>
      <c r="AY30" s="65">
        <f>SUMIFS(Benefits!$BU:$BU,Benefits!$E:$E,"Gross Margin",Benefits!$F:$F,"USD",Benefits!$D:$D,"Plan Base",Benefits!$CS:$CS,$A30)</f>
        <v>0.48166666666666669</v>
      </c>
      <c r="AZ30" s="65">
        <f>SUMIFS(Benefits!$BV:$BV,Benefits!$E:$E,"Gross Margin",Benefits!$F:$F,"USD",Benefits!$D:$D,"Plan Base",Benefits!$CS:$CS,$A30)</f>
        <v>0.48166666666666669</v>
      </c>
      <c r="BA30" s="65">
        <f>SUMIFS(Benefits!$BW:$BW,Benefits!$E:$E,"Gross Margin",Benefits!$F:$F,"USD",Benefits!$D:$D,"Plan Base",Benefits!$CS:$CS,$A30)</f>
        <v>0.48166666666666669</v>
      </c>
      <c r="BB30" s="65">
        <f>SUMIFS(Benefits!$BX:$BX,Benefits!$E:$E,"Gross Margin",Benefits!$F:$F,"USD",Benefits!$D:$D,"Plan Base",Benefits!$CS:$CS,$A30)</f>
        <v>0.48166666666666669</v>
      </c>
      <c r="BC30" s="65">
        <f>SUMIFS(Benefits!$BY:$BY,Benefits!$E:$E,"Gross Margin",Benefits!$F:$F,"USD",Benefits!$D:$D,"Plan Base",Benefits!$CS:$CS,$A30)</f>
        <v>0.48166666666666669</v>
      </c>
      <c r="BD30" s="65">
        <f>SUMIFS(Benefits!$BZ:$BZ,Benefits!$E:$E,"Gross Margin",Benefits!$F:$F,"USD",Benefits!$D:$D,"Plan Base",Benefits!$CS:$CS,$A30)</f>
        <v>0.48166666666666669</v>
      </c>
      <c r="BE30" s="65">
        <f>SUMIFS(Benefits!$CA:$CA,Benefits!$E:$E,"Gross Margin",Benefits!$F:$F,"USD",Benefits!$D:$D,"Plan Base",Benefits!$CS:$CS,$A30)</f>
        <v>0.48166666666666669</v>
      </c>
      <c r="BF30" s="65">
        <f>SUMIFS(Benefits!$CB:$CB,Benefits!$E:$E,"Gross Margin",Benefits!$F:$F,"USD",Benefits!$D:$D,"Plan Base",Benefits!$CS:$CS,$A30)</f>
        <v>0.48166666666666669</v>
      </c>
      <c r="BG30" s="65">
        <f>SUMIFS(Benefits!$CC:$CC,Benefits!$E:$E,"Gross Margin",Benefits!$F:$F,"USD",Benefits!$D:$D,"Plan Base",Benefits!$CS:$CS,$A30)</f>
        <v>0.48166666666666669</v>
      </c>
      <c r="BH30" s="65">
        <f>SUMIFS(Benefits!$CD:$CD,Benefits!$E:$E,"Gross Margin",Benefits!$F:$F,"USD",Benefits!$D:$D,"Plan Base",Benefits!$CS:$CS,$A30)</f>
        <v>0.48166666666666669</v>
      </c>
      <c r="BI30" s="65">
        <f>SUMIFS(Benefits!$CE:$CE,Benefits!$E:$E,"Gross Margin",Benefits!$F:$F,"USD",Benefits!$D:$D,"Plan Base",Benefits!$CS:$CS,$A30)</f>
        <v>0.48166666666666669</v>
      </c>
    </row>
    <row r="31" spans="1:117" x14ac:dyDescent="0.25">
      <c r="A31" s="83" t="s">
        <v>666</v>
      </c>
      <c r="B31" s="67">
        <f>SUMIFS(Benefits!$S:$S,Benefits!$E:$E,"Gross Margin",Benefits!$F:$F,"USD",Benefits!$D:$D,"Plan Base",Benefits!$CS:$CS,$A31)</f>
        <v>1.1160000000000001</v>
      </c>
      <c r="C31" s="67">
        <f>SUMIFS(Benefits!$T:$T,Benefits!$E:$E,"Gross Margin",Benefits!$F:$F,"USD",Benefits!$D:$D,"Plan Base",Benefits!$CS:$CS,$A31)</f>
        <v>3.577</v>
      </c>
      <c r="D31" s="67">
        <f>SUMIFS(Benefits!$U:$U,Benefits!$E:$E,"Gross Margin",Benefits!$F:$F,"USD",Benefits!$D:$D,"Plan Base",Benefits!$CS:$CS,$A31)</f>
        <v>5.5670000000000002</v>
      </c>
      <c r="E31" s="67">
        <f>SUMIFS(Benefits!$V:$V,Benefits!$E:$E,"Gross Margin",Benefits!$F:$F,"USD",Benefits!$D:$D,"Plan Base",Benefits!$CS:$CS,$A31)</f>
        <v>5.5670000000000002</v>
      </c>
      <c r="F31" s="67">
        <f>SUMIFS(Benefits!$W:$W,Benefits!$E:$E,"Gross Margin",Benefits!$F:$F,"USD",Benefits!$D:$D,"Plan Base",Benefits!$CS:$CS,$A31)</f>
        <v>5.5670000000000002</v>
      </c>
      <c r="G31" s="84"/>
      <c r="H31" s="67">
        <f>SUMIFS(Benefits!$AD:$AD,Benefits!$E:$E,"Gross Margin",Benefits!$F:$F,"USD",Benefits!$D:$D,"Plan Base",Benefits!$CS:$CS,$A31)</f>
        <v>0</v>
      </c>
      <c r="I31" s="67">
        <f>SUMIFS(Benefits!$AE:$AE,Benefits!$E:$E,"Gross Margin",Benefits!$F:$F,"USD",Benefits!$D:$D,"Plan Base",Benefits!$CS:$CS,$A31)</f>
        <v>0</v>
      </c>
      <c r="J31" s="67">
        <f>SUMIFS(Benefits!$AF:$AF,Benefits!$E:$E,"Gross Margin",Benefits!$F:$F,"USD",Benefits!$D:$D,"Plan Base",Benefits!$CS:$CS,$A31)</f>
        <v>0</v>
      </c>
      <c r="K31" s="67">
        <f>SUMIFS(Benefits!$AG:$AG,Benefits!$E:$E,"Gross Margin",Benefits!$F:$F,"USD",Benefits!$D:$D,"Plan Base",Benefits!$CS:$CS,$A31)</f>
        <v>0.37200000000000005</v>
      </c>
      <c r="L31" s="67">
        <f>SUMIFS(Benefits!$AH:$AH,Benefits!$E:$E,"Gross Margin",Benefits!$F:$F,"USD",Benefits!$D:$D,"Plan Base",Benefits!$CS:$CS,$A31)</f>
        <v>0.37200000000000005</v>
      </c>
      <c r="M31" s="67">
        <f>SUMIFS(Benefits!$AI:$AI,Benefits!$E:$E,"Gross Margin",Benefits!$F:$F,"USD",Benefits!$D:$D,"Plan Base",Benefits!$CS:$CS,$A31)</f>
        <v>0.37200000000000005</v>
      </c>
      <c r="N31" s="67">
        <f>SUMIFS(Benefits!$AJ:$AJ,Benefits!$E:$E,"Gross Margin",Benefits!$F:$F,"USD",Benefits!$D:$D,"Plan Base",Benefits!$CS:$CS,$A31)</f>
        <v>0.13949999999999999</v>
      </c>
      <c r="O31" s="67">
        <f>SUMIFS(Benefits!$AK:$AK,Benefits!$E:$E,"Gross Margin",Benefits!$F:$F,"USD",Benefits!$D:$D,"Plan Base",Benefits!$CS:$CS,$A31)</f>
        <v>0.13949999999999999</v>
      </c>
      <c r="P31" s="67">
        <f>SUMIFS(Benefits!$AL:$AL,Benefits!$E:$E,"Gross Margin",Benefits!$F:$F,"USD",Benefits!$D:$D,"Plan Base",Benefits!$CS:$CS,$A31)</f>
        <v>0.13949999999999999</v>
      </c>
      <c r="Q31" s="67">
        <f>SUMIFS(Benefits!$AM:$AM,Benefits!$E:$E,"Gross Margin",Benefits!$F:$F,"USD",Benefits!$D:$D,"Plan Base",Benefits!$CS:$CS,$A31)</f>
        <v>0.19083333333333333</v>
      </c>
      <c r="R31" s="67">
        <f>SUMIFS(Benefits!$AN:$AN,Benefits!$E:$E,"Gross Margin",Benefits!$F:$F,"USD",Benefits!$D:$D,"Plan Base",Benefits!$CS:$CS,$A31)</f>
        <v>0.19083333333333333</v>
      </c>
      <c r="S31" s="67">
        <f>SUMIFS(Benefits!$AO:$AO,Benefits!$E:$E,"Gross Margin",Benefits!$F:$F,"USD",Benefits!$D:$D,"Plan Base",Benefits!$CS:$CS,$A31)</f>
        <v>0.19083333333333333</v>
      </c>
      <c r="T31" s="67">
        <f>SUMIFS(Benefits!$AP:$AP,Benefits!$E:$E,"Gross Margin",Benefits!$F:$F,"USD",Benefits!$D:$D,"Plan Base",Benefits!$CS:$CS,$A31)</f>
        <v>0.28283333333333333</v>
      </c>
      <c r="U31" s="67">
        <f>SUMIFS(Benefits!$AQ:$AQ,Benefits!$E:$E,"Gross Margin",Benefits!$F:$F,"USD",Benefits!$D:$D,"Plan Base",Benefits!$CS:$CS,$A31)</f>
        <v>0.28283333333333333</v>
      </c>
      <c r="V31" s="67">
        <f>SUMIFS(Benefits!$AR:$AR,Benefits!$E:$E,"Gross Margin",Benefits!$F:$F,"USD",Benefits!$D:$D,"Plan Base",Benefits!$CS:$CS,$A31)</f>
        <v>0.34233333333333332</v>
      </c>
      <c r="W31" s="67">
        <f>SUMIFS(Benefits!$AS:$AS,Benefits!$E:$E,"Gross Margin",Benefits!$F:$F,"USD",Benefits!$D:$D,"Plan Base",Benefits!$CS:$CS,$A31)</f>
        <v>0.34233333333333332</v>
      </c>
      <c r="X31" s="67">
        <f>SUMIFS(Benefits!$AT:$AT,Benefits!$E:$E,"Gross Margin",Benefits!$F:$F,"USD",Benefits!$D:$D,"Plan Base",Benefits!$CS:$CS,$A31)</f>
        <v>0.34233333333333332</v>
      </c>
      <c r="Y31" s="67">
        <f>SUMIFS(Benefits!$AU:$AU,Benefits!$E:$E,"Gross Margin",Benefits!$F:$F,"USD",Benefits!$D:$D,"Plan Base",Benefits!$CS:$CS,$A31)</f>
        <v>0.9933333333333334</v>
      </c>
      <c r="Z31" s="67">
        <f>SUMIFS(Benefits!$AV:$AV,Benefits!$E:$E,"Gross Margin",Benefits!$F:$F,"USD",Benefits!$D:$D,"Plan Base",Benefits!$CS:$CS,$A31)</f>
        <v>0.4639166666666667</v>
      </c>
      <c r="AA31" s="67">
        <f>SUMIFS(Benefits!$AW:$AW,Benefits!$E:$E,"Gross Margin",Benefits!$F:$F,"USD",Benefits!$D:$D,"Plan Base",Benefits!$CS:$CS,$A31)</f>
        <v>0.4639166666666667</v>
      </c>
      <c r="AB31" s="67">
        <f>SUMIFS(Benefits!$AX:$AX,Benefits!$E:$E,"Gross Margin",Benefits!$F:$F,"USD",Benefits!$D:$D,"Plan Base",Benefits!$CS:$CS,$A31)</f>
        <v>0.4639166666666667</v>
      </c>
      <c r="AC31" s="67">
        <f>SUMIFS(Benefits!$AY:$AY,Benefits!$E:$E,"Gross Margin",Benefits!$F:$F,"USD",Benefits!$D:$D,"Plan Base",Benefits!$CS:$CS,$A31)</f>
        <v>0.4639166666666667</v>
      </c>
      <c r="AD31" s="67">
        <f>SUMIFS(Benefits!$AZ:$AZ,Benefits!$E:$E,"Gross Margin",Benefits!$F:$F,"USD",Benefits!$D:$D,"Plan Base",Benefits!$CS:$CS,$A31)</f>
        <v>0.4639166666666667</v>
      </c>
      <c r="AE31" s="67">
        <f>SUMIFS(Benefits!$BA:$BA,Benefits!$E:$E,"Gross Margin",Benefits!$F:$F,"USD",Benefits!$D:$D,"Plan Base",Benefits!$CS:$CS,$A31)</f>
        <v>0.4639166666666667</v>
      </c>
      <c r="AF31" s="67">
        <f>SUMIFS(Benefits!$BB:$BB,Benefits!$E:$E,"Gross Margin",Benefits!$F:$F,"USD",Benefits!$D:$D,"Plan Base",Benefits!$CS:$CS,$A31)</f>
        <v>0.4639166666666667</v>
      </c>
      <c r="AG31" s="67">
        <f>SUMIFS(Benefits!$BC:$BC,Benefits!$E:$E,"Gross Margin",Benefits!$F:$F,"USD",Benefits!$D:$D,"Plan Base",Benefits!$CS:$CS,$A31)</f>
        <v>0.4639166666666667</v>
      </c>
      <c r="AH31" s="67">
        <f>SUMIFS(Benefits!$BD:$BD,Benefits!$E:$E,"Gross Margin",Benefits!$F:$F,"USD",Benefits!$D:$D,"Plan Base",Benefits!$CS:$CS,$A31)</f>
        <v>0.4639166666666667</v>
      </c>
      <c r="AI31" s="67">
        <f>SUMIFS(Benefits!$BE:$BE,Benefits!$E:$E,"Gross Margin",Benefits!$F:$F,"USD",Benefits!$D:$D,"Plan Base",Benefits!$CS:$CS,$A31)</f>
        <v>0.4639166666666667</v>
      </c>
      <c r="AJ31" s="67">
        <f>SUMIFS(Benefits!$BF:$BF,Benefits!$E:$E,"Gross Margin",Benefits!$F:$F,"USD",Benefits!$D:$D,"Plan Base",Benefits!$CS:$CS,$A31)</f>
        <v>0.4639166666666667</v>
      </c>
      <c r="AK31" s="67">
        <f>SUMIFS(Benefits!$BG:$BG,Benefits!$E:$E,"Gross Margin",Benefits!$F:$F,"USD",Benefits!$D:$D,"Plan Base",Benefits!$CS:$CS,$A31)</f>
        <v>0.4639166666666667</v>
      </c>
      <c r="AL31" s="67">
        <f>SUMIFS(Benefits!$BH:$BH,Benefits!$E:$E,"Gross Margin",Benefits!$F:$F,"USD",Benefits!$D:$D,"Plan Base",Benefits!$CS:$CS,$A31)</f>
        <v>0.4639166666666667</v>
      </c>
      <c r="AM31" s="67">
        <f>SUMIFS(Benefits!$BI:$BI,Benefits!$E:$E,"Gross Margin",Benefits!$F:$F,"USD",Benefits!$D:$D,"Plan Base",Benefits!$CS:$CS,$A31)</f>
        <v>0.4639166666666667</v>
      </c>
      <c r="AN31" s="67">
        <f>SUMIFS(Benefits!$BJ:$BJ,Benefits!$E:$E,"Gross Margin",Benefits!$F:$F,"USD",Benefits!$D:$D,"Plan Base",Benefits!$CS:$CS,$A31)</f>
        <v>0.4639166666666667</v>
      </c>
      <c r="AO31" s="67">
        <f>SUMIFS(Benefits!$BK:$BK,Benefits!$E:$E,"Gross Margin",Benefits!$F:$F,"USD",Benefits!$D:$D,"Plan Base",Benefits!$CS:$CS,$A31)</f>
        <v>0.4639166666666667</v>
      </c>
      <c r="AP31" s="67">
        <f>SUMIFS(Benefits!$BL:$BL,Benefits!$E:$E,"Gross Margin",Benefits!$F:$F,"USD",Benefits!$D:$D,"Plan Base",Benefits!$CS:$CS,$A31)</f>
        <v>0.4639166666666667</v>
      </c>
      <c r="AQ31" s="67">
        <f>SUMIFS(Benefits!$BM:$BM,Benefits!$E:$E,"Gross Margin",Benefits!$F:$F,"USD",Benefits!$D:$D,"Plan Base",Benefits!$CS:$CS,$A31)</f>
        <v>0.4639166666666667</v>
      </c>
      <c r="AR31" s="67">
        <f>SUMIFS(Benefits!$BN:$BN,Benefits!$E:$E,"Gross Margin",Benefits!$F:$F,"USD",Benefits!$D:$D,"Plan Base",Benefits!$CS:$CS,$A31)</f>
        <v>0.4639166666666667</v>
      </c>
      <c r="AS31" s="67">
        <f>SUMIFS(Benefits!$BO:$BO,Benefits!$E:$E,"Gross Margin",Benefits!$F:$F,"USD",Benefits!$D:$D,"Plan Base",Benefits!$CS:$CS,$A31)</f>
        <v>0.4639166666666667</v>
      </c>
      <c r="AT31" s="67">
        <f>SUMIFS(Benefits!$BP:$BP,Benefits!$E:$E,"Gross Margin",Benefits!$F:$F,"USD",Benefits!$D:$D,"Plan Base",Benefits!$CS:$CS,$A31)</f>
        <v>0.4639166666666667</v>
      </c>
      <c r="AU31" s="67">
        <f>SUMIFS(Benefits!$BQ:$BQ,Benefits!$E:$E,"Gross Margin",Benefits!$F:$F,"USD",Benefits!$D:$D,"Plan Base",Benefits!$CS:$CS,$A31)</f>
        <v>0.4639166666666667</v>
      </c>
      <c r="AV31" s="67">
        <f>SUMIFS(Benefits!$BR:$BR,Benefits!$E:$E,"Gross Margin",Benefits!$F:$F,"USD",Benefits!$D:$D,"Plan Base",Benefits!$CS:$CS,$A31)</f>
        <v>0.4639166666666667</v>
      </c>
      <c r="AW31" s="67">
        <f>SUMIFS(Benefits!$BS:$BS,Benefits!$E:$E,"Gross Margin",Benefits!$F:$F,"USD",Benefits!$D:$D,"Plan Base",Benefits!$CS:$CS,$A31)</f>
        <v>0.4639166666666667</v>
      </c>
      <c r="AX31" s="67">
        <f>SUMIFS(Benefits!$BT:$BT,Benefits!$E:$E,"Gross Margin",Benefits!$F:$F,"USD",Benefits!$D:$D,"Plan Base",Benefits!$CS:$CS,$A31)</f>
        <v>0.4639166666666667</v>
      </c>
      <c r="AY31" s="67">
        <f>SUMIFS(Benefits!$BU:$BU,Benefits!$E:$E,"Gross Margin",Benefits!$F:$F,"USD",Benefits!$D:$D,"Plan Base",Benefits!$CS:$CS,$A31)</f>
        <v>0.4639166666666667</v>
      </c>
      <c r="AZ31" s="67">
        <f>SUMIFS(Benefits!$BV:$BV,Benefits!$E:$E,"Gross Margin",Benefits!$F:$F,"USD",Benefits!$D:$D,"Plan Base",Benefits!$CS:$CS,$A31)</f>
        <v>0.4639166666666667</v>
      </c>
      <c r="BA31" s="67">
        <f>SUMIFS(Benefits!$BW:$BW,Benefits!$E:$E,"Gross Margin",Benefits!$F:$F,"USD",Benefits!$D:$D,"Plan Base",Benefits!$CS:$CS,$A31)</f>
        <v>0.4639166666666667</v>
      </c>
      <c r="BB31" s="67">
        <f>SUMIFS(Benefits!$BX:$BX,Benefits!$E:$E,"Gross Margin",Benefits!$F:$F,"USD",Benefits!$D:$D,"Plan Base",Benefits!$CS:$CS,$A31)</f>
        <v>0.4639166666666667</v>
      </c>
      <c r="BC31" s="67">
        <f>SUMIFS(Benefits!$BY:$BY,Benefits!$E:$E,"Gross Margin",Benefits!$F:$F,"USD",Benefits!$D:$D,"Plan Base",Benefits!$CS:$CS,$A31)</f>
        <v>0.4639166666666667</v>
      </c>
      <c r="BD31" s="67">
        <f>SUMIFS(Benefits!$BZ:$BZ,Benefits!$E:$E,"Gross Margin",Benefits!$F:$F,"USD",Benefits!$D:$D,"Plan Base",Benefits!$CS:$CS,$A31)</f>
        <v>0.4639166666666667</v>
      </c>
      <c r="BE31" s="67">
        <f>SUMIFS(Benefits!$CA:$CA,Benefits!$E:$E,"Gross Margin",Benefits!$F:$F,"USD",Benefits!$D:$D,"Plan Base",Benefits!$CS:$CS,$A31)</f>
        <v>0.4639166666666667</v>
      </c>
      <c r="BF31" s="67">
        <f>SUMIFS(Benefits!$CB:$CB,Benefits!$E:$E,"Gross Margin",Benefits!$F:$F,"USD",Benefits!$D:$D,"Plan Base",Benefits!$CS:$CS,$A31)</f>
        <v>0.4639166666666667</v>
      </c>
      <c r="BG31" s="67">
        <f>SUMIFS(Benefits!$CC:$CC,Benefits!$E:$E,"Gross Margin",Benefits!$F:$F,"USD",Benefits!$D:$D,"Plan Base",Benefits!$CS:$CS,$A31)</f>
        <v>0.4639166666666667</v>
      </c>
      <c r="BH31" s="67">
        <f>SUMIFS(Benefits!$CD:$CD,Benefits!$E:$E,"Gross Margin",Benefits!$F:$F,"USD",Benefits!$D:$D,"Plan Base",Benefits!$CS:$CS,$A31)</f>
        <v>0.4639166666666667</v>
      </c>
      <c r="BI31" s="67">
        <f>SUMIFS(Benefits!$CE:$CE,Benefits!$E:$E,"Gross Margin",Benefits!$F:$F,"USD",Benefits!$D:$D,"Plan Base",Benefits!$CS:$CS,$A31)</f>
        <v>0.4639166666666667</v>
      </c>
    </row>
    <row r="32" spans="1:117" x14ac:dyDescent="0.25">
      <c r="A32" s="81" t="s">
        <v>683</v>
      </c>
      <c r="B32" s="65">
        <f>SUMIFS(Benefits!$S:$S,Benefits!$E:$E,"Gross Margin",Benefits!$F:$F,"USD",Benefits!$D:$D,"Plan Base",Benefits!$CS:$CS,$A32)</f>
        <v>0.308</v>
      </c>
      <c r="C32" s="65">
        <f>SUMIFS(Benefits!$T:$T,Benefits!$E:$E,"Gross Margin",Benefits!$F:$F,"USD",Benefits!$D:$D,"Plan Base",Benefits!$CS:$CS,$A32)</f>
        <v>3.9209999999999994</v>
      </c>
      <c r="D32" s="65">
        <f>SUMIFS(Benefits!$U:$U,Benefits!$E:$E,"Gross Margin",Benefits!$F:$F,"USD",Benefits!$D:$D,"Plan Base",Benefits!$CS:$CS,$A32)</f>
        <v>5.8769999999999998</v>
      </c>
      <c r="E32" s="65">
        <f>SUMIFS(Benefits!$V:$V,Benefits!$E:$E,"Gross Margin",Benefits!$F:$F,"USD",Benefits!$D:$D,"Plan Base",Benefits!$CS:$CS,$A32)</f>
        <v>5.8769999999999998</v>
      </c>
      <c r="F32" s="65">
        <f>SUMIFS(Benefits!$W:$W,Benefits!$E:$E,"Gross Margin",Benefits!$F:$F,"USD",Benefits!$D:$D,"Plan Base",Benefits!$CS:$CS,$A32)</f>
        <v>5.8769999999999998</v>
      </c>
      <c r="G32" s="82"/>
      <c r="H32" s="65">
        <f>SUMIFS(Benefits!$AD:$AD,Benefits!$E:$E,"Gross Margin",Benefits!$F:$F,"USD",Benefits!$D:$D,"Plan Base",Benefits!$CS:$CS,$A32)</f>
        <v>0</v>
      </c>
      <c r="I32" s="65">
        <f>SUMIFS(Benefits!$AE:$AE,Benefits!$E:$E,"Gross Margin",Benefits!$F:$F,"USD",Benefits!$D:$D,"Plan Base",Benefits!$CS:$CS,$A32)</f>
        <v>0</v>
      </c>
      <c r="J32" s="65">
        <f>SUMIFS(Benefits!$AF:$AF,Benefits!$E:$E,"Gross Margin",Benefits!$F:$F,"USD",Benefits!$D:$D,"Plan Base",Benefits!$CS:$CS,$A32)</f>
        <v>0</v>
      </c>
      <c r="K32" s="65">
        <f>SUMIFS(Benefits!$AG:$AG,Benefits!$E:$E,"Gross Margin",Benefits!$F:$F,"USD",Benefits!$D:$D,"Plan Base",Benefits!$CS:$CS,$A32)</f>
        <v>0</v>
      </c>
      <c r="L32" s="65">
        <f>SUMIFS(Benefits!$AH:$AH,Benefits!$E:$E,"Gross Margin",Benefits!$F:$F,"USD",Benefits!$D:$D,"Plan Base",Benefits!$CS:$CS,$A32)</f>
        <v>0</v>
      </c>
      <c r="M32" s="65">
        <f>SUMIFS(Benefits!$AI:$AI,Benefits!$E:$E,"Gross Margin",Benefits!$F:$F,"USD",Benefits!$D:$D,"Plan Base",Benefits!$CS:$CS,$A32)</f>
        <v>0.308</v>
      </c>
      <c r="N32" s="65">
        <f>SUMIFS(Benefits!$AJ:$AJ,Benefits!$E:$E,"Gross Margin",Benefits!$F:$F,"USD",Benefits!$D:$D,"Plan Base",Benefits!$CS:$CS,$A32)</f>
        <v>9.9250000000000005E-2</v>
      </c>
      <c r="O32" s="65">
        <f>SUMIFS(Benefits!$AK:$AK,Benefits!$E:$E,"Gross Margin",Benefits!$F:$F,"USD",Benefits!$D:$D,"Plan Base",Benefits!$CS:$CS,$A32)</f>
        <v>9.9250000000000005E-2</v>
      </c>
      <c r="P32" s="65">
        <f>SUMIFS(Benefits!$AL:$AL,Benefits!$E:$E,"Gross Margin",Benefits!$F:$F,"USD",Benefits!$D:$D,"Plan Base",Benefits!$CS:$CS,$A32)</f>
        <v>9.9250000000000005E-2</v>
      </c>
      <c r="Q32" s="65">
        <f>SUMIFS(Benefits!$AM:$AM,Benefits!$E:$E,"Gross Margin",Benefits!$F:$F,"USD",Benefits!$D:$D,"Plan Base",Benefits!$CS:$CS,$A32)</f>
        <v>9.9250000000000005E-2</v>
      </c>
      <c r="R32" s="65">
        <f>SUMIFS(Benefits!$AN:$AN,Benefits!$E:$E,"Gross Margin",Benefits!$F:$F,"USD",Benefits!$D:$D,"Plan Base",Benefits!$CS:$CS,$A32)</f>
        <v>0.28525</v>
      </c>
      <c r="S32" s="65">
        <f>SUMIFS(Benefits!$AO:$AO,Benefits!$E:$E,"Gross Margin",Benefits!$F:$F,"USD",Benefits!$D:$D,"Plan Base",Benefits!$CS:$CS,$A32)</f>
        <v>0.36496428571428574</v>
      </c>
      <c r="T32" s="65">
        <f>SUMIFS(Benefits!$AP:$AP,Benefits!$E:$E,"Gross Margin",Benefits!$F:$F,"USD",Benefits!$D:$D,"Plan Base",Benefits!$CS:$CS,$A32)</f>
        <v>0.36496428571428574</v>
      </c>
      <c r="U32" s="65">
        <f>SUMIFS(Benefits!$AQ:$AQ,Benefits!$E:$E,"Gross Margin",Benefits!$F:$F,"USD",Benefits!$D:$D,"Plan Base",Benefits!$CS:$CS,$A32)</f>
        <v>0.42496428571428574</v>
      </c>
      <c r="V32" s="65">
        <f>SUMIFS(Benefits!$AR:$AR,Benefits!$E:$E,"Gross Margin",Benefits!$F:$F,"USD",Benefits!$D:$D,"Plan Base",Benefits!$CS:$CS,$A32)</f>
        <v>0.42496428571428574</v>
      </c>
      <c r="W32" s="65">
        <f>SUMIFS(Benefits!$AS:$AS,Benefits!$E:$E,"Gross Margin",Benefits!$F:$F,"USD",Benefits!$D:$D,"Plan Base",Benefits!$CS:$CS,$A32)</f>
        <v>0.5529642857142858</v>
      </c>
      <c r="X32" s="65">
        <f>SUMIFS(Benefits!$AT:$AT,Benefits!$E:$E,"Gross Margin",Benefits!$F:$F,"USD",Benefits!$D:$D,"Plan Base",Benefits!$CS:$CS,$A32)</f>
        <v>0.5529642857142858</v>
      </c>
      <c r="Y32" s="65">
        <f>SUMIFS(Benefits!$AU:$AU,Benefits!$E:$E,"Gross Margin",Benefits!$F:$F,"USD",Benefits!$D:$D,"Plan Base",Benefits!$CS:$CS,$A32)</f>
        <v>0.5529642857142858</v>
      </c>
      <c r="Z32" s="65">
        <f>SUMIFS(Benefits!$AV:$AV,Benefits!$E:$E,"Gross Margin",Benefits!$F:$F,"USD",Benefits!$D:$D,"Plan Base",Benefits!$CS:$CS,$A32)</f>
        <v>0.48975000000000007</v>
      </c>
      <c r="AA32" s="65">
        <f>SUMIFS(Benefits!$AW:$AW,Benefits!$E:$E,"Gross Margin",Benefits!$F:$F,"USD",Benefits!$D:$D,"Plan Base",Benefits!$CS:$CS,$A32)</f>
        <v>0.48975000000000007</v>
      </c>
      <c r="AB32" s="65">
        <f>SUMIFS(Benefits!$AX:$AX,Benefits!$E:$E,"Gross Margin",Benefits!$F:$F,"USD",Benefits!$D:$D,"Plan Base",Benefits!$CS:$CS,$A32)</f>
        <v>0.48975000000000007</v>
      </c>
      <c r="AC32" s="65">
        <f>SUMIFS(Benefits!$AY:$AY,Benefits!$E:$E,"Gross Margin",Benefits!$F:$F,"USD",Benefits!$D:$D,"Plan Base",Benefits!$CS:$CS,$A32)</f>
        <v>0.48975000000000007</v>
      </c>
      <c r="AD32" s="65">
        <f>SUMIFS(Benefits!$AZ:$AZ,Benefits!$E:$E,"Gross Margin",Benefits!$F:$F,"USD",Benefits!$D:$D,"Plan Base",Benefits!$CS:$CS,$A32)</f>
        <v>0.48975000000000007</v>
      </c>
      <c r="AE32" s="65">
        <f>SUMIFS(Benefits!$BA:$BA,Benefits!$E:$E,"Gross Margin",Benefits!$F:$F,"USD",Benefits!$D:$D,"Plan Base",Benefits!$CS:$CS,$A32)</f>
        <v>0.48975000000000007</v>
      </c>
      <c r="AF32" s="65">
        <f>SUMIFS(Benefits!$BB:$BB,Benefits!$E:$E,"Gross Margin",Benefits!$F:$F,"USD",Benefits!$D:$D,"Plan Base",Benefits!$CS:$CS,$A32)</f>
        <v>0.48975000000000007</v>
      </c>
      <c r="AG32" s="65">
        <f>SUMIFS(Benefits!$BC:$BC,Benefits!$E:$E,"Gross Margin",Benefits!$F:$F,"USD",Benefits!$D:$D,"Plan Base",Benefits!$CS:$CS,$A32)</f>
        <v>0.48975000000000007</v>
      </c>
      <c r="AH32" s="65">
        <f>SUMIFS(Benefits!$BD:$BD,Benefits!$E:$E,"Gross Margin",Benefits!$F:$F,"USD",Benefits!$D:$D,"Plan Base",Benefits!$CS:$CS,$A32)</f>
        <v>0.48975000000000007</v>
      </c>
      <c r="AI32" s="65">
        <f>SUMIFS(Benefits!$BE:$BE,Benefits!$E:$E,"Gross Margin",Benefits!$F:$F,"USD",Benefits!$D:$D,"Plan Base",Benefits!$CS:$CS,$A32)</f>
        <v>0.48975000000000007</v>
      </c>
      <c r="AJ32" s="65">
        <f>SUMIFS(Benefits!$BF:$BF,Benefits!$E:$E,"Gross Margin",Benefits!$F:$F,"USD",Benefits!$D:$D,"Plan Base",Benefits!$CS:$CS,$A32)</f>
        <v>0.48975000000000007</v>
      </c>
      <c r="AK32" s="65">
        <f>SUMIFS(Benefits!$BG:$BG,Benefits!$E:$E,"Gross Margin",Benefits!$F:$F,"USD",Benefits!$D:$D,"Plan Base",Benefits!$CS:$CS,$A32)</f>
        <v>0.48975000000000007</v>
      </c>
      <c r="AL32" s="65">
        <f>SUMIFS(Benefits!$BH:$BH,Benefits!$E:$E,"Gross Margin",Benefits!$F:$F,"USD",Benefits!$D:$D,"Plan Base",Benefits!$CS:$CS,$A32)</f>
        <v>0.48975000000000007</v>
      </c>
      <c r="AM32" s="65">
        <f>SUMIFS(Benefits!$BI:$BI,Benefits!$E:$E,"Gross Margin",Benefits!$F:$F,"USD",Benefits!$D:$D,"Plan Base",Benefits!$CS:$CS,$A32)</f>
        <v>0.48975000000000007</v>
      </c>
      <c r="AN32" s="65">
        <f>SUMIFS(Benefits!$BJ:$BJ,Benefits!$E:$E,"Gross Margin",Benefits!$F:$F,"USD",Benefits!$D:$D,"Plan Base",Benefits!$CS:$CS,$A32)</f>
        <v>0.48975000000000007</v>
      </c>
      <c r="AO32" s="65">
        <f>SUMIFS(Benefits!$BK:$BK,Benefits!$E:$E,"Gross Margin",Benefits!$F:$F,"USD",Benefits!$D:$D,"Plan Base",Benefits!$CS:$CS,$A32)</f>
        <v>0.48975000000000007</v>
      </c>
      <c r="AP32" s="65">
        <f>SUMIFS(Benefits!$BL:$BL,Benefits!$E:$E,"Gross Margin",Benefits!$F:$F,"USD",Benefits!$D:$D,"Plan Base",Benefits!$CS:$CS,$A32)</f>
        <v>0.48975000000000007</v>
      </c>
      <c r="AQ32" s="65">
        <f>SUMIFS(Benefits!$BM:$BM,Benefits!$E:$E,"Gross Margin",Benefits!$F:$F,"USD",Benefits!$D:$D,"Plan Base",Benefits!$CS:$CS,$A32)</f>
        <v>0.48975000000000007</v>
      </c>
      <c r="AR32" s="65">
        <f>SUMIFS(Benefits!$BN:$BN,Benefits!$E:$E,"Gross Margin",Benefits!$F:$F,"USD",Benefits!$D:$D,"Plan Base",Benefits!$CS:$CS,$A32)</f>
        <v>0.48975000000000007</v>
      </c>
      <c r="AS32" s="65">
        <f>SUMIFS(Benefits!$BO:$BO,Benefits!$E:$E,"Gross Margin",Benefits!$F:$F,"USD",Benefits!$D:$D,"Plan Base",Benefits!$CS:$CS,$A32)</f>
        <v>0.48975000000000007</v>
      </c>
      <c r="AT32" s="65">
        <f>SUMIFS(Benefits!$BP:$BP,Benefits!$E:$E,"Gross Margin",Benefits!$F:$F,"USD",Benefits!$D:$D,"Plan Base",Benefits!$CS:$CS,$A32)</f>
        <v>0.48975000000000007</v>
      </c>
      <c r="AU32" s="65">
        <f>SUMIFS(Benefits!$BQ:$BQ,Benefits!$E:$E,"Gross Margin",Benefits!$F:$F,"USD",Benefits!$D:$D,"Plan Base",Benefits!$CS:$CS,$A32)</f>
        <v>0.48975000000000007</v>
      </c>
      <c r="AV32" s="65">
        <f>SUMIFS(Benefits!$BR:$BR,Benefits!$E:$E,"Gross Margin",Benefits!$F:$F,"USD",Benefits!$D:$D,"Plan Base",Benefits!$CS:$CS,$A32)</f>
        <v>0.48975000000000007</v>
      </c>
      <c r="AW32" s="65">
        <f>SUMIFS(Benefits!$BS:$BS,Benefits!$E:$E,"Gross Margin",Benefits!$F:$F,"USD",Benefits!$D:$D,"Plan Base",Benefits!$CS:$CS,$A32)</f>
        <v>0.48975000000000007</v>
      </c>
      <c r="AX32" s="65">
        <f>SUMIFS(Benefits!$BT:$BT,Benefits!$E:$E,"Gross Margin",Benefits!$F:$F,"USD",Benefits!$D:$D,"Plan Base",Benefits!$CS:$CS,$A32)</f>
        <v>0.48975000000000007</v>
      </c>
      <c r="AY32" s="65">
        <f>SUMIFS(Benefits!$BU:$BU,Benefits!$E:$E,"Gross Margin",Benefits!$F:$F,"USD",Benefits!$D:$D,"Plan Base",Benefits!$CS:$CS,$A32)</f>
        <v>0.48975000000000007</v>
      </c>
      <c r="AZ32" s="65">
        <f>SUMIFS(Benefits!$BV:$BV,Benefits!$E:$E,"Gross Margin",Benefits!$F:$F,"USD",Benefits!$D:$D,"Plan Base",Benefits!$CS:$CS,$A32)</f>
        <v>0.48975000000000007</v>
      </c>
      <c r="BA32" s="65">
        <f>SUMIFS(Benefits!$BW:$BW,Benefits!$E:$E,"Gross Margin",Benefits!$F:$F,"USD",Benefits!$D:$D,"Plan Base",Benefits!$CS:$CS,$A32)</f>
        <v>0.48975000000000007</v>
      </c>
      <c r="BB32" s="65">
        <f>SUMIFS(Benefits!$BX:$BX,Benefits!$E:$E,"Gross Margin",Benefits!$F:$F,"USD",Benefits!$D:$D,"Plan Base",Benefits!$CS:$CS,$A32)</f>
        <v>0.48975000000000007</v>
      </c>
      <c r="BC32" s="65">
        <f>SUMIFS(Benefits!$BY:$BY,Benefits!$E:$E,"Gross Margin",Benefits!$F:$F,"USD",Benefits!$D:$D,"Plan Base",Benefits!$CS:$CS,$A32)</f>
        <v>0.48975000000000007</v>
      </c>
      <c r="BD32" s="65">
        <f>SUMIFS(Benefits!$BZ:$BZ,Benefits!$E:$E,"Gross Margin",Benefits!$F:$F,"USD",Benefits!$D:$D,"Plan Base",Benefits!$CS:$CS,$A32)</f>
        <v>0.48975000000000007</v>
      </c>
      <c r="BE32" s="65">
        <f>SUMIFS(Benefits!$CA:$CA,Benefits!$E:$E,"Gross Margin",Benefits!$F:$F,"USD",Benefits!$D:$D,"Plan Base",Benefits!$CS:$CS,$A32)</f>
        <v>0.48975000000000007</v>
      </c>
      <c r="BF32" s="65">
        <f>SUMIFS(Benefits!$CB:$CB,Benefits!$E:$E,"Gross Margin",Benefits!$F:$F,"USD",Benefits!$D:$D,"Plan Base",Benefits!$CS:$CS,$A32)</f>
        <v>0.48975000000000007</v>
      </c>
      <c r="BG32" s="65">
        <f>SUMIFS(Benefits!$CC:$CC,Benefits!$E:$E,"Gross Margin",Benefits!$F:$F,"USD",Benefits!$D:$D,"Plan Base",Benefits!$CS:$CS,$A32)</f>
        <v>0.48975000000000007</v>
      </c>
      <c r="BH32" s="65">
        <f>SUMIFS(Benefits!$CD:$CD,Benefits!$E:$E,"Gross Margin",Benefits!$F:$F,"USD",Benefits!$D:$D,"Plan Base",Benefits!$CS:$CS,$A32)</f>
        <v>0.48975000000000007</v>
      </c>
      <c r="BI32" s="65">
        <f>SUMIFS(Benefits!$CE:$CE,Benefits!$E:$E,"Gross Margin",Benefits!$F:$F,"USD",Benefits!$D:$D,"Plan Base",Benefits!$CS:$CS,$A32)</f>
        <v>0.48975000000000007</v>
      </c>
    </row>
    <row r="33" spans="1:61" x14ac:dyDescent="0.25">
      <c r="A33" s="83" t="s">
        <v>705</v>
      </c>
      <c r="B33" s="67">
        <f>SUMIFS(Benefits!$S:$S,Benefits!$E:$E,"Gross Margin",Benefits!$F:$F,"USD",Benefits!$D:$D,"Plan Base",Benefits!$CS:$CS,$A33)</f>
        <v>0.32200000000000001</v>
      </c>
      <c r="C33" s="67">
        <f>SUMIFS(Benefits!$T:$T,Benefits!$E:$E,"Gross Margin",Benefits!$F:$F,"USD",Benefits!$D:$D,"Plan Base",Benefits!$CS:$CS,$A33)</f>
        <v>2.7789999999999999</v>
      </c>
      <c r="D33" s="67">
        <f>SUMIFS(Benefits!$U:$U,Benefits!$E:$E,"Gross Margin",Benefits!$F:$F,"USD",Benefits!$D:$D,"Plan Base",Benefits!$CS:$CS,$A33)</f>
        <v>4.4089999999999998</v>
      </c>
      <c r="E33" s="67">
        <f>SUMIFS(Benefits!$V:$V,Benefits!$E:$E,"Gross Margin",Benefits!$F:$F,"USD",Benefits!$D:$D,"Plan Base",Benefits!$CS:$CS,$A33)</f>
        <v>4.4089999999999998</v>
      </c>
      <c r="F33" s="67">
        <f>SUMIFS(Benefits!$W:$W,Benefits!$E:$E,"Gross Margin",Benefits!$F:$F,"USD",Benefits!$D:$D,"Plan Base",Benefits!$CS:$CS,$A33)</f>
        <v>4.4089999999999998</v>
      </c>
      <c r="G33" s="84"/>
      <c r="H33" s="67">
        <f>SUMIFS(Benefits!$AD:$AD,Benefits!$E:$E,"Gross Margin",Benefits!$F:$F,"USD",Benefits!$D:$D,"Plan Base",Benefits!$CS:$CS,$A33)</f>
        <v>0</v>
      </c>
      <c r="I33" s="67">
        <f>SUMIFS(Benefits!$AE:$AE,Benefits!$E:$E,"Gross Margin",Benefits!$F:$F,"USD",Benefits!$D:$D,"Plan Base",Benefits!$CS:$CS,$A33)</f>
        <v>0</v>
      </c>
      <c r="J33" s="67">
        <f>SUMIFS(Benefits!$AF:$AF,Benefits!$E:$E,"Gross Margin",Benefits!$F:$F,"USD",Benefits!$D:$D,"Plan Base",Benefits!$CS:$CS,$A33)</f>
        <v>0</v>
      </c>
      <c r="K33" s="67">
        <f>SUMIFS(Benefits!$AG:$AG,Benefits!$E:$E,"Gross Margin",Benefits!$F:$F,"USD",Benefits!$D:$D,"Plan Base",Benefits!$CS:$CS,$A33)</f>
        <v>0</v>
      </c>
      <c r="L33" s="67">
        <f>SUMIFS(Benefits!$AH:$AH,Benefits!$E:$E,"Gross Margin",Benefits!$F:$F,"USD",Benefits!$D:$D,"Plan Base",Benefits!$CS:$CS,$A33)</f>
        <v>0.161</v>
      </c>
      <c r="M33" s="67">
        <f>SUMIFS(Benefits!$AI:$AI,Benefits!$E:$E,"Gross Margin",Benefits!$F:$F,"USD",Benefits!$D:$D,"Plan Base",Benefits!$CS:$CS,$A33)</f>
        <v>0.161</v>
      </c>
      <c r="N33" s="67">
        <f>SUMIFS(Benefits!$AJ:$AJ,Benefits!$E:$E,"Gross Margin",Benefits!$F:$F,"USD",Benefits!$D:$D,"Plan Base",Benefits!$CS:$CS,$A33)</f>
        <v>6.8999999999999992E-2</v>
      </c>
      <c r="O33" s="67">
        <f>SUMIFS(Benefits!$AK:$AK,Benefits!$E:$E,"Gross Margin",Benefits!$F:$F,"USD",Benefits!$D:$D,"Plan Base",Benefits!$CS:$CS,$A33)</f>
        <v>0.11045454545454544</v>
      </c>
      <c r="P33" s="67">
        <f>SUMIFS(Benefits!$AL:$AL,Benefits!$E:$E,"Gross Margin",Benefits!$F:$F,"USD",Benefits!$D:$D,"Plan Base",Benefits!$CS:$CS,$A33)</f>
        <v>0.11045454545454544</v>
      </c>
      <c r="Q33" s="67">
        <f>SUMIFS(Benefits!$AM:$AM,Benefits!$E:$E,"Gross Margin",Benefits!$F:$F,"USD",Benefits!$D:$D,"Plan Base",Benefits!$CS:$CS,$A33)</f>
        <v>0.11045454545454544</v>
      </c>
      <c r="R33" s="67">
        <f>SUMIFS(Benefits!$AN:$AN,Benefits!$E:$E,"Gross Margin",Benefits!$F:$F,"USD",Benefits!$D:$D,"Plan Base",Benefits!$CS:$CS,$A33)</f>
        <v>0.11045454545454544</v>
      </c>
      <c r="S33" s="67">
        <f>SUMIFS(Benefits!$AO:$AO,Benefits!$E:$E,"Gross Margin",Benefits!$F:$F,"USD",Benefits!$D:$D,"Plan Base",Benefits!$CS:$CS,$A33)</f>
        <v>0.26102597402597405</v>
      </c>
      <c r="T33" s="67">
        <f>SUMIFS(Benefits!$AP:$AP,Benefits!$E:$E,"Gross Margin",Benefits!$F:$F,"USD",Benefits!$D:$D,"Plan Base",Benefits!$CS:$CS,$A33)</f>
        <v>0.26102597402597405</v>
      </c>
      <c r="U33" s="67">
        <f>SUMIFS(Benefits!$AQ:$AQ,Benefits!$E:$E,"Gross Margin",Benefits!$F:$F,"USD",Benefits!$D:$D,"Plan Base",Benefits!$CS:$CS,$A33)</f>
        <v>0.26102597402597405</v>
      </c>
      <c r="V33" s="67">
        <f>SUMIFS(Benefits!$AR:$AR,Benefits!$E:$E,"Gross Margin",Benefits!$F:$F,"USD",Benefits!$D:$D,"Plan Base",Benefits!$CS:$CS,$A33)</f>
        <v>0.26102597402597405</v>
      </c>
      <c r="W33" s="67">
        <f>SUMIFS(Benefits!$AS:$AS,Benefits!$E:$E,"Gross Margin",Benefits!$F:$F,"USD",Benefits!$D:$D,"Plan Base",Benefits!$CS:$CS,$A33)</f>
        <v>0.26102597402597405</v>
      </c>
      <c r="X33" s="67">
        <f>SUMIFS(Benefits!$AT:$AT,Benefits!$E:$E,"Gross Margin",Benefits!$F:$F,"USD",Benefits!$D:$D,"Plan Base",Benefits!$CS:$CS,$A33)</f>
        <v>0.48152597402597408</v>
      </c>
      <c r="Y33" s="67">
        <f>SUMIFS(Benefits!$AU:$AU,Benefits!$E:$E,"Gross Margin",Benefits!$F:$F,"USD",Benefits!$D:$D,"Plan Base",Benefits!$CS:$CS,$A33)</f>
        <v>0.48152597402597408</v>
      </c>
      <c r="Z33" s="67">
        <f>SUMIFS(Benefits!$AV:$AV,Benefits!$E:$E,"Gross Margin",Benefits!$F:$F,"USD",Benefits!$D:$D,"Plan Base",Benefits!$CS:$CS,$A33)</f>
        <v>0.36741666666666667</v>
      </c>
      <c r="AA33" s="67">
        <f>SUMIFS(Benefits!$AW:$AW,Benefits!$E:$E,"Gross Margin",Benefits!$F:$F,"USD",Benefits!$D:$D,"Plan Base",Benefits!$CS:$CS,$A33)</f>
        <v>0.36741666666666667</v>
      </c>
      <c r="AB33" s="67">
        <f>SUMIFS(Benefits!$AX:$AX,Benefits!$E:$E,"Gross Margin",Benefits!$F:$F,"USD",Benefits!$D:$D,"Plan Base",Benefits!$CS:$CS,$A33)</f>
        <v>0.36741666666666667</v>
      </c>
      <c r="AC33" s="67">
        <f>SUMIFS(Benefits!$AY:$AY,Benefits!$E:$E,"Gross Margin",Benefits!$F:$F,"USD",Benefits!$D:$D,"Plan Base",Benefits!$CS:$CS,$A33)</f>
        <v>0.36741666666666667</v>
      </c>
      <c r="AD33" s="67">
        <f>SUMIFS(Benefits!$AZ:$AZ,Benefits!$E:$E,"Gross Margin",Benefits!$F:$F,"USD",Benefits!$D:$D,"Plan Base",Benefits!$CS:$CS,$A33)</f>
        <v>0.36741666666666667</v>
      </c>
      <c r="AE33" s="67">
        <f>SUMIFS(Benefits!$BA:$BA,Benefits!$E:$E,"Gross Margin",Benefits!$F:$F,"USD",Benefits!$D:$D,"Plan Base",Benefits!$CS:$CS,$A33)</f>
        <v>0.36741666666666667</v>
      </c>
      <c r="AF33" s="67">
        <f>SUMIFS(Benefits!$BB:$BB,Benefits!$E:$E,"Gross Margin",Benefits!$F:$F,"USD",Benefits!$D:$D,"Plan Base",Benefits!$CS:$CS,$A33)</f>
        <v>0.36741666666666667</v>
      </c>
      <c r="AG33" s="67">
        <f>SUMIFS(Benefits!$BC:$BC,Benefits!$E:$E,"Gross Margin",Benefits!$F:$F,"USD",Benefits!$D:$D,"Plan Base",Benefits!$CS:$CS,$A33)</f>
        <v>0.36741666666666667</v>
      </c>
      <c r="AH33" s="67">
        <f>SUMIFS(Benefits!$BD:$BD,Benefits!$E:$E,"Gross Margin",Benefits!$F:$F,"USD",Benefits!$D:$D,"Plan Base",Benefits!$CS:$CS,$A33)</f>
        <v>0.36741666666666667</v>
      </c>
      <c r="AI33" s="67">
        <f>SUMIFS(Benefits!$BE:$BE,Benefits!$E:$E,"Gross Margin",Benefits!$F:$F,"USD",Benefits!$D:$D,"Plan Base",Benefits!$CS:$CS,$A33)</f>
        <v>0.36741666666666667</v>
      </c>
      <c r="AJ33" s="67">
        <f>SUMIFS(Benefits!$BF:$BF,Benefits!$E:$E,"Gross Margin",Benefits!$F:$F,"USD",Benefits!$D:$D,"Plan Base",Benefits!$CS:$CS,$A33)</f>
        <v>0.36741666666666667</v>
      </c>
      <c r="AK33" s="67">
        <f>SUMIFS(Benefits!$BG:$BG,Benefits!$E:$E,"Gross Margin",Benefits!$F:$F,"USD",Benefits!$D:$D,"Plan Base",Benefits!$CS:$CS,$A33)</f>
        <v>0.36741666666666667</v>
      </c>
      <c r="AL33" s="67">
        <f>SUMIFS(Benefits!$BH:$BH,Benefits!$E:$E,"Gross Margin",Benefits!$F:$F,"USD",Benefits!$D:$D,"Plan Base",Benefits!$CS:$CS,$A33)</f>
        <v>0.36741666666666667</v>
      </c>
      <c r="AM33" s="67">
        <f>SUMIFS(Benefits!$BI:$BI,Benefits!$E:$E,"Gross Margin",Benefits!$F:$F,"USD",Benefits!$D:$D,"Plan Base",Benefits!$CS:$CS,$A33)</f>
        <v>0.36741666666666667</v>
      </c>
      <c r="AN33" s="67">
        <f>SUMIFS(Benefits!$BJ:$BJ,Benefits!$E:$E,"Gross Margin",Benefits!$F:$F,"USD",Benefits!$D:$D,"Plan Base",Benefits!$CS:$CS,$A33)</f>
        <v>0.36741666666666667</v>
      </c>
      <c r="AO33" s="67">
        <f>SUMIFS(Benefits!$BK:$BK,Benefits!$E:$E,"Gross Margin",Benefits!$F:$F,"USD",Benefits!$D:$D,"Plan Base",Benefits!$CS:$CS,$A33)</f>
        <v>0.36741666666666667</v>
      </c>
      <c r="AP33" s="67">
        <f>SUMIFS(Benefits!$BL:$BL,Benefits!$E:$E,"Gross Margin",Benefits!$F:$F,"USD",Benefits!$D:$D,"Plan Base",Benefits!$CS:$CS,$A33)</f>
        <v>0.36741666666666667</v>
      </c>
      <c r="AQ33" s="67">
        <f>SUMIFS(Benefits!$BM:$BM,Benefits!$E:$E,"Gross Margin",Benefits!$F:$F,"USD",Benefits!$D:$D,"Plan Base",Benefits!$CS:$CS,$A33)</f>
        <v>0.36741666666666667</v>
      </c>
      <c r="AR33" s="67">
        <f>SUMIFS(Benefits!$BN:$BN,Benefits!$E:$E,"Gross Margin",Benefits!$F:$F,"USD",Benefits!$D:$D,"Plan Base",Benefits!$CS:$CS,$A33)</f>
        <v>0.36741666666666667</v>
      </c>
      <c r="AS33" s="67">
        <f>SUMIFS(Benefits!$BO:$BO,Benefits!$E:$E,"Gross Margin",Benefits!$F:$F,"USD",Benefits!$D:$D,"Plan Base",Benefits!$CS:$CS,$A33)</f>
        <v>0.36741666666666667</v>
      </c>
      <c r="AT33" s="67">
        <f>SUMIFS(Benefits!$BP:$BP,Benefits!$E:$E,"Gross Margin",Benefits!$F:$F,"USD",Benefits!$D:$D,"Plan Base",Benefits!$CS:$CS,$A33)</f>
        <v>0.36741666666666667</v>
      </c>
      <c r="AU33" s="67">
        <f>SUMIFS(Benefits!$BQ:$BQ,Benefits!$E:$E,"Gross Margin",Benefits!$F:$F,"USD",Benefits!$D:$D,"Plan Base",Benefits!$CS:$CS,$A33)</f>
        <v>0.36741666666666667</v>
      </c>
      <c r="AV33" s="67">
        <f>SUMIFS(Benefits!$BR:$BR,Benefits!$E:$E,"Gross Margin",Benefits!$F:$F,"USD",Benefits!$D:$D,"Plan Base",Benefits!$CS:$CS,$A33)</f>
        <v>0.36741666666666667</v>
      </c>
      <c r="AW33" s="67">
        <f>SUMIFS(Benefits!$BS:$BS,Benefits!$E:$E,"Gross Margin",Benefits!$F:$F,"USD",Benefits!$D:$D,"Plan Base",Benefits!$CS:$CS,$A33)</f>
        <v>0.36741666666666667</v>
      </c>
      <c r="AX33" s="67">
        <f>SUMIFS(Benefits!$BT:$BT,Benefits!$E:$E,"Gross Margin",Benefits!$F:$F,"USD",Benefits!$D:$D,"Plan Base",Benefits!$CS:$CS,$A33)</f>
        <v>0.36741666666666667</v>
      </c>
      <c r="AY33" s="67">
        <f>SUMIFS(Benefits!$BU:$BU,Benefits!$E:$E,"Gross Margin",Benefits!$F:$F,"USD",Benefits!$D:$D,"Plan Base",Benefits!$CS:$CS,$A33)</f>
        <v>0.36741666666666667</v>
      </c>
      <c r="AZ33" s="67">
        <f>SUMIFS(Benefits!$BV:$BV,Benefits!$E:$E,"Gross Margin",Benefits!$F:$F,"USD",Benefits!$D:$D,"Plan Base",Benefits!$CS:$CS,$A33)</f>
        <v>0.36741666666666667</v>
      </c>
      <c r="BA33" s="67">
        <f>SUMIFS(Benefits!$BW:$BW,Benefits!$E:$E,"Gross Margin",Benefits!$F:$F,"USD",Benefits!$D:$D,"Plan Base",Benefits!$CS:$CS,$A33)</f>
        <v>0.36741666666666667</v>
      </c>
      <c r="BB33" s="67">
        <f>SUMIFS(Benefits!$BX:$BX,Benefits!$E:$E,"Gross Margin",Benefits!$F:$F,"USD",Benefits!$D:$D,"Plan Base",Benefits!$CS:$CS,$A33)</f>
        <v>0.36741666666666667</v>
      </c>
      <c r="BC33" s="67">
        <f>SUMIFS(Benefits!$BY:$BY,Benefits!$E:$E,"Gross Margin",Benefits!$F:$F,"USD",Benefits!$D:$D,"Plan Base",Benefits!$CS:$CS,$A33)</f>
        <v>0.36741666666666667</v>
      </c>
      <c r="BD33" s="67">
        <f>SUMIFS(Benefits!$BZ:$BZ,Benefits!$E:$E,"Gross Margin",Benefits!$F:$F,"USD",Benefits!$D:$D,"Plan Base",Benefits!$CS:$CS,$A33)</f>
        <v>0.36741666666666667</v>
      </c>
      <c r="BE33" s="67">
        <f>SUMIFS(Benefits!$CA:$CA,Benefits!$E:$E,"Gross Margin",Benefits!$F:$F,"USD",Benefits!$D:$D,"Plan Base",Benefits!$CS:$CS,$A33)</f>
        <v>0.36741666666666667</v>
      </c>
      <c r="BF33" s="67">
        <f>SUMIFS(Benefits!$CB:$CB,Benefits!$E:$E,"Gross Margin",Benefits!$F:$F,"USD",Benefits!$D:$D,"Plan Base",Benefits!$CS:$CS,$A33)</f>
        <v>0.36741666666666667</v>
      </c>
      <c r="BG33" s="67">
        <f>SUMIFS(Benefits!$CC:$CC,Benefits!$E:$E,"Gross Margin",Benefits!$F:$F,"USD",Benefits!$D:$D,"Plan Base",Benefits!$CS:$CS,$A33)</f>
        <v>0.36741666666666667</v>
      </c>
      <c r="BH33" s="67">
        <f>SUMIFS(Benefits!$CD:$CD,Benefits!$E:$E,"Gross Margin",Benefits!$F:$F,"USD",Benefits!$D:$D,"Plan Base",Benefits!$CS:$CS,$A33)</f>
        <v>0.36741666666666667</v>
      </c>
      <c r="BI33" s="67">
        <f>SUMIFS(Benefits!$CE:$CE,Benefits!$E:$E,"Gross Margin",Benefits!$F:$F,"USD",Benefits!$D:$D,"Plan Base",Benefits!$CS:$CS,$A33)</f>
        <v>0.36741666666666667</v>
      </c>
    </row>
    <row r="34" spans="1:61" x14ac:dyDescent="0.25">
      <c r="A34" s="69" t="s">
        <v>1112</v>
      </c>
      <c r="B34" s="70">
        <f>SUM(B30:B33)</f>
        <v>3.266</v>
      </c>
      <c r="C34" s="70">
        <f>SUM(C30:C33)</f>
        <v>14.616999999999999</v>
      </c>
      <c r="D34" s="70">
        <f>SUM(D30:D33)</f>
        <v>21.632999999999999</v>
      </c>
      <c r="E34" s="70">
        <f>SUM(E30:E33)</f>
        <v>21.632999999999999</v>
      </c>
      <c r="F34" s="70">
        <f>SUM(F30:F33)</f>
        <v>21.632999999999999</v>
      </c>
      <c r="G34" s="85"/>
      <c r="H34" s="70">
        <f>SUM(H30:H33)</f>
        <v>0</v>
      </c>
      <c r="I34" s="70">
        <f>SUM(I30:I33)</f>
        <v>0</v>
      </c>
      <c r="J34" s="70">
        <f>SUM(J30:J33)</f>
        <v>0</v>
      </c>
      <c r="K34" s="70">
        <f>SUM(K30:K33)</f>
        <v>0.37200000000000005</v>
      </c>
      <c r="L34" s="70">
        <f>SUM(L30:L33)</f>
        <v>1.153</v>
      </c>
      <c r="M34" s="70">
        <f>SUM(M30:M33)</f>
        <v>1.7410000000000001</v>
      </c>
      <c r="N34" s="70">
        <f>SUM(N30:N33)</f>
        <v>0.52274999999999994</v>
      </c>
      <c r="O34" s="70">
        <f>SUM(O30:O33)</f>
        <v>0.56420454545454546</v>
      </c>
      <c r="P34" s="70">
        <f>SUM(P30:P33)</f>
        <v>0.6262045454545454</v>
      </c>
      <c r="Q34" s="70">
        <f>SUM(Q30:Q33)</f>
        <v>0.70420454545454547</v>
      </c>
      <c r="R34" s="70">
        <f>SUM(R30:R33)</f>
        <v>0.89020454545454553</v>
      </c>
      <c r="S34" s="70">
        <f>SUM(S30:S33)</f>
        <v>1.1204902597402597</v>
      </c>
      <c r="T34" s="70">
        <f>SUM(T30:T33)</f>
        <v>1.2124902597402598</v>
      </c>
      <c r="U34" s="70">
        <f>SUM(U30:U33)</f>
        <v>1.2724902597402599</v>
      </c>
      <c r="V34" s="70">
        <f>SUM(V30:V33)</f>
        <v>1.4369902597402597</v>
      </c>
      <c r="W34" s="70">
        <f>SUM(W30:W33)</f>
        <v>1.5649902597402598</v>
      </c>
      <c r="X34" s="70">
        <f>SUM(X30:X33)</f>
        <v>1.7854902597402598</v>
      </c>
      <c r="Y34" s="70">
        <f>SUM(Y30:Y33)</f>
        <v>2.91649025974026</v>
      </c>
      <c r="Z34" s="70">
        <f>SUM(Z30:Z33)</f>
        <v>1.8027500000000003</v>
      </c>
      <c r="AA34" s="70">
        <f>SUM(AA30:AA33)</f>
        <v>1.8027500000000003</v>
      </c>
      <c r="AB34" s="70">
        <f>SUM(AB30:AB33)</f>
        <v>1.8027500000000003</v>
      </c>
      <c r="AC34" s="70">
        <f>SUM(AC30:AC33)</f>
        <v>1.8027500000000003</v>
      </c>
      <c r="AD34" s="70">
        <f>SUM(AD30:AD33)</f>
        <v>1.8027500000000003</v>
      </c>
      <c r="AE34" s="70">
        <f>SUM(AE30:AE33)</f>
        <v>1.8027500000000003</v>
      </c>
      <c r="AF34" s="70">
        <f>SUM(AF30:AF33)</f>
        <v>1.8027500000000003</v>
      </c>
      <c r="AG34" s="70">
        <f>SUM(AG30:AG33)</f>
        <v>1.8027500000000003</v>
      </c>
      <c r="AH34" s="70">
        <f>SUM(AH30:AH33)</f>
        <v>1.8027500000000003</v>
      </c>
      <c r="AI34" s="70">
        <f>SUM(AI30:AI33)</f>
        <v>1.8027500000000003</v>
      </c>
      <c r="AJ34" s="70">
        <f>SUM(AJ30:AJ33)</f>
        <v>1.8027500000000003</v>
      </c>
      <c r="AK34" s="70">
        <f>SUM(AK30:AK33)</f>
        <v>1.8027500000000003</v>
      </c>
      <c r="AL34" s="70">
        <f>SUM(AL30:AL33)</f>
        <v>1.8027500000000003</v>
      </c>
      <c r="AM34" s="70">
        <f>SUM(AM30:AM33)</f>
        <v>1.8027500000000003</v>
      </c>
      <c r="AN34" s="70">
        <f>SUM(AN30:AN33)</f>
        <v>1.8027500000000003</v>
      </c>
      <c r="AO34" s="70">
        <f>SUM(AO30:AO33)</f>
        <v>1.8027500000000003</v>
      </c>
      <c r="AP34" s="70">
        <f>SUM(AP30:AP33)</f>
        <v>1.8027500000000003</v>
      </c>
      <c r="AQ34" s="70">
        <f>SUM(AQ30:AQ33)</f>
        <v>1.8027500000000003</v>
      </c>
      <c r="AR34" s="70">
        <f>SUM(AR30:AR33)</f>
        <v>1.8027500000000003</v>
      </c>
      <c r="AS34" s="70">
        <f>SUM(AS30:AS33)</f>
        <v>1.8027500000000003</v>
      </c>
      <c r="AT34" s="70">
        <f>SUM(AT30:AT33)</f>
        <v>1.8027500000000003</v>
      </c>
      <c r="AU34" s="70">
        <f>SUM(AU30:AU33)</f>
        <v>1.8027500000000003</v>
      </c>
      <c r="AV34" s="70">
        <f>SUM(AV30:AV33)</f>
        <v>1.8027500000000003</v>
      </c>
      <c r="AW34" s="70">
        <f>SUM(AW30:AW33)</f>
        <v>1.8027500000000003</v>
      </c>
      <c r="AX34" s="70">
        <f>SUM(AX30:AX33)</f>
        <v>1.8027500000000003</v>
      </c>
      <c r="AY34" s="70">
        <f>SUM(AY30:AY33)</f>
        <v>1.8027500000000003</v>
      </c>
      <c r="AZ34" s="70">
        <f>SUM(AZ30:AZ33)</f>
        <v>1.8027500000000003</v>
      </c>
      <c r="BA34" s="70">
        <f>SUM(BA30:BA33)</f>
        <v>1.8027500000000003</v>
      </c>
      <c r="BB34" s="70">
        <f>SUM(BB30:BB33)</f>
        <v>1.8027500000000003</v>
      </c>
      <c r="BC34" s="70">
        <f>SUM(BC30:BC33)</f>
        <v>1.8027500000000003</v>
      </c>
      <c r="BD34" s="70">
        <f>SUM(BD30:BD33)</f>
        <v>1.8027500000000003</v>
      </c>
      <c r="BE34" s="70">
        <f>SUM(BE30:BE33)</f>
        <v>1.8027500000000003</v>
      </c>
      <c r="BF34" s="70">
        <f>SUM(BF30:BF33)</f>
        <v>1.8027500000000003</v>
      </c>
      <c r="BG34" s="70">
        <f>SUM(BG30:BG33)</f>
        <v>1.8027500000000003</v>
      </c>
      <c r="BH34" s="70">
        <f>SUM(BH30:BH33)</f>
        <v>1.8027500000000003</v>
      </c>
      <c r="BI34" s="70">
        <f>SUM(BI30:BI33)</f>
        <v>1.8027500000000003</v>
      </c>
    </row>
    <row r="35" spans="1:61" x14ac:dyDescent="0.25">
      <c r="A35" s="90" t="s">
        <v>101</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90"/>
      <c r="AD35" s="90"/>
      <c r="AE35" s="90"/>
      <c r="AF35" s="90"/>
      <c r="AG35" s="90"/>
      <c r="AH35" s="90"/>
      <c r="AI35" s="90"/>
      <c r="AJ35" s="90"/>
      <c r="AK35" s="90"/>
      <c r="AL35" s="90"/>
      <c r="AM35" s="90"/>
      <c r="AN35" s="90"/>
      <c r="AO35" s="90"/>
      <c r="AP35" s="90"/>
      <c r="AQ35" s="90"/>
      <c r="AR35" s="90"/>
      <c r="AS35" s="90"/>
      <c r="AT35" s="90"/>
      <c r="AU35" s="90"/>
      <c r="AV35" s="90"/>
      <c r="AW35" s="90"/>
      <c r="AX35" s="90"/>
      <c r="AY35" s="90"/>
      <c r="AZ35" s="90"/>
      <c r="BA35" s="90"/>
      <c r="BB35" s="90"/>
      <c r="BC35" s="90"/>
      <c r="BD35" s="90"/>
      <c r="BE35" s="90"/>
      <c r="BF35" s="90"/>
      <c r="BG35" s="90"/>
      <c r="BH35" s="90"/>
      <c r="BI35" s="90"/>
    </row>
    <row r="36" spans="1:61" x14ac:dyDescent="0.25">
      <c r="A36" s="81" t="s">
        <v>21</v>
      </c>
      <c r="B36" s="65">
        <f>SUMIFS(Costs!$AB:$AB,Costs!$D:$D,"Plan",Costs!$DB:$DB,$A36)</f>
        <v>0.72</v>
      </c>
      <c r="C36" s="65">
        <f>SUMIFS(Costs!$AC:$AC,Costs!$D:$D,"Plan",Costs!$DB:$DB,$A36)</f>
        <v>0.9</v>
      </c>
      <c r="D36" s="65">
        <f>SUMIFS(Costs!$AD:$AD,Costs!$D:$D,"Plan",Costs!$DB:$DB,$A36)</f>
        <v>0.9</v>
      </c>
      <c r="E36" s="65">
        <f>SUMIFS(Costs!$AE:$AE,Costs!$D:$D,"Plan",Costs!$DB:$DB,$A36)</f>
        <v>0.9</v>
      </c>
      <c r="F36" s="65">
        <f>SUMIFS(Costs!$AF:$AF,Costs!$D:$D,"Plan",Costs!$DB:$DB,$A36)</f>
        <v>0.9</v>
      </c>
      <c r="G36" s="82"/>
      <c r="H36" s="65">
        <f>SUMIFS(Costs!$AM:$AM,Costs!$D:$D,"Plan",Costs!$DB:$DB,$A36)</f>
        <v>0</v>
      </c>
      <c r="I36" s="65">
        <f>SUMIFS(Costs!$AN:$AN,Costs!$D:$D,"Plan",Costs!$DB:$DB,$A36)</f>
        <v>0</v>
      </c>
      <c r="J36" s="65">
        <f>SUMIFS(Costs!$AO:$AO,Costs!$D:$D,"Plan",Costs!$DB:$DB,$A36)</f>
        <v>0</v>
      </c>
      <c r="K36" s="65">
        <f>SUMIFS(Costs!$AP:$AP,Costs!$D:$D,"Plan",Costs!$DB:$DB,$A36)</f>
        <v>0</v>
      </c>
      <c r="L36" s="65">
        <f>SUMIFS(Costs!$AQ:$AQ,Costs!$D:$D,"Plan",Costs!$DB:$DB,$A36)</f>
        <v>0.05</v>
      </c>
      <c r="M36" s="65">
        <f>SUMIFS(Costs!$AR:$AR,Costs!$D:$D,"Plan",Costs!$DB:$DB,$A36)</f>
        <v>0.67</v>
      </c>
      <c r="N36" s="65">
        <f>SUMIFS(Costs!$AS:$AS,Costs!$D:$D,"Plan",Costs!$DB:$DB,$A36)</f>
        <v>6.1666666666666668E-2</v>
      </c>
      <c r="O36" s="65">
        <f>SUMIFS(Costs!$AT:$AT,Costs!$D:$D,"Plan",Costs!$DB:$DB,$A36)</f>
        <v>6.1666666666666668E-2</v>
      </c>
      <c r="P36" s="65">
        <f>SUMIFS(Costs!$AU:$AU,Costs!$D:$D,"Plan",Costs!$DB:$DB,$A36)</f>
        <v>7.166666666666667E-2</v>
      </c>
      <c r="Q36" s="65">
        <f>SUMIFS(Costs!$AV:$AV,Costs!$D:$D,"Plan",Costs!$DB:$DB,$A36)</f>
        <v>7.166666666666667E-2</v>
      </c>
      <c r="R36" s="65">
        <f>SUMIFS(Costs!$AW:$AW,Costs!$D:$D,"Plan",Costs!$DB:$DB,$A36)</f>
        <v>7.166666666666667E-2</v>
      </c>
      <c r="S36" s="65">
        <f>SUMIFS(Costs!$AX:$AX,Costs!$D:$D,"Plan",Costs!$DB:$DB,$A36)</f>
        <v>7.166666666666667E-2</v>
      </c>
      <c r="T36" s="65">
        <f>SUMIFS(Costs!$AY:$AY,Costs!$D:$D,"Plan",Costs!$DB:$DB,$A36)</f>
        <v>7.166666666666667E-2</v>
      </c>
      <c r="U36" s="65">
        <f>SUMIFS(Costs!$AZ:$AZ,Costs!$D:$D,"Plan",Costs!$DB:$DB,$A36)</f>
        <v>7.166666666666667E-2</v>
      </c>
      <c r="V36" s="65">
        <f>SUMIFS(Costs!$BA:$BA,Costs!$D:$D,"Plan",Costs!$DB:$DB,$A36)</f>
        <v>8.666666666666667E-2</v>
      </c>
      <c r="W36" s="65">
        <f>SUMIFS(Costs!$BB:$BB,Costs!$D:$D,"Plan",Costs!$DB:$DB,$A36)</f>
        <v>8.666666666666667E-2</v>
      </c>
      <c r="X36" s="65">
        <f>SUMIFS(Costs!$BC:$BC,Costs!$D:$D,"Plan",Costs!$DB:$DB,$A36)</f>
        <v>8.666666666666667E-2</v>
      </c>
      <c r="Y36" s="65">
        <f>SUMIFS(Costs!$BD:$BD,Costs!$D:$D,"Plan",Costs!$DB:$DB,$A36)</f>
        <v>8.666666666666667E-2</v>
      </c>
      <c r="Z36" s="65">
        <f>SUMIFS(Costs!$BE:$BE,Costs!$D:$D,"Plan",Costs!$DB:$DB,$A36)</f>
        <v>7.5000000000000011E-2</v>
      </c>
      <c r="AA36" s="65">
        <f>SUMIFS(Costs!$BF:$BF,Costs!$D:$D,"Plan",Costs!$DB:$DB,$A36)</f>
        <v>7.5000000000000011E-2</v>
      </c>
      <c r="AB36" s="65">
        <f>SUMIFS(Costs!$BG:$BG,Costs!$D:$D,"Plan",Costs!$DB:$DB,$A36)</f>
        <v>7.5000000000000011E-2</v>
      </c>
      <c r="AC36" s="65">
        <f>SUMIFS(Costs!$BH:$BH,Costs!$D:$D,"Plan",Costs!$DB:$DB,$A36)</f>
        <v>7.5000000000000011E-2</v>
      </c>
      <c r="AD36" s="65">
        <f>SUMIFS(Costs!$BI:$BI,Costs!$D:$D,"Plan",Costs!$DB:$DB,$A36)</f>
        <v>7.5000000000000011E-2</v>
      </c>
      <c r="AE36" s="65">
        <f>SUMIFS(Costs!$BJ:$BJ,Costs!$D:$D,"Plan",Costs!$DB:$DB,$A36)</f>
        <v>7.5000000000000011E-2</v>
      </c>
      <c r="AF36" s="65">
        <f>SUMIFS(Costs!$BK:$BK,Costs!$D:$D,"Plan",Costs!$DB:$DB,$A36)</f>
        <v>7.5000000000000011E-2</v>
      </c>
      <c r="AG36" s="65">
        <f>SUMIFS(Costs!$BL:$BL,Costs!$D:$D,"Plan",Costs!$DB:$DB,$A36)</f>
        <v>7.5000000000000011E-2</v>
      </c>
      <c r="AH36" s="65">
        <f>SUMIFS(Costs!$BM:$BM,Costs!$D:$D,"Plan",Costs!$DB:$DB,$A36)</f>
        <v>7.5000000000000011E-2</v>
      </c>
      <c r="AI36" s="65">
        <f>SUMIFS(Costs!$BN:$BN,Costs!$D:$D,"Plan",Costs!$DB:$DB,$A36)</f>
        <v>7.5000000000000011E-2</v>
      </c>
      <c r="AJ36" s="65">
        <f>SUMIFS(Costs!$BO:$BO,Costs!$D:$D,"Plan",Costs!$DB:$DB,$A36)</f>
        <v>7.5000000000000011E-2</v>
      </c>
      <c r="AK36" s="65">
        <f>SUMIFS(Costs!$BP:$BP,Costs!$D:$D,"Plan",Costs!$DB:$DB,$A36)</f>
        <v>7.5000000000000011E-2</v>
      </c>
      <c r="AL36" s="65">
        <f>SUMIFS(Costs!$BQ:$BQ,Costs!$D:$D,"Plan",Costs!$DB:$DB,$A36)</f>
        <v>7.5000000000000011E-2</v>
      </c>
      <c r="AM36" s="65">
        <f>SUMIFS(Costs!$BR:$BR,Costs!$D:$D,"Plan",Costs!$DB:$DB,$A36)</f>
        <v>7.5000000000000011E-2</v>
      </c>
      <c r="AN36" s="65">
        <f>SUMIFS(Costs!$BS:$BS,Costs!$D:$D,"Plan",Costs!$DB:$DB,$A36)</f>
        <v>7.5000000000000011E-2</v>
      </c>
      <c r="AO36" s="65">
        <f>SUMIFS(Costs!$BT:$BT,Costs!$D:$D,"Plan",Costs!$DB:$DB,$A36)</f>
        <v>7.5000000000000011E-2</v>
      </c>
      <c r="AP36" s="65">
        <f>SUMIFS(Costs!$BU:$BU,Costs!$D:$D,"Plan",Costs!$DB:$DB,$A36)</f>
        <v>7.5000000000000011E-2</v>
      </c>
      <c r="AQ36" s="65">
        <f>SUMIFS(Costs!$BV:$BV,Costs!$D:$D,"Plan",Costs!$DB:$DB,$A36)</f>
        <v>7.5000000000000011E-2</v>
      </c>
      <c r="AR36" s="65">
        <f>SUMIFS(Costs!$BW:$BW,Costs!$D:$D,"Plan",Costs!$DB:$DB,$A36)</f>
        <v>7.5000000000000011E-2</v>
      </c>
      <c r="AS36" s="65">
        <f>SUMIFS(Costs!$BX:$BX,Costs!$D:$D,"Plan",Costs!$DB:$DB,$A36)</f>
        <v>7.5000000000000011E-2</v>
      </c>
      <c r="AT36" s="65">
        <f>SUMIFS(Costs!$BY:$BY,Costs!$D:$D,"Plan",Costs!$DB:$DB,$A36)</f>
        <v>7.5000000000000011E-2</v>
      </c>
      <c r="AU36" s="65">
        <f>SUMIFS(Costs!$BZ:$BZ,Costs!$D:$D,"Plan",Costs!$DB:$DB,$A36)</f>
        <v>7.5000000000000011E-2</v>
      </c>
      <c r="AV36" s="65">
        <f>SUMIFS(Costs!$CA:$CA,Costs!$D:$D,"Plan",Costs!$DB:$DB,$A36)</f>
        <v>7.5000000000000011E-2</v>
      </c>
      <c r="AW36" s="65">
        <f>SUMIFS(Costs!$CB:$CB,Costs!$D:$D,"Plan",Costs!$DB:$DB,$A36)</f>
        <v>7.5000000000000011E-2</v>
      </c>
      <c r="AX36" s="65">
        <f>SUMIFS(Costs!$CC:$CC,Costs!$D:$D,"Plan",Costs!$DB:$DB,$A36)</f>
        <v>7.5000000000000011E-2</v>
      </c>
      <c r="AY36" s="65">
        <f>SUMIFS(Costs!$CD:$CD,Costs!$D:$D,"Plan",Costs!$DB:$DB,$A36)</f>
        <v>7.5000000000000011E-2</v>
      </c>
      <c r="AZ36" s="65">
        <f>SUMIFS(Costs!$CE:$CE,Costs!$D:$D,"Plan",Costs!$DB:$DB,$A36)</f>
        <v>7.5000000000000011E-2</v>
      </c>
      <c r="BA36" s="65">
        <f>SUMIFS(Costs!$CF:$CF,Costs!$D:$D,"Plan",Costs!$DB:$DB,$A36)</f>
        <v>7.5000000000000011E-2</v>
      </c>
      <c r="BB36" s="65">
        <f>SUMIFS(Costs!$CG:$CG,Costs!$D:$D,"Plan",Costs!$DB:$DB,$A36)</f>
        <v>7.5000000000000011E-2</v>
      </c>
      <c r="BC36" s="65">
        <f>SUMIFS(Costs!$CH:$CH,Costs!$D:$D,"Plan",Costs!$DB:$DB,$A36)</f>
        <v>7.5000000000000011E-2</v>
      </c>
      <c r="BD36" s="65">
        <f>SUMIFS(Costs!$CI:$CI,Costs!$D:$D,"Plan",Costs!$DB:$DB,$A36)</f>
        <v>7.5000000000000011E-2</v>
      </c>
      <c r="BE36" s="65">
        <f>SUMIFS(Costs!$CJ:$CJ,Costs!$D:$D,"Plan",Costs!$DB:$DB,$A36)</f>
        <v>7.5000000000000011E-2</v>
      </c>
      <c r="BF36" s="65">
        <f>SUMIFS(Costs!$CK:$CK,Costs!$D:$D,"Plan",Costs!$DB:$DB,$A36)</f>
        <v>7.5000000000000011E-2</v>
      </c>
      <c r="BG36" s="65">
        <f>SUMIFS(Costs!$CL:$CL,Costs!$D:$D,"Plan",Costs!$DB:$DB,$A36)</f>
        <v>7.5000000000000011E-2</v>
      </c>
      <c r="BH36" s="65">
        <f>SUMIFS(Costs!$CM:$CM,Costs!$D:$D,"Plan",Costs!$DB:$DB,$A36)</f>
        <v>7.5000000000000011E-2</v>
      </c>
      <c r="BI36" s="65">
        <f>SUMIFS(Costs!$CN:$CN,Costs!$D:$D,"Plan",Costs!$DB:$DB,$A36)</f>
        <v>7.5000000000000011E-2</v>
      </c>
    </row>
    <row r="37" spans="1:61" x14ac:dyDescent="0.25">
      <c r="A37" s="83" t="s">
        <v>666</v>
      </c>
      <c r="B37" s="67">
        <f>SUMIFS(Costs!$AB:$AB,Costs!$D:$D,"Plan",Costs!$DB:$DB,$A37)</f>
        <v>0.09</v>
      </c>
      <c r="C37" s="67">
        <f>SUMIFS(Costs!$AC:$AC,Costs!$D:$D,"Plan",Costs!$DB:$DB,$A37)</f>
        <v>0.78800000000000003</v>
      </c>
      <c r="D37" s="67">
        <f>SUMIFS(Costs!$AD:$AD,Costs!$D:$D,"Plan",Costs!$DB:$DB,$A37)</f>
        <v>0.80500000000000005</v>
      </c>
      <c r="E37" s="67">
        <f>SUMIFS(Costs!$AE:$AE,Costs!$D:$D,"Plan",Costs!$DB:$DB,$A37)</f>
        <v>0.80500000000000005</v>
      </c>
      <c r="F37" s="67">
        <f>SUMIFS(Costs!$AF:$AF,Costs!$D:$D,"Plan",Costs!$DB:$DB,$A37)</f>
        <v>0.80500000000000005</v>
      </c>
      <c r="G37" s="84"/>
      <c r="H37" s="67">
        <f>SUMIFS(Costs!$AM:$AM,Costs!$D:$D,"Plan",Costs!$DB:$DB,$A37)</f>
        <v>0</v>
      </c>
      <c r="I37" s="67">
        <f>SUMIFS(Costs!$AN:$AN,Costs!$D:$D,"Plan",Costs!$DB:$DB,$A37)</f>
        <v>0</v>
      </c>
      <c r="J37" s="67">
        <f>SUMIFS(Costs!$AO:$AO,Costs!$D:$D,"Plan",Costs!$DB:$DB,$A37)</f>
        <v>0</v>
      </c>
      <c r="K37" s="67">
        <f>SUMIFS(Costs!$AP:$AP,Costs!$D:$D,"Plan",Costs!$DB:$DB,$A37)</f>
        <v>0.03</v>
      </c>
      <c r="L37" s="67">
        <f>SUMIFS(Costs!$AQ:$AQ,Costs!$D:$D,"Plan",Costs!$DB:$DB,$A37)</f>
        <v>0.03</v>
      </c>
      <c r="M37" s="67">
        <f>SUMIFS(Costs!$AR:$AR,Costs!$D:$D,"Plan",Costs!$DB:$DB,$A37)</f>
        <v>0.03</v>
      </c>
      <c r="N37" s="67">
        <f>SUMIFS(Costs!$AS:$AS,Costs!$D:$D,"Plan",Costs!$DB:$DB,$A37)</f>
        <v>7.4999999999999997E-3</v>
      </c>
      <c r="O37" s="67">
        <f>SUMIFS(Costs!$AT:$AT,Costs!$D:$D,"Plan",Costs!$DB:$DB,$A37)</f>
        <v>7.4999999999999997E-3</v>
      </c>
      <c r="P37" s="67">
        <f>SUMIFS(Costs!$AU:$AU,Costs!$D:$D,"Plan",Costs!$DB:$DB,$A37)</f>
        <v>7.4999999999999997E-3</v>
      </c>
      <c r="Q37" s="67">
        <f>SUMIFS(Costs!$AV:$AV,Costs!$D:$D,"Plan",Costs!$DB:$DB,$A37)</f>
        <v>1.4833333333333334E-2</v>
      </c>
      <c r="R37" s="67">
        <f>SUMIFS(Costs!$AW:$AW,Costs!$D:$D,"Plan",Costs!$DB:$DB,$A37)</f>
        <v>1.4833333333333334E-2</v>
      </c>
      <c r="S37" s="67">
        <f>SUMIFS(Costs!$AX:$AX,Costs!$D:$D,"Plan",Costs!$DB:$DB,$A37)</f>
        <v>1.4833333333333334E-2</v>
      </c>
      <c r="T37" s="67">
        <f>SUMIFS(Costs!$AY:$AY,Costs!$D:$D,"Plan",Costs!$DB:$DB,$A37)</f>
        <v>1.4833333333333334E-2</v>
      </c>
      <c r="U37" s="67">
        <f>SUMIFS(Costs!$AZ:$AZ,Costs!$D:$D,"Plan",Costs!$DB:$DB,$A37)</f>
        <v>1.4833333333333334E-2</v>
      </c>
      <c r="V37" s="67">
        <f>SUMIFS(Costs!$BA:$BA,Costs!$D:$D,"Plan",Costs!$DB:$DB,$A37)</f>
        <v>0.14658333333333334</v>
      </c>
      <c r="W37" s="67">
        <f>SUMIFS(Costs!$BB:$BB,Costs!$D:$D,"Plan",Costs!$DB:$DB,$A37)</f>
        <v>0.14658333333333334</v>
      </c>
      <c r="X37" s="67">
        <f>SUMIFS(Costs!$BC:$BC,Costs!$D:$D,"Plan",Costs!$DB:$DB,$A37)</f>
        <v>0.14658333333333334</v>
      </c>
      <c r="Y37" s="67">
        <f>SUMIFS(Costs!$BD:$BD,Costs!$D:$D,"Plan",Costs!$DB:$DB,$A37)</f>
        <v>0.25158333333333333</v>
      </c>
      <c r="Z37" s="67">
        <f>SUMIFS(Costs!$BE:$BE,Costs!$D:$D,"Plan",Costs!$DB:$DB,$A37)</f>
        <v>6.7083333333333328E-2</v>
      </c>
      <c r="AA37" s="67">
        <f>SUMIFS(Costs!$BF:$BF,Costs!$D:$D,"Plan",Costs!$DB:$DB,$A37)</f>
        <v>6.7083333333333328E-2</v>
      </c>
      <c r="AB37" s="67">
        <f>SUMIFS(Costs!$BG:$BG,Costs!$D:$D,"Plan",Costs!$DB:$DB,$A37)</f>
        <v>6.7083333333333328E-2</v>
      </c>
      <c r="AC37" s="67">
        <f>SUMIFS(Costs!$BH:$BH,Costs!$D:$D,"Plan",Costs!$DB:$DB,$A37)</f>
        <v>6.7083333333333328E-2</v>
      </c>
      <c r="AD37" s="67">
        <f>SUMIFS(Costs!$BI:$BI,Costs!$D:$D,"Plan",Costs!$DB:$DB,$A37)</f>
        <v>6.7083333333333328E-2</v>
      </c>
      <c r="AE37" s="67">
        <f>SUMIFS(Costs!$BJ:$BJ,Costs!$D:$D,"Plan",Costs!$DB:$DB,$A37)</f>
        <v>6.7083333333333328E-2</v>
      </c>
      <c r="AF37" s="67">
        <f>SUMIFS(Costs!$BK:$BK,Costs!$D:$D,"Plan",Costs!$DB:$DB,$A37)</f>
        <v>6.7083333333333328E-2</v>
      </c>
      <c r="AG37" s="67">
        <f>SUMIFS(Costs!$BL:$BL,Costs!$D:$D,"Plan",Costs!$DB:$DB,$A37)</f>
        <v>6.7083333333333328E-2</v>
      </c>
      <c r="AH37" s="67">
        <f>SUMIFS(Costs!$BM:$BM,Costs!$D:$D,"Plan",Costs!$DB:$DB,$A37)</f>
        <v>6.7083333333333328E-2</v>
      </c>
      <c r="AI37" s="67">
        <f>SUMIFS(Costs!$BN:$BN,Costs!$D:$D,"Plan",Costs!$DB:$DB,$A37)</f>
        <v>6.7083333333333328E-2</v>
      </c>
      <c r="AJ37" s="67">
        <f>SUMIFS(Costs!$BO:$BO,Costs!$D:$D,"Plan",Costs!$DB:$DB,$A37)</f>
        <v>6.7083333333333328E-2</v>
      </c>
      <c r="AK37" s="67">
        <f>SUMIFS(Costs!$BP:$BP,Costs!$D:$D,"Plan",Costs!$DB:$DB,$A37)</f>
        <v>6.7083333333333328E-2</v>
      </c>
      <c r="AL37" s="67">
        <f>SUMIFS(Costs!$BQ:$BQ,Costs!$D:$D,"Plan",Costs!$DB:$DB,$A37)</f>
        <v>6.7083333333333328E-2</v>
      </c>
      <c r="AM37" s="67">
        <f>SUMIFS(Costs!$BR:$BR,Costs!$D:$D,"Plan",Costs!$DB:$DB,$A37)</f>
        <v>6.7083333333333328E-2</v>
      </c>
      <c r="AN37" s="67">
        <f>SUMIFS(Costs!$BS:$BS,Costs!$D:$D,"Plan",Costs!$DB:$DB,$A37)</f>
        <v>6.7083333333333328E-2</v>
      </c>
      <c r="AO37" s="67">
        <f>SUMIFS(Costs!$BT:$BT,Costs!$D:$D,"Plan",Costs!$DB:$DB,$A37)</f>
        <v>6.7083333333333328E-2</v>
      </c>
      <c r="AP37" s="67">
        <f>SUMIFS(Costs!$BU:$BU,Costs!$D:$D,"Plan",Costs!$DB:$DB,$A37)</f>
        <v>6.7083333333333328E-2</v>
      </c>
      <c r="AQ37" s="67">
        <f>SUMIFS(Costs!$BV:$BV,Costs!$D:$D,"Plan",Costs!$DB:$DB,$A37)</f>
        <v>6.7083333333333328E-2</v>
      </c>
      <c r="AR37" s="67">
        <f>SUMIFS(Costs!$BW:$BW,Costs!$D:$D,"Plan",Costs!$DB:$DB,$A37)</f>
        <v>6.7083333333333328E-2</v>
      </c>
      <c r="AS37" s="67">
        <f>SUMIFS(Costs!$BX:$BX,Costs!$D:$D,"Plan",Costs!$DB:$DB,$A37)</f>
        <v>6.7083333333333328E-2</v>
      </c>
      <c r="AT37" s="67">
        <f>SUMIFS(Costs!$BY:$BY,Costs!$D:$D,"Plan",Costs!$DB:$DB,$A37)</f>
        <v>6.7083333333333328E-2</v>
      </c>
      <c r="AU37" s="67">
        <f>SUMIFS(Costs!$BZ:$BZ,Costs!$D:$D,"Plan",Costs!$DB:$DB,$A37)</f>
        <v>6.7083333333333328E-2</v>
      </c>
      <c r="AV37" s="67">
        <f>SUMIFS(Costs!$CA:$CA,Costs!$D:$D,"Plan",Costs!$DB:$DB,$A37)</f>
        <v>6.7083333333333328E-2</v>
      </c>
      <c r="AW37" s="67">
        <f>SUMIFS(Costs!$CB:$CB,Costs!$D:$D,"Plan",Costs!$DB:$DB,$A37)</f>
        <v>6.7083333333333328E-2</v>
      </c>
      <c r="AX37" s="67">
        <f>SUMIFS(Costs!$CC:$CC,Costs!$D:$D,"Plan",Costs!$DB:$DB,$A37)</f>
        <v>6.7083333333333328E-2</v>
      </c>
      <c r="AY37" s="67">
        <f>SUMIFS(Costs!$CD:$CD,Costs!$D:$D,"Plan",Costs!$DB:$DB,$A37)</f>
        <v>6.7083333333333328E-2</v>
      </c>
      <c r="AZ37" s="67">
        <f>SUMIFS(Costs!$CE:$CE,Costs!$D:$D,"Plan",Costs!$DB:$DB,$A37)</f>
        <v>6.7083333333333328E-2</v>
      </c>
      <c r="BA37" s="67">
        <f>SUMIFS(Costs!$CF:$CF,Costs!$D:$D,"Plan",Costs!$DB:$DB,$A37)</f>
        <v>6.7083333333333328E-2</v>
      </c>
      <c r="BB37" s="67">
        <f>SUMIFS(Costs!$CG:$CG,Costs!$D:$D,"Plan",Costs!$DB:$DB,$A37)</f>
        <v>6.7083333333333328E-2</v>
      </c>
      <c r="BC37" s="67">
        <f>SUMIFS(Costs!$CH:$CH,Costs!$D:$D,"Plan",Costs!$DB:$DB,$A37)</f>
        <v>6.7083333333333328E-2</v>
      </c>
      <c r="BD37" s="67">
        <f>SUMIFS(Costs!$CI:$CI,Costs!$D:$D,"Plan",Costs!$DB:$DB,$A37)</f>
        <v>6.7083333333333328E-2</v>
      </c>
      <c r="BE37" s="67">
        <f>SUMIFS(Costs!$CJ:$CJ,Costs!$D:$D,"Plan",Costs!$DB:$DB,$A37)</f>
        <v>6.7083333333333328E-2</v>
      </c>
      <c r="BF37" s="67">
        <f>SUMIFS(Costs!$CK:$CK,Costs!$D:$D,"Plan",Costs!$DB:$DB,$A37)</f>
        <v>6.7083333333333328E-2</v>
      </c>
      <c r="BG37" s="67">
        <f>SUMIFS(Costs!$CL:$CL,Costs!$D:$D,"Plan",Costs!$DB:$DB,$A37)</f>
        <v>6.7083333333333328E-2</v>
      </c>
      <c r="BH37" s="67">
        <f>SUMIFS(Costs!$CM:$CM,Costs!$D:$D,"Plan",Costs!$DB:$DB,$A37)</f>
        <v>6.7083333333333328E-2</v>
      </c>
      <c r="BI37" s="67">
        <f>SUMIFS(Costs!$CN:$CN,Costs!$D:$D,"Plan",Costs!$DB:$DB,$A37)</f>
        <v>6.7083333333333328E-2</v>
      </c>
    </row>
    <row r="38" spans="1:61" x14ac:dyDescent="0.25">
      <c r="A38" s="81" t="s">
        <v>683</v>
      </c>
      <c r="B38" s="65">
        <f>SUMIFS(Costs!$AB:$AB,Costs!$D:$D,"Plan",Costs!$DB:$DB,$A38)</f>
        <v>0.68200000000000005</v>
      </c>
      <c r="C38" s="65">
        <f>SUMIFS(Costs!$AC:$AC,Costs!$D:$D,"Plan",Costs!$DB:$DB,$A38)</f>
        <v>0.97099999999999997</v>
      </c>
      <c r="D38" s="65">
        <f>SUMIFS(Costs!$AD:$AD,Costs!$D:$D,"Plan",Costs!$DB:$DB,$A38)</f>
        <v>0.97099999999999997</v>
      </c>
      <c r="E38" s="65">
        <f>SUMIFS(Costs!$AE:$AE,Costs!$D:$D,"Plan",Costs!$DB:$DB,$A38)</f>
        <v>0.97099999999999997</v>
      </c>
      <c r="F38" s="65">
        <f>SUMIFS(Costs!$AF:$AF,Costs!$D:$D,"Plan",Costs!$DB:$DB,$A38)</f>
        <v>0.97099999999999997</v>
      </c>
      <c r="G38" s="82"/>
      <c r="H38" s="65">
        <f>SUMIFS(Costs!$AM:$AM,Costs!$D:$D,"Plan",Costs!$DB:$DB,$A38)</f>
        <v>0</v>
      </c>
      <c r="I38" s="65">
        <f>SUMIFS(Costs!$AN:$AN,Costs!$D:$D,"Plan",Costs!$DB:$DB,$A38)</f>
        <v>0</v>
      </c>
      <c r="J38" s="65">
        <f>SUMIFS(Costs!$AO:$AO,Costs!$D:$D,"Plan",Costs!$DB:$DB,$A38)</f>
        <v>0</v>
      </c>
      <c r="K38" s="65">
        <f>SUMIFS(Costs!$AP:$AP,Costs!$D:$D,"Plan",Costs!$DB:$DB,$A38)</f>
        <v>0</v>
      </c>
      <c r="L38" s="65">
        <f>SUMIFS(Costs!$AQ:$AQ,Costs!$D:$D,"Plan",Costs!$DB:$DB,$A38)</f>
        <v>0</v>
      </c>
      <c r="M38" s="65">
        <f>SUMIFS(Costs!$AR:$AR,Costs!$D:$D,"Plan",Costs!$DB:$DB,$A38)</f>
        <v>0.68200000000000005</v>
      </c>
      <c r="N38" s="65">
        <f>SUMIFS(Costs!$AS:$AS,Costs!$D:$D,"Plan",Costs!$DB:$DB,$A38)</f>
        <v>6.3416666666666663E-2</v>
      </c>
      <c r="O38" s="65">
        <f>SUMIFS(Costs!$AT:$AT,Costs!$D:$D,"Plan",Costs!$DB:$DB,$A38)</f>
        <v>6.3416666666666663E-2</v>
      </c>
      <c r="P38" s="65">
        <f>SUMIFS(Costs!$AU:$AU,Costs!$D:$D,"Plan",Costs!$DB:$DB,$A38)</f>
        <v>6.3416666666666663E-2</v>
      </c>
      <c r="Q38" s="65">
        <f>SUMIFS(Costs!$AV:$AV,Costs!$D:$D,"Plan",Costs!$DB:$DB,$A38)</f>
        <v>6.3416666666666663E-2</v>
      </c>
      <c r="R38" s="65">
        <f>SUMIFS(Costs!$AW:$AW,Costs!$D:$D,"Plan",Costs!$DB:$DB,$A38)</f>
        <v>7.8416666666666662E-2</v>
      </c>
      <c r="S38" s="65">
        <f>SUMIFS(Costs!$AX:$AX,Costs!$D:$D,"Plan",Costs!$DB:$DB,$A38)</f>
        <v>9.1273809523809521E-2</v>
      </c>
      <c r="T38" s="65">
        <f>SUMIFS(Costs!$AY:$AY,Costs!$D:$D,"Plan",Costs!$DB:$DB,$A38)</f>
        <v>9.1273809523809521E-2</v>
      </c>
      <c r="U38" s="65">
        <f>SUMIFS(Costs!$AZ:$AZ,Costs!$D:$D,"Plan",Costs!$DB:$DB,$A38)</f>
        <v>9.1273809523809521E-2</v>
      </c>
      <c r="V38" s="65">
        <f>SUMIFS(Costs!$BA:$BA,Costs!$D:$D,"Plan",Costs!$DB:$DB,$A38)</f>
        <v>9.1273809523809521E-2</v>
      </c>
      <c r="W38" s="65">
        <f>SUMIFS(Costs!$BB:$BB,Costs!$D:$D,"Plan",Costs!$DB:$DB,$A38)</f>
        <v>9.1273809523809521E-2</v>
      </c>
      <c r="X38" s="65">
        <f>SUMIFS(Costs!$BC:$BC,Costs!$D:$D,"Plan",Costs!$DB:$DB,$A38)</f>
        <v>9.1273809523809521E-2</v>
      </c>
      <c r="Y38" s="65">
        <f>SUMIFS(Costs!$BD:$BD,Costs!$D:$D,"Plan",Costs!$DB:$DB,$A38)</f>
        <v>9.1273809523809521E-2</v>
      </c>
      <c r="Z38" s="65">
        <f>SUMIFS(Costs!$BE:$BE,Costs!$D:$D,"Plan",Costs!$DB:$DB,$A38)</f>
        <v>8.0916666666666665E-2</v>
      </c>
      <c r="AA38" s="65">
        <f>SUMIFS(Costs!$BF:$BF,Costs!$D:$D,"Plan",Costs!$DB:$DB,$A38)</f>
        <v>8.0916666666666665E-2</v>
      </c>
      <c r="AB38" s="65">
        <f>SUMIFS(Costs!$BG:$BG,Costs!$D:$D,"Plan",Costs!$DB:$DB,$A38)</f>
        <v>8.0916666666666665E-2</v>
      </c>
      <c r="AC38" s="65">
        <f>SUMIFS(Costs!$BH:$BH,Costs!$D:$D,"Plan",Costs!$DB:$DB,$A38)</f>
        <v>8.0916666666666665E-2</v>
      </c>
      <c r="AD38" s="65">
        <f>SUMIFS(Costs!$BI:$BI,Costs!$D:$D,"Plan",Costs!$DB:$DB,$A38)</f>
        <v>8.0916666666666665E-2</v>
      </c>
      <c r="AE38" s="65">
        <f>SUMIFS(Costs!$BJ:$BJ,Costs!$D:$D,"Plan",Costs!$DB:$DB,$A38)</f>
        <v>8.0916666666666665E-2</v>
      </c>
      <c r="AF38" s="65">
        <f>SUMIFS(Costs!$BK:$BK,Costs!$D:$D,"Plan",Costs!$DB:$DB,$A38)</f>
        <v>8.0916666666666665E-2</v>
      </c>
      <c r="AG38" s="65">
        <f>SUMIFS(Costs!$BL:$BL,Costs!$D:$D,"Plan",Costs!$DB:$DB,$A38)</f>
        <v>8.0916666666666665E-2</v>
      </c>
      <c r="AH38" s="65">
        <f>SUMIFS(Costs!$BM:$BM,Costs!$D:$D,"Plan",Costs!$DB:$DB,$A38)</f>
        <v>8.0916666666666665E-2</v>
      </c>
      <c r="AI38" s="65">
        <f>SUMIFS(Costs!$BN:$BN,Costs!$D:$D,"Plan",Costs!$DB:$DB,$A38)</f>
        <v>8.0916666666666665E-2</v>
      </c>
      <c r="AJ38" s="65">
        <f>SUMIFS(Costs!$BO:$BO,Costs!$D:$D,"Plan",Costs!$DB:$DB,$A38)</f>
        <v>8.0916666666666665E-2</v>
      </c>
      <c r="AK38" s="65">
        <f>SUMIFS(Costs!$BP:$BP,Costs!$D:$D,"Plan",Costs!$DB:$DB,$A38)</f>
        <v>8.0916666666666665E-2</v>
      </c>
      <c r="AL38" s="65">
        <f>SUMIFS(Costs!$BQ:$BQ,Costs!$D:$D,"Plan",Costs!$DB:$DB,$A38)</f>
        <v>8.0916666666666665E-2</v>
      </c>
      <c r="AM38" s="65">
        <f>SUMIFS(Costs!$BR:$BR,Costs!$D:$D,"Plan",Costs!$DB:$DB,$A38)</f>
        <v>8.0916666666666665E-2</v>
      </c>
      <c r="AN38" s="65">
        <f>SUMIFS(Costs!$BS:$BS,Costs!$D:$D,"Plan",Costs!$DB:$DB,$A38)</f>
        <v>8.0916666666666665E-2</v>
      </c>
      <c r="AO38" s="65">
        <f>SUMIFS(Costs!$BT:$BT,Costs!$D:$D,"Plan",Costs!$DB:$DB,$A38)</f>
        <v>8.0916666666666665E-2</v>
      </c>
      <c r="AP38" s="65">
        <f>SUMIFS(Costs!$BU:$BU,Costs!$D:$D,"Plan",Costs!$DB:$DB,$A38)</f>
        <v>8.0916666666666665E-2</v>
      </c>
      <c r="AQ38" s="65">
        <f>SUMIFS(Costs!$BV:$BV,Costs!$D:$D,"Plan",Costs!$DB:$DB,$A38)</f>
        <v>8.0916666666666665E-2</v>
      </c>
      <c r="AR38" s="65">
        <f>SUMIFS(Costs!$BW:$BW,Costs!$D:$D,"Plan",Costs!$DB:$DB,$A38)</f>
        <v>8.0916666666666665E-2</v>
      </c>
      <c r="AS38" s="65">
        <f>SUMIFS(Costs!$BX:$BX,Costs!$D:$D,"Plan",Costs!$DB:$DB,$A38)</f>
        <v>8.0916666666666665E-2</v>
      </c>
      <c r="AT38" s="65">
        <f>SUMIFS(Costs!$BY:$BY,Costs!$D:$D,"Plan",Costs!$DB:$DB,$A38)</f>
        <v>8.0916666666666665E-2</v>
      </c>
      <c r="AU38" s="65">
        <f>SUMIFS(Costs!$BZ:$BZ,Costs!$D:$D,"Plan",Costs!$DB:$DB,$A38)</f>
        <v>8.0916666666666665E-2</v>
      </c>
      <c r="AV38" s="65">
        <f>SUMIFS(Costs!$CA:$CA,Costs!$D:$D,"Plan",Costs!$DB:$DB,$A38)</f>
        <v>8.0916666666666665E-2</v>
      </c>
      <c r="AW38" s="65">
        <f>SUMIFS(Costs!$CB:$CB,Costs!$D:$D,"Plan",Costs!$DB:$DB,$A38)</f>
        <v>8.0916666666666665E-2</v>
      </c>
      <c r="AX38" s="65">
        <f>SUMIFS(Costs!$CC:$CC,Costs!$D:$D,"Plan",Costs!$DB:$DB,$A38)</f>
        <v>8.0916666666666665E-2</v>
      </c>
      <c r="AY38" s="65">
        <f>SUMIFS(Costs!$CD:$CD,Costs!$D:$D,"Plan",Costs!$DB:$DB,$A38)</f>
        <v>8.0916666666666665E-2</v>
      </c>
      <c r="AZ38" s="65">
        <f>SUMIFS(Costs!$CE:$CE,Costs!$D:$D,"Plan",Costs!$DB:$DB,$A38)</f>
        <v>8.0916666666666665E-2</v>
      </c>
      <c r="BA38" s="65">
        <f>SUMIFS(Costs!$CF:$CF,Costs!$D:$D,"Plan",Costs!$DB:$DB,$A38)</f>
        <v>8.0916666666666665E-2</v>
      </c>
      <c r="BB38" s="65">
        <f>SUMIFS(Costs!$CG:$CG,Costs!$D:$D,"Plan",Costs!$DB:$DB,$A38)</f>
        <v>8.0916666666666665E-2</v>
      </c>
      <c r="BC38" s="65">
        <f>SUMIFS(Costs!$CH:$CH,Costs!$D:$D,"Plan",Costs!$DB:$DB,$A38)</f>
        <v>8.0916666666666665E-2</v>
      </c>
      <c r="BD38" s="65">
        <f>SUMIFS(Costs!$CI:$CI,Costs!$D:$D,"Plan",Costs!$DB:$DB,$A38)</f>
        <v>8.0916666666666665E-2</v>
      </c>
      <c r="BE38" s="65">
        <f>SUMIFS(Costs!$CJ:$CJ,Costs!$D:$D,"Plan",Costs!$DB:$DB,$A38)</f>
        <v>8.0916666666666665E-2</v>
      </c>
      <c r="BF38" s="65">
        <f>SUMIFS(Costs!$CK:$CK,Costs!$D:$D,"Plan",Costs!$DB:$DB,$A38)</f>
        <v>8.0916666666666665E-2</v>
      </c>
      <c r="BG38" s="65">
        <f>SUMIFS(Costs!$CL:$CL,Costs!$D:$D,"Plan",Costs!$DB:$DB,$A38)</f>
        <v>8.0916666666666665E-2</v>
      </c>
      <c r="BH38" s="65">
        <f>SUMIFS(Costs!$CM:$CM,Costs!$D:$D,"Plan",Costs!$DB:$DB,$A38)</f>
        <v>8.0916666666666665E-2</v>
      </c>
      <c r="BI38" s="65">
        <f>SUMIFS(Costs!$CN:$CN,Costs!$D:$D,"Plan",Costs!$DB:$DB,$A38)</f>
        <v>8.0916666666666665E-2</v>
      </c>
    </row>
    <row r="39" spans="1:61" x14ac:dyDescent="0.25">
      <c r="A39" s="83" t="s">
        <v>705</v>
      </c>
      <c r="B39" s="67">
        <f>SUMIFS(Costs!$AB:$AB,Costs!$D:$D,"Plan",Costs!$DB:$DB,$A39)</f>
        <v>0.71299999999999997</v>
      </c>
      <c r="C39" s="67">
        <f>SUMIFS(Costs!$AC:$AC,Costs!$D:$D,"Plan",Costs!$DB:$DB,$A39)</f>
        <v>0.88400000000000001</v>
      </c>
      <c r="D39" s="67">
        <f>SUMIFS(Costs!$AD:$AD,Costs!$D:$D,"Plan",Costs!$DB:$DB,$A39)</f>
        <v>0.88400000000000001</v>
      </c>
      <c r="E39" s="67">
        <f>SUMIFS(Costs!$AE:$AE,Costs!$D:$D,"Plan",Costs!$DB:$DB,$A39)</f>
        <v>0.88400000000000001</v>
      </c>
      <c r="F39" s="67">
        <f>SUMIFS(Costs!$AF:$AF,Costs!$D:$D,"Plan",Costs!$DB:$DB,$A39)</f>
        <v>0.88400000000000001</v>
      </c>
      <c r="G39" s="84"/>
      <c r="H39" s="67">
        <f>SUMIFS(Costs!$AM:$AM,Costs!$D:$D,"Plan",Costs!$DB:$DB,$A39)</f>
        <v>0</v>
      </c>
      <c r="I39" s="67">
        <f>SUMIFS(Costs!$AN:$AN,Costs!$D:$D,"Plan",Costs!$DB:$DB,$A39)</f>
        <v>0</v>
      </c>
      <c r="J39" s="67">
        <f>SUMIFS(Costs!$AO:$AO,Costs!$D:$D,"Plan",Costs!$DB:$DB,$A39)</f>
        <v>0</v>
      </c>
      <c r="K39" s="67">
        <f>SUMIFS(Costs!$AP:$AP,Costs!$D:$D,"Plan",Costs!$DB:$DB,$A39)</f>
        <v>0</v>
      </c>
      <c r="L39" s="67">
        <f>SUMIFS(Costs!$AQ:$AQ,Costs!$D:$D,"Plan",Costs!$DB:$DB,$A39)</f>
        <v>0.35649999999999998</v>
      </c>
      <c r="M39" s="67">
        <f>SUMIFS(Costs!$AR:$AR,Costs!$D:$D,"Plan",Costs!$DB:$DB,$A39)</f>
        <v>0.35649999999999998</v>
      </c>
      <c r="N39" s="67">
        <f>SUMIFS(Costs!$AS:$AS,Costs!$D:$D,"Plan",Costs!$DB:$DB,$A39)</f>
        <v>6.133333333333333E-2</v>
      </c>
      <c r="O39" s="67">
        <f>SUMIFS(Costs!$AT:$AT,Costs!$D:$D,"Plan",Costs!$DB:$DB,$A39)</f>
        <v>6.133333333333333E-2</v>
      </c>
      <c r="P39" s="67">
        <f>SUMIFS(Costs!$AU:$AU,Costs!$D:$D,"Plan",Costs!$DB:$DB,$A39)</f>
        <v>6.133333333333333E-2</v>
      </c>
      <c r="Q39" s="67">
        <f>SUMIFS(Costs!$AV:$AV,Costs!$D:$D,"Plan",Costs!$DB:$DB,$A39)</f>
        <v>6.133333333333333E-2</v>
      </c>
      <c r="R39" s="67">
        <f>SUMIFS(Costs!$AW:$AW,Costs!$D:$D,"Plan",Costs!$DB:$DB,$A39)</f>
        <v>6.133333333333333E-2</v>
      </c>
      <c r="S39" s="67">
        <f>SUMIFS(Costs!$AX:$AX,Costs!$D:$D,"Plan",Costs!$DB:$DB,$A39)</f>
        <v>7.3476190476190473E-2</v>
      </c>
      <c r="T39" s="67">
        <f>SUMIFS(Costs!$AY:$AY,Costs!$D:$D,"Plan",Costs!$DB:$DB,$A39)</f>
        <v>7.3476190476190473E-2</v>
      </c>
      <c r="U39" s="67">
        <f>SUMIFS(Costs!$AZ:$AZ,Costs!$D:$D,"Plan",Costs!$DB:$DB,$A39)</f>
        <v>7.3476190476190473E-2</v>
      </c>
      <c r="V39" s="67">
        <f>SUMIFS(Costs!$BA:$BA,Costs!$D:$D,"Plan",Costs!$DB:$DB,$A39)</f>
        <v>7.3476190476190473E-2</v>
      </c>
      <c r="W39" s="67">
        <f>SUMIFS(Costs!$BB:$BB,Costs!$D:$D,"Plan",Costs!$DB:$DB,$A39)</f>
        <v>7.3476190476190473E-2</v>
      </c>
      <c r="X39" s="67">
        <f>SUMIFS(Costs!$BC:$BC,Costs!$D:$D,"Plan",Costs!$DB:$DB,$A39)</f>
        <v>0.10497619047619047</v>
      </c>
      <c r="Y39" s="67">
        <f>SUMIFS(Costs!$BD:$BD,Costs!$D:$D,"Plan",Costs!$DB:$DB,$A39)</f>
        <v>0.10497619047619047</v>
      </c>
      <c r="Z39" s="67">
        <f>SUMIFS(Costs!$BE:$BE,Costs!$D:$D,"Plan",Costs!$DB:$DB,$A39)</f>
        <v>7.3666666666666658E-2</v>
      </c>
      <c r="AA39" s="67">
        <f>SUMIFS(Costs!$BF:$BF,Costs!$D:$D,"Plan",Costs!$DB:$DB,$A39)</f>
        <v>7.3666666666666658E-2</v>
      </c>
      <c r="AB39" s="67">
        <f>SUMIFS(Costs!$BG:$BG,Costs!$D:$D,"Plan",Costs!$DB:$DB,$A39)</f>
        <v>7.3666666666666658E-2</v>
      </c>
      <c r="AC39" s="67">
        <f>SUMIFS(Costs!$BH:$BH,Costs!$D:$D,"Plan",Costs!$DB:$DB,$A39)</f>
        <v>7.3666666666666658E-2</v>
      </c>
      <c r="AD39" s="67">
        <f>SUMIFS(Costs!$BI:$BI,Costs!$D:$D,"Plan",Costs!$DB:$DB,$A39)</f>
        <v>7.3666666666666658E-2</v>
      </c>
      <c r="AE39" s="67">
        <f>SUMIFS(Costs!$BJ:$BJ,Costs!$D:$D,"Plan",Costs!$DB:$DB,$A39)</f>
        <v>7.3666666666666658E-2</v>
      </c>
      <c r="AF39" s="67">
        <f>SUMIFS(Costs!$BK:$BK,Costs!$D:$D,"Plan",Costs!$DB:$DB,$A39)</f>
        <v>7.3666666666666658E-2</v>
      </c>
      <c r="AG39" s="67">
        <f>SUMIFS(Costs!$BL:$BL,Costs!$D:$D,"Plan",Costs!$DB:$DB,$A39)</f>
        <v>7.3666666666666658E-2</v>
      </c>
      <c r="AH39" s="67">
        <f>SUMIFS(Costs!$BM:$BM,Costs!$D:$D,"Plan",Costs!$DB:$DB,$A39)</f>
        <v>7.3666666666666658E-2</v>
      </c>
      <c r="AI39" s="67">
        <f>SUMIFS(Costs!$BN:$BN,Costs!$D:$D,"Plan",Costs!$DB:$DB,$A39)</f>
        <v>7.3666666666666658E-2</v>
      </c>
      <c r="AJ39" s="67">
        <f>SUMIFS(Costs!$BO:$BO,Costs!$D:$D,"Plan",Costs!$DB:$DB,$A39)</f>
        <v>7.3666666666666658E-2</v>
      </c>
      <c r="AK39" s="67">
        <f>SUMIFS(Costs!$BP:$BP,Costs!$D:$D,"Plan",Costs!$DB:$DB,$A39)</f>
        <v>7.3666666666666658E-2</v>
      </c>
      <c r="AL39" s="67">
        <f>SUMIFS(Costs!$BQ:$BQ,Costs!$D:$D,"Plan",Costs!$DB:$DB,$A39)</f>
        <v>7.3666666666666658E-2</v>
      </c>
      <c r="AM39" s="67">
        <f>SUMIFS(Costs!$BR:$BR,Costs!$D:$D,"Plan",Costs!$DB:$DB,$A39)</f>
        <v>7.3666666666666658E-2</v>
      </c>
      <c r="AN39" s="67">
        <f>SUMIFS(Costs!$BS:$BS,Costs!$D:$D,"Plan",Costs!$DB:$DB,$A39)</f>
        <v>7.3666666666666658E-2</v>
      </c>
      <c r="AO39" s="67">
        <f>SUMIFS(Costs!$BT:$BT,Costs!$D:$D,"Plan",Costs!$DB:$DB,$A39)</f>
        <v>7.3666666666666658E-2</v>
      </c>
      <c r="AP39" s="67">
        <f>SUMIFS(Costs!$BU:$BU,Costs!$D:$D,"Plan",Costs!$DB:$DB,$A39)</f>
        <v>7.3666666666666658E-2</v>
      </c>
      <c r="AQ39" s="67">
        <f>SUMIFS(Costs!$BV:$BV,Costs!$D:$D,"Plan",Costs!$DB:$DB,$A39)</f>
        <v>7.3666666666666658E-2</v>
      </c>
      <c r="AR39" s="67">
        <f>SUMIFS(Costs!$BW:$BW,Costs!$D:$D,"Plan",Costs!$DB:$DB,$A39)</f>
        <v>7.3666666666666658E-2</v>
      </c>
      <c r="AS39" s="67">
        <f>SUMIFS(Costs!$BX:$BX,Costs!$D:$D,"Plan",Costs!$DB:$DB,$A39)</f>
        <v>7.3666666666666658E-2</v>
      </c>
      <c r="AT39" s="67">
        <f>SUMIFS(Costs!$BY:$BY,Costs!$D:$D,"Plan",Costs!$DB:$DB,$A39)</f>
        <v>7.3666666666666658E-2</v>
      </c>
      <c r="AU39" s="67">
        <f>SUMIFS(Costs!$BZ:$BZ,Costs!$D:$D,"Plan",Costs!$DB:$DB,$A39)</f>
        <v>7.3666666666666658E-2</v>
      </c>
      <c r="AV39" s="67">
        <f>SUMIFS(Costs!$CA:$CA,Costs!$D:$D,"Plan",Costs!$DB:$DB,$A39)</f>
        <v>7.3666666666666658E-2</v>
      </c>
      <c r="AW39" s="67">
        <f>SUMIFS(Costs!$CB:$CB,Costs!$D:$D,"Plan",Costs!$DB:$DB,$A39)</f>
        <v>7.3666666666666658E-2</v>
      </c>
      <c r="AX39" s="67">
        <f>SUMIFS(Costs!$CC:$CC,Costs!$D:$D,"Plan",Costs!$DB:$DB,$A39)</f>
        <v>7.3666666666666658E-2</v>
      </c>
      <c r="AY39" s="67">
        <f>SUMIFS(Costs!$CD:$CD,Costs!$D:$D,"Plan",Costs!$DB:$DB,$A39)</f>
        <v>7.3666666666666658E-2</v>
      </c>
      <c r="AZ39" s="67">
        <f>SUMIFS(Costs!$CE:$CE,Costs!$D:$D,"Plan",Costs!$DB:$DB,$A39)</f>
        <v>7.3666666666666658E-2</v>
      </c>
      <c r="BA39" s="67">
        <f>SUMIFS(Costs!$CF:$CF,Costs!$D:$D,"Plan",Costs!$DB:$DB,$A39)</f>
        <v>7.3666666666666658E-2</v>
      </c>
      <c r="BB39" s="67">
        <f>SUMIFS(Costs!$CG:$CG,Costs!$D:$D,"Plan",Costs!$DB:$DB,$A39)</f>
        <v>7.3666666666666658E-2</v>
      </c>
      <c r="BC39" s="67">
        <f>SUMIFS(Costs!$CH:$CH,Costs!$D:$D,"Plan",Costs!$DB:$DB,$A39)</f>
        <v>7.3666666666666658E-2</v>
      </c>
      <c r="BD39" s="67">
        <f>SUMIFS(Costs!$CI:$CI,Costs!$D:$D,"Plan",Costs!$DB:$DB,$A39)</f>
        <v>7.3666666666666658E-2</v>
      </c>
      <c r="BE39" s="67">
        <f>SUMIFS(Costs!$CJ:$CJ,Costs!$D:$D,"Plan",Costs!$DB:$DB,$A39)</f>
        <v>7.3666666666666658E-2</v>
      </c>
      <c r="BF39" s="67">
        <f>SUMIFS(Costs!$CK:$CK,Costs!$D:$D,"Plan",Costs!$DB:$DB,$A39)</f>
        <v>7.3666666666666658E-2</v>
      </c>
      <c r="BG39" s="67">
        <f>SUMIFS(Costs!$CL:$CL,Costs!$D:$D,"Plan",Costs!$DB:$DB,$A39)</f>
        <v>7.3666666666666658E-2</v>
      </c>
      <c r="BH39" s="67">
        <f>SUMIFS(Costs!$CM:$CM,Costs!$D:$D,"Plan",Costs!$DB:$DB,$A39)</f>
        <v>7.3666666666666658E-2</v>
      </c>
      <c r="BI39" s="67">
        <f>SUMIFS(Costs!$CN:$CN,Costs!$D:$D,"Plan",Costs!$DB:$DB,$A39)</f>
        <v>7.3666666666666658E-2</v>
      </c>
    </row>
    <row r="40" spans="1:61" x14ac:dyDescent="0.25">
      <c r="A40" s="69" t="s">
        <v>1113</v>
      </c>
      <c r="B40" s="70">
        <f>SUM(B36:B39)</f>
        <v>2.2050000000000001</v>
      </c>
      <c r="C40" s="70">
        <f>SUM(C36:C39)</f>
        <v>3.5430000000000001</v>
      </c>
      <c r="D40" s="70">
        <f>SUM(D36:D39)</f>
        <v>3.56</v>
      </c>
      <c r="E40" s="70">
        <f>SUM(E36:E39)</f>
        <v>3.56</v>
      </c>
      <c r="F40" s="70">
        <f>SUM(F36:F39)</f>
        <v>3.56</v>
      </c>
      <c r="G40" s="85"/>
      <c r="H40" s="70">
        <f>SUM(H36:H39)</f>
        <v>0</v>
      </c>
      <c r="I40" s="70">
        <f>SUM(I36:I39)</f>
        <v>0</v>
      </c>
      <c r="J40" s="70">
        <f>SUM(J36:J39)</f>
        <v>0</v>
      </c>
      <c r="K40" s="70">
        <f>SUM(K36:K39)</f>
        <v>0.03</v>
      </c>
      <c r="L40" s="70">
        <f>SUM(L36:L39)</f>
        <v>0.4365</v>
      </c>
      <c r="M40" s="70">
        <f>SUM(M36:M39)</f>
        <v>1.7385000000000002</v>
      </c>
      <c r="N40" s="70">
        <f>SUM(N36:N39)</f>
        <v>0.19391666666666665</v>
      </c>
      <c r="O40" s="70">
        <f>SUM(O36:O39)</f>
        <v>0.19391666666666665</v>
      </c>
      <c r="P40" s="70">
        <f>SUM(P36:P39)</f>
        <v>0.20391666666666666</v>
      </c>
      <c r="Q40" s="70">
        <f>SUM(Q36:Q39)</f>
        <v>0.21124999999999999</v>
      </c>
      <c r="R40" s="70">
        <f>SUM(R36:R39)</f>
        <v>0.22624999999999998</v>
      </c>
      <c r="S40" s="70">
        <f>SUM(S36:S39)</f>
        <v>0.25124999999999997</v>
      </c>
      <c r="T40" s="70">
        <f>SUM(T36:T39)</f>
        <v>0.25124999999999997</v>
      </c>
      <c r="U40" s="70">
        <f>SUM(U36:U39)</f>
        <v>0.25124999999999997</v>
      </c>
      <c r="V40" s="70">
        <f>SUM(V36:V39)</f>
        <v>0.39800000000000002</v>
      </c>
      <c r="W40" s="70">
        <f>SUM(W36:W39)</f>
        <v>0.39800000000000002</v>
      </c>
      <c r="X40" s="70">
        <f>SUM(X36:X39)</f>
        <v>0.42949999999999999</v>
      </c>
      <c r="Y40" s="70">
        <f>SUM(Y36:Y39)</f>
        <v>0.53449999999999998</v>
      </c>
      <c r="Z40" s="70">
        <f>SUM(Z36:Z39)</f>
        <v>0.29666666666666663</v>
      </c>
      <c r="AA40" s="70">
        <f>SUM(AA36:AA39)</f>
        <v>0.29666666666666663</v>
      </c>
      <c r="AB40" s="70">
        <f>SUM(AB36:AB39)</f>
        <v>0.29666666666666663</v>
      </c>
      <c r="AC40" s="70">
        <f>SUM(AC36:AC39)</f>
        <v>0.29666666666666663</v>
      </c>
      <c r="AD40" s="70">
        <f>SUM(AD36:AD39)</f>
        <v>0.29666666666666663</v>
      </c>
      <c r="AE40" s="70">
        <f>SUM(AE36:AE39)</f>
        <v>0.29666666666666663</v>
      </c>
      <c r="AF40" s="70">
        <f>SUM(AF36:AF39)</f>
        <v>0.29666666666666663</v>
      </c>
      <c r="AG40" s="70">
        <f>SUM(AG36:AG39)</f>
        <v>0.29666666666666663</v>
      </c>
      <c r="AH40" s="70">
        <f>SUM(AH36:AH39)</f>
        <v>0.29666666666666663</v>
      </c>
      <c r="AI40" s="70">
        <f>SUM(AI36:AI39)</f>
        <v>0.29666666666666663</v>
      </c>
      <c r="AJ40" s="70">
        <f>SUM(AJ36:AJ39)</f>
        <v>0.29666666666666663</v>
      </c>
      <c r="AK40" s="70">
        <f>SUM(AK36:AK39)</f>
        <v>0.29666666666666663</v>
      </c>
      <c r="AL40" s="70">
        <f>SUM(AL36:AL39)</f>
        <v>0.29666666666666663</v>
      </c>
      <c r="AM40" s="70">
        <f>SUM(AM36:AM39)</f>
        <v>0.29666666666666663</v>
      </c>
      <c r="AN40" s="70">
        <f>SUM(AN36:AN39)</f>
        <v>0.29666666666666663</v>
      </c>
      <c r="AO40" s="70">
        <f>SUM(AO36:AO39)</f>
        <v>0.29666666666666663</v>
      </c>
      <c r="AP40" s="70">
        <f>SUM(AP36:AP39)</f>
        <v>0.29666666666666663</v>
      </c>
      <c r="AQ40" s="70">
        <f>SUM(AQ36:AQ39)</f>
        <v>0.29666666666666663</v>
      </c>
      <c r="AR40" s="70">
        <f>SUM(AR36:AR39)</f>
        <v>0.29666666666666663</v>
      </c>
      <c r="AS40" s="70">
        <f>SUM(AS36:AS39)</f>
        <v>0.29666666666666663</v>
      </c>
      <c r="AT40" s="70">
        <f>SUM(AT36:AT39)</f>
        <v>0.29666666666666663</v>
      </c>
      <c r="AU40" s="70">
        <f>SUM(AU36:AU39)</f>
        <v>0.29666666666666663</v>
      </c>
      <c r="AV40" s="70">
        <f>SUM(AV36:AV39)</f>
        <v>0.29666666666666663</v>
      </c>
      <c r="AW40" s="70">
        <f>SUM(AW36:AW39)</f>
        <v>0.29666666666666663</v>
      </c>
      <c r="AX40" s="70">
        <f>SUM(AX36:AX39)</f>
        <v>0.29666666666666663</v>
      </c>
      <c r="AY40" s="70">
        <f>SUM(AY36:AY39)</f>
        <v>0.29666666666666663</v>
      </c>
      <c r="AZ40" s="70">
        <f>SUM(AZ36:AZ39)</f>
        <v>0.29666666666666663</v>
      </c>
      <c r="BA40" s="70">
        <f>SUM(BA36:BA39)</f>
        <v>0.29666666666666663</v>
      </c>
      <c r="BB40" s="70">
        <f>SUM(BB36:BB39)</f>
        <v>0.29666666666666663</v>
      </c>
      <c r="BC40" s="70">
        <f>SUM(BC36:BC39)</f>
        <v>0.29666666666666663</v>
      </c>
      <c r="BD40" s="70">
        <f>SUM(BD36:BD39)</f>
        <v>0.29666666666666663</v>
      </c>
      <c r="BE40" s="70">
        <f>SUM(BE36:BE39)</f>
        <v>0.29666666666666663</v>
      </c>
      <c r="BF40" s="70">
        <f>SUM(BF36:BF39)</f>
        <v>0.29666666666666663</v>
      </c>
      <c r="BG40" s="70">
        <f>SUM(BG36:BG39)</f>
        <v>0.29666666666666663</v>
      </c>
      <c r="BH40" s="70">
        <f>SUM(BH36:BH39)</f>
        <v>0.29666666666666663</v>
      </c>
      <c r="BI40" s="70">
        <f>SUM(BI36:BI39)</f>
        <v>0.29666666666666663</v>
      </c>
    </row>
    <row r="41" spans="1:61" x14ac:dyDescent="0.25">
      <c r="A41" s="90" t="s">
        <v>1114</v>
      </c>
      <c r="B41" s="90"/>
      <c r="C41" s="90"/>
      <c r="D41" s="90"/>
      <c r="E41" s="90"/>
      <c r="F41" s="90"/>
      <c r="G41" s="90"/>
      <c r="H41" s="90"/>
      <c r="I41" s="90"/>
      <c r="J41" s="90"/>
      <c r="K41" s="90"/>
      <c r="L41" s="90"/>
      <c r="M41" s="90"/>
      <c r="N41" s="90"/>
      <c r="O41" s="90"/>
      <c r="P41" s="90"/>
      <c r="Q41" s="90"/>
      <c r="R41" s="90"/>
      <c r="S41" s="90"/>
      <c r="T41" s="90"/>
      <c r="U41" s="90"/>
      <c r="V41" s="90"/>
      <c r="W41" s="90"/>
      <c r="X41" s="90"/>
      <c r="Y41" s="90"/>
      <c r="Z41" s="90"/>
      <c r="AA41" s="90"/>
      <c r="AB41" s="90"/>
      <c r="AC41" s="90"/>
      <c r="AD41" s="90"/>
      <c r="AE41" s="90"/>
      <c r="AF41" s="90"/>
      <c r="AG41" s="90"/>
      <c r="AH41" s="90"/>
      <c r="AI41" s="90"/>
      <c r="AJ41" s="90"/>
      <c r="AK41" s="90"/>
      <c r="AL41" s="90"/>
      <c r="AM41" s="90"/>
      <c r="AN41" s="90"/>
      <c r="AO41" s="90"/>
      <c r="AP41" s="90"/>
      <c r="AQ41" s="90"/>
      <c r="AR41" s="90"/>
      <c r="AS41" s="90"/>
      <c r="AT41" s="90"/>
      <c r="AU41" s="90"/>
      <c r="AV41" s="90"/>
      <c r="AW41" s="90"/>
      <c r="AX41" s="90"/>
      <c r="AY41" s="90"/>
      <c r="AZ41" s="90"/>
      <c r="BA41" s="90"/>
      <c r="BB41" s="90"/>
      <c r="BC41" s="90"/>
      <c r="BD41" s="90"/>
      <c r="BE41" s="90"/>
      <c r="BF41" s="90"/>
      <c r="BG41" s="90"/>
      <c r="BH41" s="90"/>
      <c r="BI41" s="90"/>
    </row>
    <row r="42" spans="1:61" x14ac:dyDescent="0.25">
      <c r="A42" s="81" t="s">
        <v>21</v>
      </c>
      <c r="B42" s="65">
        <f>B30-B36</f>
        <v>0.8</v>
      </c>
      <c r="C42" s="65">
        <f>C30-C36</f>
        <v>3.44</v>
      </c>
      <c r="D42" s="65">
        <f>D30-D36</f>
        <v>4.88</v>
      </c>
      <c r="E42" s="65">
        <f>E30-E36</f>
        <v>4.88</v>
      </c>
      <c r="F42" s="65">
        <f>F30-F36</f>
        <v>4.88</v>
      </c>
      <c r="G42" s="82"/>
      <c r="H42" s="65">
        <f>H30-H36</f>
        <v>0</v>
      </c>
      <c r="I42" s="65">
        <f>I30-I36</f>
        <v>0</v>
      </c>
      <c r="J42" s="65">
        <f>J30-J36</f>
        <v>0</v>
      </c>
      <c r="K42" s="65">
        <f>K30-K36</f>
        <v>0</v>
      </c>
      <c r="L42" s="65">
        <f>L30-L36</f>
        <v>0.56999999999999995</v>
      </c>
      <c r="M42" s="65">
        <f>M30-M36</f>
        <v>0.22999999999999998</v>
      </c>
      <c r="N42" s="65">
        <f>N30-N36</f>
        <v>0.15333333333333332</v>
      </c>
      <c r="O42" s="65">
        <f>O30-O36</f>
        <v>0.15333333333333332</v>
      </c>
      <c r="P42" s="65">
        <f>P30-P36</f>
        <v>0.20533333333333337</v>
      </c>
      <c r="Q42" s="65">
        <f>Q30-Q36</f>
        <v>0.23200000000000004</v>
      </c>
      <c r="R42" s="65">
        <f>R30-R36</f>
        <v>0.23200000000000004</v>
      </c>
      <c r="S42" s="65">
        <f>S30-S36</f>
        <v>0.23200000000000004</v>
      </c>
      <c r="T42" s="65">
        <f>T30-T36</f>
        <v>0.23200000000000004</v>
      </c>
      <c r="U42" s="65">
        <f>U30-U36</f>
        <v>0.23200000000000004</v>
      </c>
      <c r="V42" s="65">
        <f>V30-V36</f>
        <v>0.32199999999999995</v>
      </c>
      <c r="W42" s="65">
        <f>W30-W36</f>
        <v>0.32199999999999995</v>
      </c>
      <c r="X42" s="65">
        <f>X30-X36</f>
        <v>0.32199999999999995</v>
      </c>
      <c r="Y42" s="65">
        <f>Y30-Y36</f>
        <v>0.80199999999999982</v>
      </c>
      <c r="Z42" s="65">
        <f>Z30-Z36</f>
        <v>0.40666666666666668</v>
      </c>
      <c r="AA42" s="65">
        <f>AA30-AA36</f>
        <v>0.40666666666666668</v>
      </c>
      <c r="AB42" s="65">
        <f>AB30-AB36</f>
        <v>0.40666666666666668</v>
      </c>
      <c r="AC42" s="65">
        <f>AC30-AC36</f>
        <v>0.40666666666666668</v>
      </c>
      <c r="AD42" s="65">
        <f>AD30-AD36</f>
        <v>0.40666666666666668</v>
      </c>
      <c r="AE42" s="65">
        <f>AE30-AE36</f>
        <v>0.40666666666666668</v>
      </c>
      <c r="AF42" s="65">
        <f>AF30-AF36</f>
        <v>0.40666666666666668</v>
      </c>
      <c r="AG42" s="65">
        <f>AG30-AG36</f>
        <v>0.40666666666666668</v>
      </c>
      <c r="AH42" s="65">
        <f>AH30-AH36</f>
        <v>0.40666666666666668</v>
      </c>
      <c r="AI42" s="65">
        <f>AI30-AI36</f>
        <v>0.40666666666666668</v>
      </c>
      <c r="AJ42" s="65">
        <f>AJ30-AJ36</f>
        <v>0.40666666666666668</v>
      </c>
      <c r="AK42" s="65">
        <f>AK30-AK36</f>
        <v>0.40666666666666668</v>
      </c>
      <c r="AL42" s="65">
        <f>AL30-AL36</f>
        <v>0.40666666666666668</v>
      </c>
      <c r="AM42" s="65">
        <f>AM30-AM36</f>
        <v>0.40666666666666668</v>
      </c>
      <c r="AN42" s="65">
        <f>AN30-AN36</f>
        <v>0.40666666666666668</v>
      </c>
      <c r="AO42" s="65">
        <f>AO30-AO36</f>
        <v>0.40666666666666668</v>
      </c>
      <c r="AP42" s="65">
        <f>AP30-AP36</f>
        <v>0.40666666666666668</v>
      </c>
      <c r="AQ42" s="65">
        <f>AQ30-AQ36</f>
        <v>0.40666666666666668</v>
      </c>
      <c r="AR42" s="65">
        <f>AR30-AR36</f>
        <v>0.40666666666666668</v>
      </c>
      <c r="AS42" s="65">
        <f>AS30-AS36</f>
        <v>0.40666666666666668</v>
      </c>
      <c r="AT42" s="65">
        <f>AT30-AT36</f>
        <v>0.40666666666666668</v>
      </c>
      <c r="AU42" s="65">
        <f>AU30-AU36</f>
        <v>0.40666666666666668</v>
      </c>
      <c r="AV42" s="65">
        <f>AV30-AV36</f>
        <v>0.40666666666666668</v>
      </c>
      <c r="AW42" s="65">
        <f>AW30-AW36</f>
        <v>0.40666666666666668</v>
      </c>
      <c r="AX42" s="65">
        <f>AX30-AX36</f>
        <v>0.40666666666666668</v>
      </c>
      <c r="AY42" s="65">
        <f>AY30-AY36</f>
        <v>0.40666666666666668</v>
      </c>
      <c r="AZ42" s="65">
        <f>AZ30-AZ36</f>
        <v>0.40666666666666668</v>
      </c>
      <c r="BA42" s="65">
        <f>BA30-BA36</f>
        <v>0.40666666666666668</v>
      </c>
      <c r="BB42" s="65">
        <f>BB30-BB36</f>
        <v>0.40666666666666668</v>
      </c>
      <c r="BC42" s="65">
        <f>BC30-BC36</f>
        <v>0.40666666666666668</v>
      </c>
      <c r="BD42" s="65">
        <f>BD30-BD36</f>
        <v>0.40666666666666668</v>
      </c>
      <c r="BE42" s="65">
        <f>BE30-BE36</f>
        <v>0.40666666666666668</v>
      </c>
      <c r="BF42" s="65">
        <f>BF30-BF36</f>
        <v>0.40666666666666668</v>
      </c>
      <c r="BG42" s="65">
        <f>BG30-BG36</f>
        <v>0.40666666666666668</v>
      </c>
      <c r="BH42" s="65">
        <f>BH30-BH36</f>
        <v>0.40666666666666668</v>
      </c>
      <c r="BI42" s="65">
        <f>BI30-BI36</f>
        <v>0.40666666666666668</v>
      </c>
    </row>
    <row r="43" spans="1:61" x14ac:dyDescent="0.25">
      <c r="A43" s="83" t="s">
        <v>666</v>
      </c>
      <c r="B43" s="67">
        <f>B31-B37</f>
        <v>1.026</v>
      </c>
      <c r="C43" s="67">
        <f>C31-C37</f>
        <v>2.7889999999999997</v>
      </c>
      <c r="D43" s="67">
        <f>D31-D37</f>
        <v>4.7620000000000005</v>
      </c>
      <c r="E43" s="67">
        <f>E31-E37</f>
        <v>4.7620000000000005</v>
      </c>
      <c r="F43" s="67">
        <f>F31-F37</f>
        <v>4.7620000000000005</v>
      </c>
      <c r="G43" s="84"/>
      <c r="H43" s="67">
        <f>H31-H37</f>
        <v>0</v>
      </c>
      <c r="I43" s="67">
        <f>I31-I37</f>
        <v>0</v>
      </c>
      <c r="J43" s="67">
        <f>J31-J37</f>
        <v>0</v>
      </c>
      <c r="K43" s="67">
        <f>K31-K37</f>
        <v>0.34200000000000008</v>
      </c>
      <c r="L43" s="67">
        <f>L31-L37</f>
        <v>0.34200000000000008</v>
      </c>
      <c r="M43" s="67">
        <f>M31-M37</f>
        <v>0.34200000000000008</v>
      </c>
      <c r="N43" s="67">
        <f>N31-N37</f>
        <v>0.13199999999999998</v>
      </c>
      <c r="O43" s="67">
        <f>O31-O37</f>
        <v>0.13199999999999998</v>
      </c>
      <c r="P43" s="67">
        <f>P31-P37</f>
        <v>0.13199999999999998</v>
      </c>
      <c r="Q43" s="67">
        <f>Q31-Q37</f>
        <v>0.17599999999999999</v>
      </c>
      <c r="R43" s="67">
        <f>R31-R37</f>
        <v>0.17599999999999999</v>
      </c>
      <c r="S43" s="67">
        <f>S31-S37</f>
        <v>0.17599999999999999</v>
      </c>
      <c r="T43" s="67">
        <f>T31-T37</f>
        <v>0.26800000000000002</v>
      </c>
      <c r="U43" s="67">
        <f>U31-U37</f>
        <v>0.26800000000000002</v>
      </c>
      <c r="V43" s="67">
        <f>V31-V37</f>
        <v>0.19574999999999998</v>
      </c>
      <c r="W43" s="67">
        <f>W31-W37</f>
        <v>0.19574999999999998</v>
      </c>
      <c r="X43" s="67">
        <f>X31-X37</f>
        <v>0.19574999999999998</v>
      </c>
      <c r="Y43" s="67">
        <f>Y31-Y37</f>
        <v>0.74175000000000013</v>
      </c>
      <c r="Z43" s="67">
        <f>Z31-Z37</f>
        <v>0.39683333333333337</v>
      </c>
      <c r="AA43" s="67">
        <f>AA31-AA37</f>
        <v>0.39683333333333337</v>
      </c>
      <c r="AB43" s="67">
        <f>AB31-AB37</f>
        <v>0.39683333333333337</v>
      </c>
      <c r="AC43" s="67">
        <f>AC31-AC37</f>
        <v>0.39683333333333337</v>
      </c>
      <c r="AD43" s="67">
        <f>AD31-AD37</f>
        <v>0.39683333333333337</v>
      </c>
      <c r="AE43" s="67">
        <f>AE31-AE37</f>
        <v>0.39683333333333337</v>
      </c>
      <c r="AF43" s="67">
        <f>AF31-AF37</f>
        <v>0.39683333333333337</v>
      </c>
      <c r="AG43" s="67">
        <f>AG31-AG37</f>
        <v>0.39683333333333337</v>
      </c>
      <c r="AH43" s="67">
        <f>AH31-AH37</f>
        <v>0.39683333333333337</v>
      </c>
      <c r="AI43" s="67">
        <f>AI31-AI37</f>
        <v>0.39683333333333337</v>
      </c>
      <c r="AJ43" s="67">
        <f>AJ31-AJ37</f>
        <v>0.39683333333333337</v>
      </c>
      <c r="AK43" s="67">
        <f>AK31-AK37</f>
        <v>0.39683333333333337</v>
      </c>
      <c r="AL43" s="67">
        <f>AL31-AL37</f>
        <v>0.39683333333333337</v>
      </c>
      <c r="AM43" s="67">
        <f>AM31-AM37</f>
        <v>0.39683333333333337</v>
      </c>
      <c r="AN43" s="67">
        <f>AN31-AN37</f>
        <v>0.39683333333333337</v>
      </c>
      <c r="AO43" s="67">
        <f>AO31-AO37</f>
        <v>0.39683333333333337</v>
      </c>
      <c r="AP43" s="67">
        <f>AP31-AP37</f>
        <v>0.39683333333333337</v>
      </c>
      <c r="AQ43" s="67">
        <f>AQ31-AQ37</f>
        <v>0.39683333333333337</v>
      </c>
      <c r="AR43" s="67">
        <f>AR31-AR37</f>
        <v>0.39683333333333337</v>
      </c>
      <c r="AS43" s="67">
        <f>AS31-AS37</f>
        <v>0.39683333333333337</v>
      </c>
      <c r="AT43" s="67">
        <f>AT31-AT37</f>
        <v>0.39683333333333337</v>
      </c>
      <c r="AU43" s="67">
        <f>AU31-AU37</f>
        <v>0.39683333333333337</v>
      </c>
      <c r="AV43" s="67">
        <f>AV31-AV37</f>
        <v>0.39683333333333337</v>
      </c>
      <c r="AW43" s="67">
        <f>AW31-AW37</f>
        <v>0.39683333333333337</v>
      </c>
      <c r="AX43" s="67">
        <f>AX31-AX37</f>
        <v>0.39683333333333337</v>
      </c>
      <c r="AY43" s="67">
        <f>AY31-AY37</f>
        <v>0.39683333333333337</v>
      </c>
      <c r="AZ43" s="67">
        <f>AZ31-AZ37</f>
        <v>0.39683333333333337</v>
      </c>
      <c r="BA43" s="67">
        <f>BA31-BA37</f>
        <v>0.39683333333333337</v>
      </c>
      <c r="BB43" s="67">
        <f>BB31-BB37</f>
        <v>0.39683333333333337</v>
      </c>
      <c r="BC43" s="67">
        <f>BC31-BC37</f>
        <v>0.39683333333333337</v>
      </c>
      <c r="BD43" s="67">
        <f>BD31-BD37</f>
        <v>0.39683333333333337</v>
      </c>
      <c r="BE43" s="67">
        <f>BE31-BE37</f>
        <v>0.39683333333333337</v>
      </c>
      <c r="BF43" s="67">
        <f>BF31-BF37</f>
        <v>0.39683333333333337</v>
      </c>
      <c r="BG43" s="67">
        <f>BG31-BG37</f>
        <v>0.39683333333333337</v>
      </c>
      <c r="BH43" s="67">
        <f>BH31-BH37</f>
        <v>0.39683333333333337</v>
      </c>
      <c r="BI43" s="67">
        <f>BI31-BI37</f>
        <v>0.39683333333333337</v>
      </c>
    </row>
    <row r="44" spans="1:61" x14ac:dyDescent="0.25">
      <c r="A44" s="81" t="s">
        <v>683</v>
      </c>
      <c r="B44" s="65">
        <f>B32-B38</f>
        <v>-0.37400000000000005</v>
      </c>
      <c r="C44" s="65">
        <f>C32-C38</f>
        <v>2.9499999999999993</v>
      </c>
      <c r="D44" s="65">
        <f>D32-D38</f>
        <v>4.9059999999999997</v>
      </c>
      <c r="E44" s="65">
        <f>E32-E38</f>
        <v>4.9059999999999997</v>
      </c>
      <c r="F44" s="65">
        <f>F32-F38</f>
        <v>4.9059999999999997</v>
      </c>
      <c r="G44" s="82"/>
      <c r="H44" s="65">
        <f>H32-H38</f>
        <v>0</v>
      </c>
      <c r="I44" s="65">
        <f>I32-I38</f>
        <v>0</v>
      </c>
      <c r="J44" s="65">
        <f>J32-J38</f>
        <v>0</v>
      </c>
      <c r="K44" s="65">
        <f>K32-K38</f>
        <v>0</v>
      </c>
      <c r="L44" s="65">
        <f>L32-L38</f>
        <v>0</v>
      </c>
      <c r="M44" s="65">
        <f>M32-M38</f>
        <v>-0.37400000000000005</v>
      </c>
      <c r="N44" s="65">
        <f>N32-N38</f>
        <v>3.5833333333333342E-2</v>
      </c>
      <c r="O44" s="65">
        <f>O32-O38</f>
        <v>3.5833333333333342E-2</v>
      </c>
      <c r="P44" s="65">
        <f>P32-P38</f>
        <v>3.5833333333333342E-2</v>
      </c>
      <c r="Q44" s="65">
        <f>Q32-Q38</f>
        <v>3.5833333333333342E-2</v>
      </c>
      <c r="R44" s="65">
        <f>R32-R38</f>
        <v>0.20683333333333334</v>
      </c>
      <c r="S44" s="65">
        <f>S32-S38</f>
        <v>0.27369047619047621</v>
      </c>
      <c r="T44" s="65">
        <f>T32-T38</f>
        <v>0.27369047619047621</v>
      </c>
      <c r="U44" s="65">
        <f>U32-U38</f>
        <v>0.3336904761904762</v>
      </c>
      <c r="V44" s="65">
        <f>V32-V38</f>
        <v>0.3336904761904762</v>
      </c>
      <c r="W44" s="65">
        <f>W32-W38</f>
        <v>0.46169047619047626</v>
      </c>
      <c r="X44" s="65">
        <f>X32-X38</f>
        <v>0.46169047619047626</v>
      </c>
      <c r="Y44" s="65">
        <f>Y32-Y38</f>
        <v>0.46169047619047626</v>
      </c>
      <c r="Z44" s="65">
        <f>Z32-Z38</f>
        <v>0.40883333333333338</v>
      </c>
      <c r="AA44" s="65">
        <f>AA32-AA38</f>
        <v>0.40883333333333338</v>
      </c>
      <c r="AB44" s="65">
        <f>AB32-AB38</f>
        <v>0.40883333333333338</v>
      </c>
      <c r="AC44" s="65">
        <f>AC32-AC38</f>
        <v>0.40883333333333338</v>
      </c>
      <c r="AD44" s="65">
        <f>AD32-AD38</f>
        <v>0.40883333333333338</v>
      </c>
      <c r="AE44" s="65">
        <f>AE32-AE38</f>
        <v>0.40883333333333338</v>
      </c>
      <c r="AF44" s="65">
        <f>AF32-AF38</f>
        <v>0.40883333333333338</v>
      </c>
      <c r="AG44" s="65">
        <f>AG32-AG38</f>
        <v>0.40883333333333338</v>
      </c>
      <c r="AH44" s="65">
        <f>AH32-AH38</f>
        <v>0.40883333333333338</v>
      </c>
      <c r="AI44" s="65">
        <f>AI32-AI38</f>
        <v>0.40883333333333338</v>
      </c>
      <c r="AJ44" s="65">
        <f>AJ32-AJ38</f>
        <v>0.40883333333333338</v>
      </c>
      <c r="AK44" s="65">
        <f>AK32-AK38</f>
        <v>0.40883333333333338</v>
      </c>
      <c r="AL44" s="65">
        <f>AL32-AL38</f>
        <v>0.40883333333333338</v>
      </c>
      <c r="AM44" s="65">
        <f>AM32-AM38</f>
        <v>0.40883333333333338</v>
      </c>
      <c r="AN44" s="65">
        <f>AN32-AN38</f>
        <v>0.40883333333333338</v>
      </c>
      <c r="AO44" s="65">
        <f>AO32-AO38</f>
        <v>0.40883333333333338</v>
      </c>
      <c r="AP44" s="65">
        <f>AP32-AP38</f>
        <v>0.40883333333333338</v>
      </c>
      <c r="AQ44" s="65">
        <f>AQ32-AQ38</f>
        <v>0.40883333333333338</v>
      </c>
      <c r="AR44" s="65">
        <f>AR32-AR38</f>
        <v>0.40883333333333338</v>
      </c>
      <c r="AS44" s="65">
        <f>AS32-AS38</f>
        <v>0.40883333333333338</v>
      </c>
      <c r="AT44" s="65">
        <f>AT32-AT38</f>
        <v>0.40883333333333338</v>
      </c>
      <c r="AU44" s="65">
        <f>AU32-AU38</f>
        <v>0.40883333333333338</v>
      </c>
      <c r="AV44" s="65">
        <f>AV32-AV38</f>
        <v>0.40883333333333338</v>
      </c>
      <c r="AW44" s="65">
        <f>AW32-AW38</f>
        <v>0.40883333333333338</v>
      </c>
      <c r="AX44" s="65">
        <f>AX32-AX38</f>
        <v>0.40883333333333338</v>
      </c>
      <c r="AY44" s="65">
        <f>AY32-AY38</f>
        <v>0.40883333333333338</v>
      </c>
      <c r="AZ44" s="65">
        <f>AZ32-AZ38</f>
        <v>0.40883333333333338</v>
      </c>
      <c r="BA44" s="65">
        <f>BA32-BA38</f>
        <v>0.40883333333333338</v>
      </c>
      <c r="BB44" s="65">
        <f>BB32-BB38</f>
        <v>0.40883333333333338</v>
      </c>
      <c r="BC44" s="65">
        <f>BC32-BC38</f>
        <v>0.40883333333333338</v>
      </c>
      <c r="BD44" s="65">
        <f>BD32-BD38</f>
        <v>0.40883333333333338</v>
      </c>
      <c r="BE44" s="65">
        <f>BE32-BE38</f>
        <v>0.40883333333333338</v>
      </c>
      <c r="BF44" s="65">
        <f>BF32-BF38</f>
        <v>0.40883333333333338</v>
      </c>
      <c r="BG44" s="65">
        <f>BG32-BG38</f>
        <v>0.40883333333333338</v>
      </c>
      <c r="BH44" s="65">
        <f>BH32-BH38</f>
        <v>0.40883333333333338</v>
      </c>
      <c r="BI44" s="65">
        <f>BI32-BI38</f>
        <v>0.40883333333333338</v>
      </c>
    </row>
    <row r="45" spans="1:61" x14ac:dyDescent="0.25">
      <c r="A45" s="83" t="s">
        <v>705</v>
      </c>
      <c r="B45" s="67">
        <f>B33-B39</f>
        <v>-0.39099999999999996</v>
      </c>
      <c r="C45" s="67">
        <f>C33-C39</f>
        <v>1.895</v>
      </c>
      <c r="D45" s="67">
        <f>D33-D39</f>
        <v>3.5249999999999999</v>
      </c>
      <c r="E45" s="67">
        <f>E33-E39</f>
        <v>3.5249999999999999</v>
      </c>
      <c r="F45" s="67">
        <f>F33-F39</f>
        <v>3.5249999999999999</v>
      </c>
      <c r="G45" s="84"/>
      <c r="H45" s="67">
        <f>H33-H39</f>
        <v>0</v>
      </c>
      <c r="I45" s="67">
        <f>I33-I39</f>
        <v>0</v>
      </c>
      <c r="J45" s="67">
        <f>J33-J39</f>
        <v>0</v>
      </c>
      <c r="K45" s="67">
        <f>K33-K39</f>
        <v>0</v>
      </c>
      <c r="L45" s="67">
        <f>L33-L39</f>
        <v>-0.19549999999999998</v>
      </c>
      <c r="M45" s="67">
        <f>M33-M39</f>
        <v>-0.19549999999999998</v>
      </c>
      <c r="N45" s="67">
        <f>N33-N39</f>
        <v>7.6666666666666619E-3</v>
      </c>
      <c r="O45" s="67">
        <f>O33-O39</f>
        <v>4.9121212121212114E-2</v>
      </c>
      <c r="P45" s="67">
        <f>P33-P39</f>
        <v>4.9121212121212114E-2</v>
      </c>
      <c r="Q45" s="67">
        <f>Q33-Q39</f>
        <v>4.9121212121212114E-2</v>
      </c>
      <c r="R45" s="67">
        <f>R33-R39</f>
        <v>4.9121212121212114E-2</v>
      </c>
      <c r="S45" s="67">
        <f>S33-S39</f>
        <v>0.18754978354978358</v>
      </c>
      <c r="T45" s="67">
        <f>T33-T39</f>
        <v>0.18754978354978358</v>
      </c>
      <c r="U45" s="67">
        <f>U33-U39</f>
        <v>0.18754978354978358</v>
      </c>
      <c r="V45" s="67">
        <f>V33-V39</f>
        <v>0.18754978354978358</v>
      </c>
      <c r="W45" s="67">
        <f>W33-W39</f>
        <v>0.18754978354978358</v>
      </c>
      <c r="X45" s="67">
        <f>X33-X39</f>
        <v>0.37654978354978363</v>
      </c>
      <c r="Y45" s="67">
        <f>Y33-Y39</f>
        <v>0.37654978354978363</v>
      </c>
      <c r="Z45" s="67">
        <f>Z33-Z39</f>
        <v>0.29375000000000001</v>
      </c>
      <c r="AA45" s="67">
        <f>AA33-AA39</f>
        <v>0.29375000000000001</v>
      </c>
      <c r="AB45" s="67">
        <f>AB33-AB39</f>
        <v>0.29375000000000001</v>
      </c>
      <c r="AC45" s="67">
        <f>AC33-AC39</f>
        <v>0.29375000000000001</v>
      </c>
      <c r="AD45" s="67">
        <f>AD33-AD39</f>
        <v>0.29375000000000001</v>
      </c>
      <c r="AE45" s="67">
        <f>AE33-AE39</f>
        <v>0.29375000000000001</v>
      </c>
      <c r="AF45" s="67">
        <f>AF33-AF39</f>
        <v>0.29375000000000001</v>
      </c>
      <c r="AG45" s="67">
        <f>AG33-AG39</f>
        <v>0.29375000000000001</v>
      </c>
      <c r="AH45" s="67">
        <f>AH33-AH39</f>
        <v>0.29375000000000001</v>
      </c>
      <c r="AI45" s="67">
        <f>AI33-AI39</f>
        <v>0.29375000000000001</v>
      </c>
      <c r="AJ45" s="67">
        <f>AJ33-AJ39</f>
        <v>0.29375000000000001</v>
      </c>
      <c r="AK45" s="67">
        <f>AK33-AK39</f>
        <v>0.29375000000000001</v>
      </c>
      <c r="AL45" s="67">
        <f>AL33-AL39</f>
        <v>0.29375000000000001</v>
      </c>
      <c r="AM45" s="67">
        <f>AM33-AM39</f>
        <v>0.29375000000000001</v>
      </c>
      <c r="AN45" s="67">
        <f>AN33-AN39</f>
        <v>0.29375000000000001</v>
      </c>
      <c r="AO45" s="67">
        <f>AO33-AO39</f>
        <v>0.29375000000000001</v>
      </c>
      <c r="AP45" s="67">
        <f>AP33-AP39</f>
        <v>0.29375000000000001</v>
      </c>
      <c r="AQ45" s="67">
        <f>AQ33-AQ39</f>
        <v>0.29375000000000001</v>
      </c>
      <c r="AR45" s="67">
        <f>AR33-AR39</f>
        <v>0.29375000000000001</v>
      </c>
      <c r="AS45" s="67">
        <f>AS33-AS39</f>
        <v>0.29375000000000001</v>
      </c>
      <c r="AT45" s="67">
        <f>AT33-AT39</f>
        <v>0.29375000000000001</v>
      </c>
      <c r="AU45" s="67">
        <f>AU33-AU39</f>
        <v>0.29375000000000001</v>
      </c>
      <c r="AV45" s="67">
        <f>AV33-AV39</f>
        <v>0.29375000000000001</v>
      </c>
      <c r="AW45" s="67">
        <f>AW33-AW39</f>
        <v>0.29375000000000001</v>
      </c>
      <c r="AX45" s="67">
        <f>AX33-AX39</f>
        <v>0.29375000000000001</v>
      </c>
      <c r="AY45" s="67">
        <f>AY33-AY39</f>
        <v>0.29375000000000001</v>
      </c>
      <c r="AZ45" s="67">
        <f>AZ33-AZ39</f>
        <v>0.29375000000000001</v>
      </c>
      <c r="BA45" s="67">
        <f>BA33-BA39</f>
        <v>0.29375000000000001</v>
      </c>
      <c r="BB45" s="67">
        <f>BB33-BB39</f>
        <v>0.29375000000000001</v>
      </c>
      <c r="BC45" s="67">
        <f>BC33-BC39</f>
        <v>0.29375000000000001</v>
      </c>
      <c r="BD45" s="67">
        <f>BD33-BD39</f>
        <v>0.29375000000000001</v>
      </c>
      <c r="BE45" s="67">
        <f>BE33-BE39</f>
        <v>0.29375000000000001</v>
      </c>
      <c r="BF45" s="67">
        <f>BF33-BF39</f>
        <v>0.29375000000000001</v>
      </c>
      <c r="BG45" s="67">
        <f>BG33-BG39</f>
        <v>0.29375000000000001</v>
      </c>
      <c r="BH45" s="67">
        <f>BH33-BH39</f>
        <v>0.29375000000000001</v>
      </c>
      <c r="BI45" s="67">
        <f>BI33-BI39</f>
        <v>0.29375000000000001</v>
      </c>
    </row>
    <row r="46" spans="1:61" x14ac:dyDescent="0.25">
      <c r="A46" s="69" t="s">
        <v>1115</v>
      </c>
      <c r="B46" s="70">
        <f>SUM(B42:B45)</f>
        <v>1.0609999999999999</v>
      </c>
      <c r="C46" s="70">
        <f>SUM(C42:C45)</f>
        <v>11.073999999999998</v>
      </c>
      <c r="D46" s="70">
        <f>SUM(D42:D45)</f>
        <v>18.072999999999997</v>
      </c>
      <c r="E46" s="70">
        <f>SUM(E42:E45)</f>
        <v>18.072999999999997</v>
      </c>
      <c r="F46" s="70">
        <f>SUM(F42:F45)</f>
        <v>18.072999999999997</v>
      </c>
      <c r="G46" s="85"/>
      <c r="H46" s="70">
        <f>SUM(H42:H45)</f>
        <v>0</v>
      </c>
      <c r="I46" s="70">
        <f>SUM(I42:I45)</f>
        <v>0</v>
      </c>
      <c r="J46" s="70">
        <f>SUM(J42:J45)</f>
        <v>0</v>
      </c>
      <c r="K46" s="70">
        <f>SUM(K42:K45)</f>
        <v>0.34200000000000008</v>
      </c>
      <c r="L46" s="70">
        <f>SUM(L42:L45)</f>
        <v>0.71650000000000003</v>
      </c>
      <c r="M46" s="70">
        <f>SUM(M42:M45)</f>
        <v>2.50000000000003E-3</v>
      </c>
      <c r="N46" s="70">
        <f>SUM(N42:N45)</f>
        <v>0.32883333333333331</v>
      </c>
      <c r="O46" s="70">
        <f>SUM(O42:O45)</f>
        <v>0.37028787878787878</v>
      </c>
      <c r="P46" s="70">
        <f>SUM(P42:P45)</f>
        <v>0.42228787878787882</v>
      </c>
      <c r="Q46" s="70">
        <f>SUM(Q42:Q45)</f>
        <v>0.49295454545454548</v>
      </c>
      <c r="R46" s="70">
        <f>SUM(R42:R45)</f>
        <v>0.66395454545454546</v>
      </c>
      <c r="S46" s="70">
        <f>SUM(S42:S45)</f>
        <v>0.86924025974025987</v>
      </c>
      <c r="T46" s="70">
        <f>SUM(T42:T45)</f>
        <v>0.96124025974025973</v>
      </c>
      <c r="U46" s="70">
        <f>SUM(U42:U45)</f>
        <v>1.0212402597402597</v>
      </c>
      <c r="V46" s="70">
        <f>SUM(V42:V45)</f>
        <v>1.0389902597402596</v>
      </c>
      <c r="W46" s="70">
        <f>SUM(W42:W45)</f>
        <v>1.1669902597402597</v>
      </c>
      <c r="X46" s="70">
        <f>SUM(X42:X45)</f>
        <v>1.3559902597402598</v>
      </c>
      <c r="Y46" s="70">
        <f>SUM(Y42:Y45)</f>
        <v>2.3819902597402596</v>
      </c>
      <c r="Z46" s="70">
        <f>SUM(Z42:Z45)</f>
        <v>1.5060833333333334</v>
      </c>
      <c r="AA46" s="70">
        <f>SUM(AA42:AA45)</f>
        <v>1.5060833333333334</v>
      </c>
      <c r="AB46" s="70">
        <f>SUM(AB42:AB45)</f>
        <v>1.5060833333333334</v>
      </c>
      <c r="AC46" s="70">
        <f>SUM(AC42:AC45)</f>
        <v>1.5060833333333334</v>
      </c>
      <c r="AD46" s="70">
        <f>SUM(AD42:AD45)</f>
        <v>1.5060833333333334</v>
      </c>
      <c r="AE46" s="70">
        <f>SUM(AE42:AE45)</f>
        <v>1.5060833333333334</v>
      </c>
      <c r="AF46" s="70">
        <f>SUM(AF42:AF45)</f>
        <v>1.5060833333333334</v>
      </c>
      <c r="AG46" s="70">
        <f>SUM(AG42:AG45)</f>
        <v>1.5060833333333334</v>
      </c>
      <c r="AH46" s="70">
        <f>SUM(AH42:AH45)</f>
        <v>1.5060833333333334</v>
      </c>
      <c r="AI46" s="70">
        <f>SUM(AI42:AI45)</f>
        <v>1.5060833333333334</v>
      </c>
      <c r="AJ46" s="70">
        <f>SUM(AJ42:AJ45)</f>
        <v>1.5060833333333334</v>
      </c>
      <c r="AK46" s="70">
        <f>SUM(AK42:AK45)</f>
        <v>1.5060833333333334</v>
      </c>
      <c r="AL46" s="70">
        <f>SUM(AL42:AL45)</f>
        <v>1.5060833333333334</v>
      </c>
      <c r="AM46" s="70">
        <f>SUM(AM42:AM45)</f>
        <v>1.5060833333333334</v>
      </c>
      <c r="AN46" s="70">
        <f>SUM(AN42:AN45)</f>
        <v>1.5060833333333334</v>
      </c>
      <c r="AO46" s="70">
        <f>SUM(AO42:AO45)</f>
        <v>1.5060833333333334</v>
      </c>
      <c r="AP46" s="70">
        <f>SUM(AP42:AP45)</f>
        <v>1.5060833333333334</v>
      </c>
      <c r="AQ46" s="70">
        <f>SUM(AQ42:AQ45)</f>
        <v>1.5060833333333334</v>
      </c>
      <c r="AR46" s="70">
        <f>SUM(AR42:AR45)</f>
        <v>1.5060833333333334</v>
      </c>
      <c r="AS46" s="70">
        <f>SUM(AS42:AS45)</f>
        <v>1.5060833333333334</v>
      </c>
      <c r="AT46" s="70">
        <f>SUM(AT42:AT45)</f>
        <v>1.5060833333333334</v>
      </c>
      <c r="AU46" s="70">
        <f>SUM(AU42:AU45)</f>
        <v>1.5060833333333334</v>
      </c>
      <c r="AV46" s="70">
        <f>SUM(AV42:AV45)</f>
        <v>1.5060833333333334</v>
      </c>
      <c r="AW46" s="70">
        <f>SUM(AW42:AW45)</f>
        <v>1.5060833333333334</v>
      </c>
      <c r="AX46" s="70">
        <f>SUM(AX42:AX45)</f>
        <v>1.5060833333333334</v>
      </c>
      <c r="AY46" s="70">
        <f>SUM(AY42:AY45)</f>
        <v>1.5060833333333334</v>
      </c>
      <c r="AZ46" s="70">
        <f>SUM(AZ42:AZ45)</f>
        <v>1.5060833333333334</v>
      </c>
      <c r="BA46" s="70">
        <f>SUM(BA42:BA45)</f>
        <v>1.5060833333333334</v>
      </c>
      <c r="BB46" s="70">
        <f>SUM(BB42:BB45)</f>
        <v>1.5060833333333334</v>
      </c>
      <c r="BC46" s="70">
        <f>SUM(BC42:BC45)</f>
        <v>1.5060833333333334</v>
      </c>
      <c r="BD46" s="70">
        <f>SUM(BD42:BD45)</f>
        <v>1.5060833333333334</v>
      </c>
      <c r="BE46" s="70">
        <f>SUM(BE42:BE45)</f>
        <v>1.5060833333333334</v>
      </c>
      <c r="BF46" s="70">
        <f>SUM(BF42:BF45)</f>
        <v>1.5060833333333334</v>
      </c>
      <c r="BG46" s="70">
        <f>SUM(BG42:BG45)</f>
        <v>1.5060833333333334</v>
      </c>
      <c r="BH46" s="70">
        <f>SUM(BH42:BH45)</f>
        <v>1.5060833333333334</v>
      </c>
      <c r="BI46" s="70">
        <f>SUM(BI42:BI45)</f>
        <v>1.5060833333333334</v>
      </c>
    </row>
    <row r="48" spans="1:61" x14ac:dyDescent="0.25">
      <c r="A48" s="89" t="s">
        <v>1106</v>
      </c>
      <c r="B48" s="60"/>
      <c r="C48" s="60"/>
      <c r="D48" s="60"/>
      <c r="E48" s="60"/>
      <c r="F48" s="60"/>
      <c r="G48" s="60"/>
      <c r="H48" s="60"/>
      <c r="I48" s="60"/>
      <c r="J48" s="60"/>
      <c r="K48" s="60"/>
      <c r="L48" s="60"/>
      <c r="M48" s="60"/>
      <c r="N48" s="60"/>
      <c r="O48" s="60"/>
      <c r="P48" s="60"/>
      <c r="Q48" s="60"/>
      <c r="R48" s="60"/>
      <c r="S48" s="60"/>
      <c r="T48" s="60"/>
      <c r="U48" s="60"/>
      <c r="V48" s="60"/>
      <c r="W48" s="60"/>
      <c r="X48" s="60"/>
      <c r="Y48" s="60"/>
      <c r="Z48" s="60"/>
      <c r="AA48" s="60"/>
      <c r="AB48" s="60"/>
      <c r="AC48" s="60"/>
      <c r="AD48" s="60"/>
      <c r="AE48" s="60"/>
      <c r="AF48" s="60"/>
      <c r="AG48" s="60"/>
      <c r="AH48" s="60"/>
      <c r="AI48" s="60"/>
      <c r="AJ48" s="60"/>
      <c r="AK48" s="60"/>
      <c r="AL48" s="60"/>
      <c r="AM48" s="60"/>
      <c r="AN48" s="60"/>
      <c r="AO48" s="60"/>
      <c r="AP48" s="60"/>
      <c r="AQ48" s="60"/>
      <c r="AR48" s="60"/>
      <c r="AS48" s="60"/>
      <c r="AT48" s="60"/>
      <c r="AU48" s="60"/>
      <c r="AV48" s="60"/>
      <c r="AW48" s="60"/>
      <c r="AX48" s="60"/>
      <c r="AY48" s="60"/>
      <c r="AZ48" s="60"/>
      <c r="BA48" s="60"/>
      <c r="BB48" s="60"/>
      <c r="BC48" s="60"/>
      <c r="BD48" s="60"/>
      <c r="BE48" s="60"/>
      <c r="BF48" s="60"/>
      <c r="BG48" s="60"/>
      <c r="BH48" s="60"/>
      <c r="BI48" s="60"/>
    </row>
    <row r="49" spans="1:61" x14ac:dyDescent="0.25">
      <c r="A49" s="90" t="s">
        <v>1109</v>
      </c>
      <c r="B49" s="90"/>
      <c r="C49" s="90"/>
      <c r="D49" s="90"/>
      <c r="E49" s="90"/>
      <c r="F49" s="90"/>
      <c r="G49" s="90"/>
      <c r="H49" s="90"/>
      <c r="I49" s="90"/>
      <c r="J49" s="90"/>
      <c r="K49" s="90"/>
      <c r="L49" s="90"/>
      <c r="M49" s="90"/>
      <c r="N49" s="90"/>
      <c r="O49" s="90"/>
      <c r="P49" s="90"/>
      <c r="Q49" s="90"/>
      <c r="R49" s="90"/>
      <c r="S49" s="90"/>
      <c r="T49" s="90"/>
      <c r="U49" s="90"/>
      <c r="V49" s="90"/>
      <c r="W49" s="90"/>
      <c r="X49" s="90"/>
      <c r="Y49" s="90"/>
      <c r="Z49" s="90"/>
      <c r="AA49" s="90"/>
      <c r="AB49" s="90"/>
      <c r="AC49" s="90"/>
      <c r="AD49" s="90"/>
      <c r="AE49" s="90"/>
      <c r="AF49" s="90"/>
      <c r="AG49" s="90"/>
      <c r="AH49" s="90"/>
      <c r="AI49" s="90"/>
      <c r="AJ49" s="90"/>
      <c r="AK49" s="90"/>
      <c r="AL49" s="90"/>
      <c r="AM49" s="90"/>
      <c r="AN49" s="90"/>
      <c r="AO49" s="90"/>
      <c r="AP49" s="90"/>
      <c r="AQ49" s="90"/>
      <c r="AR49" s="90"/>
      <c r="AS49" s="90"/>
      <c r="AT49" s="90"/>
      <c r="AU49" s="90"/>
      <c r="AV49" s="90"/>
      <c r="AW49" s="90"/>
      <c r="AX49" s="90"/>
      <c r="AY49" s="90"/>
      <c r="AZ49" s="90"/>
      <c r="BA49" s="90"/>
      <c r="BB49" s="90"/>
      <c r="BC49" s="90"/>
      <c r="BD49" s="90"/>
      <c r="BE49" s="90"/>
      <c r="BF49" s="90"/>
      <c r="BG49" s="90"/>
      <c r="BH49" s="90"/>
      <c r="BI49" s="90"/>
    </row>
    <row r="50" spans="1:61" x14ac:dyDescent="0.25">
      <c r="A50" s="81" t="s">
        <v>21</v>
      </c>
      <c r="B50" s="65"/>
      <c r="C50" s="65"/>
      <c r="D50" s="65"/>
      <c r="E50" s="65"/>
      <c r="F50" s="65"/>
      <c r="G50" s="82"/>
      <c r="H50" s="65"/>
      <c r="I50" s="65"/>
      <c r="J50" s="65"/>
      <c r="K50" s="65"/>
      <c r="L50" s="65"/>
      <c r="M50" s="65"/>
      <c r="N50" s="65"/>
      <c r="O50" s="65"/>
      <c r="P50" s="65"/>
      <c r="Q50" s="65"/>
      <c r="R50" s="65"/>
      <c r="S50" s="65"/>
      <c r="T50" s="65"/>
      <c r="U50" s="65"/>
      <c r="V50" s="65"/>
      <c r="W50" s="65"/>
      <c r="X50" s="65"/>
      <c r="Y50" s="65"/>
      <c r="Z50" s="65"/>
      <c r="AA50" s="65"/>
      <c r="AB50" s="65"/>
      <c r="AC50" s="65"/>
      <c r="AD50" s="65"/>
      <c r="AE50" s="65"/>
      <c r="AF50" s="65"/>
      <c r="AG50" s="65"/>
      <c r="AH50" s="65"/>
      <c r="AI50" s="65"/>
      <c r="AJ50" s="65"/>
      <c r="AK50" s="65"/>
      <c r="AL50" s="65"/>
      <c r="AM50" s="65"/>
      <c r="AN50" s="65"/>
      <c r="AO50" s="65"/>
      <c r="AP50" s="65"/>
      <c r="AQ50" s="65"/>
      <c r="AR50" s="65"/>
      <c r="AS50" s="65"/>
      <c r="AT50" s="65"/>
      <c r="AU50" s="65"/>
      <c r="AV50" s="65"/>
      <c r="AW50" s="65"/>
      <c r="AX50" s="65"/>
      <c r="AY50" s="65"/>
      <c r="AZ50" s="65"/>
      <c r="BA50" s="65"/>
      <c r="BB50" s="65"/>
      <c r="BC50" s="65"/>
      <c r="BD50" s="65"/>
      <c r="BE50" s="65"/>
      <c r="BF50" s="65"/>
      <c r="BG50" s="65"/>
      <c r="BH50" s="65"/>
      <c r="BI50" s="65"/>
    </row>
    <row r="51" spans="1:61" x14ac:dyDescent="0.25">
      <c r="A51" s="83" t="s">
        <v>666</v>
      </c>
      <c r="B51" s="67"/>
      <c r="C51" s="67"/>
      <c r="D51" s="67"/>
      <c r="E51" s="67"/>
      <c r="F51" s="67"/>
      <c r="G51" s="84"/>
      <c r="H51" s="67"/>
      <c r="I51" s="67"/>
      <c r="J51" s="67"/>
      <c r="K51" s="67"/>
      <c r="L51" s="67"/>
      <c r="M51" s="67"/>
      <c r="N51" s="67"/>
      <c r="O51" s="67"/>
      <c r="P51" s="67"/>
      <c r="Q51" s="67"/>
      <c r="R51" s="67"/>
      <c r="S51" s="67"/>
      <c r="T51" s="67"/>
      <c r="U51" s="67"/>
      <c r="V51" s="67"/>
      <c r="W51" s="67"/>
      <c r="X51" s="67"/>
      <c r="Y51" s="67"/>
      <c r="Z51" s="67"/>
      <c r="AA51" s="67"/>
      <c r="AB51" s="67"/>
      <c r="AC51" s="67"/>
      <c r="AD51" s="67"/>
      <c r="AE51" s="67"/>
      <c r="AF51" s="67"/>
      <c r="AG51" s="67"/>
      <c r="AH51" s="67"/>
      <c r="AI51" s="67"/>
      <c r="AJ51" s="67"/>
      <c r="AK51" s="67"/>
      <c r="AL51" s="67"/>
      <c r="AM51" s="67"/>
      <c r="AN51" s="67"/>
      <c r="AO51" s="67"/>
      <c r="AP51" s="67"/>
      <c r="AQ51" s="67"/>
      <c r="AR51" s="67"/>
      <c r="AS51" s="67"/>
      <c r="AT51" s="67"/>
      <c r="AU51" s="67"/>
      <c r="AV51" s="67"/>
      <c r="AW51" s="67"/>
      <c r="AX51" s="67"/>
      <c r="AY51" s="67"/>
      <c r="AZ51" s="67"/>
      <c r="BA51" s="67"/>
      <c r="BB51" s="67"/>
      <c r="BC51" s="67"/>
      <c r="BD51" s="67"/>
      <c r="BE51" s="67"/>
      <c r="BF51" s="67"/>
      <c r="BG51" s="67"/>
      <c r="BH51" s="67"/>
      <c r="BI51" s="67"/>
    </row>
    <row r="52" spans="1:61" x14ac:dyDescent="0.25">
      <c r="A52" s="81" t="s">
        <v>683</v>
      </c>
      <c r="B52" s="65"/>
      <c r="C52" s="65"/>
      <c r="D52" s="65"/>
      <c r="E52" s="65"/>
      <c r="F52" s="65"/>
      <c r="G52" s="82"/>
      <c r="H52" s="65"/>
      <c r="I52" s="65"/>
      <c r="J52" s="65"/>
      <c r="K52" s="65"/>
      <c r="L52" s="65"/>
      <c r="M52" s="65"/>
      <c r="N52" s="65"/>
      <c r="O52" s="65"/>
      <c r="P52" s="65"/>
      <c r="Q52" s="65"/>
      <c r="R52" s="65"/>
      <c r="S52" s="65"/>
      <c r="T52" s="65"/>
      <c r="U52" s="65"/>
      <c r="V52" s="65"/>
      <c r="W52" s="65"/>
      <c r="X52" s="65"/>
      <c r="Y52" s="65"/>
      <c r="Z52" s="65"/>
      <c r="AA52" s="65"/>
      <c r="AB52" s="65"/>
      <c r="AC52" s="65"/>
      <c r="AD52" s="65"/>
      <c r="AE52" s="65"/>
      <c r="AF52" s="65"/>
      <c r="AG52" s="65"/>
      <c r="AH52" s="65"/>
      <c r="AI52" s="65"/>
      <c r="AJ52" s="65"/>
      <c r="AK52" s="65"/>
      <c r="AL52" s="65"/>
      <c r="AM52" s="65"/>
      <c r="AN52" s="65"/>
      <c r="AO52" s="65"/>
      <c r="AP52" s="65"/>
      <c r="AQ52" s="65"/>
      <c r="AR52" s="65"/>
      <c r="AS52" s="65"/>
      <c r="AT52" s="65"/>
      <c r="AU52" s="65"/>
      <c r="AV52" s="65"/>
      <c r="AW52" s="65"/>
      <c r="AX52" s="65"/>
      <c r="AY52" s="65"/>
      <c r="AZ52" s="65"/>
      <c r="BA52" s="65"/>
      <c r="BB52" s="65"/>
      <c r="BC52" s="65"/>
      <c r="BD52" s="65"/>
      <c r="BE52" s="65"/>
      <c r="BF52" s="65"/>
      <c r="BG52" s="65"/>
      <c r="BH52" s="65"/>
      <c r="BI52" s="65"/>
    </row>
    <row r="53" spans="1:61" x14ac:dyDescent="0.25">
      <c r="A53" s="83" t="s">
        <v>705</v>
      </c>
      <c r="B53" s="67"/>
      <c r="C53" s="67"/>
      <c r="D53" s="67"/>
      <c r="E53" s="67"/>
      <c r="F53" s="67"/>
      <c r="G53" s="84"/>
      <c r="H53" s="67"/>
      <c r="I53" s="67"/>
      <c r="J53" s="67"/>
      <c r="K53" s="67"/>
      <c r="L53" s="67"/>
      <c r="M53" s="67"/>
      <c r="N53" s="67"/>
      <c r="O53" s="67"/>
      <c r="P53" s="67"/>
      <c r="Q53" s="67"/>
      <c r="R53" s="67"/>
      <c r="S53" s="67"/>
      <c r="T53" s="67"/>
      <c r="U53" s="67"/>
      <c r="V53" s="67"/>
      <c r="W53" s="67"/>
      <c r="X53" s="67"/>
      <c r="Y53" s="67"/>
      <c r="Z53" s="67"/>
      <c r="AA53" s="67"/>
      <c r="AB53" s="67"/>
      <c r="AC53" s="67"/>
      <c r="AD53" s="67"/>
      <c r="AE53" s="67"/>
      <c r="AF53" s="67"/>
      <c r="AG53" s="67"/>
      <c r="AH53" s="67"/>
      <c r="AI53" s="67"/>
      <c r="AJ53" s="67"/>
      <c r="AK53" s="67"/>
      <c r="AL53" s="67"/>
      <c r="AM53" s="67"/>
      <c r="AN53" s="67"/>
      <c r="AO53" s="67"/>
      <c r="AP53" s="67"/>
      <c r="AQ53" s="67"/>
      <c r="AR53" s="67"/>
      <c r="AS53" s="67"/>
      <c r="AT53" s="67"/>
      <c r="AU53" s="67"/>
      <c r="AV53" s="67"/>
      <c r="AW53" s="67"/>
      <c r="AX53" s="67"/>
      <c r="AY53" s="67"/>
      <c r="AZ53" s="67"/>
      <c r="BA53" s="67"/>
      <c r="BB53" s="67"/>
      <c r="BC53" s="67"/>
      <c r="BD53" s="67"/>
      <c r="BE53" s="67"/>
      <c r="BF53" s="67"/>
      <c r="BG53" s="67"/>
      <c r="BH53" s="67"/>
      <c r="BI53" s="67"/>
    </row>
    <row r="54" spans="1:61" x14ac:dyDescent="0.25">
      <c r="A54" s="69" t="s">
        <v>1110</v>
      </c>
      <c r="B54" s="70"/>
      <c r="C54" s="70"/>
      <c r="D54" s="70"/>
      <c r="E54" s="70"/>
      <c r="F54" s="70"/>
      <c r="G54" s="85"/>
      <c r="H54" s="70"/>
      <c r="I54" s="70"/>
      <c r="J54" s="70"/>
      <c r="K54" s="70"/>
      <c r="L54" s="70"/>
      <c r="M54" s="70"/>
      <c r="N54" s="70"/>
      <c r="O54" s="70"/>
      <c r="P54" s="70"/>
      <c r="Q54" s="70"/>
      <c r="R54" s="70"/>
      <c r="S54" s="70"/>
      <c r="T54" s="70"/>
      <c r="U54" s="70"/>
      <c r="V54" s="70"/>
      <c r="W54" s="70"/>
      <c r="X54" s="70"/>
      <c r="Y54" s="70"/>
      <c r="Z54" s="70"/>
      <c r="AA54" s="70"/>
      <c r="AB54" s="70"/>
      <c r="AC54" s="70"/>
      <c r="AD54" s="70"/>
      <c r="AE54" s="70"/>
      <c r="AF54" s="70"/>
      <c r="AG54" s="70"/>
      <c r="AH54" s="70"/>
      <c r="AI54" s="70"/>
      <c r="AJ54" s="70"/>
      <c r="AK54" s="70"/>
      <c r="AL54" s="70"/>
      <c r="AM54" s="70"/>
      <c r="AN54" s="70"/>
      <c r="AO54" s="70"/>
      <c r="AP54" s="70"/>
      <c r="AQ54" s="70"/>
      <c r="AR54" s="70"/>
      <c r="AS54" s="70"/>
      <c r="AT54" s="70"/>
      <c r="AU54" s="70"/>
      <c r="AV54" s="70"/>
      <c r="AW54" s="70"/>
      <c r="AX54" s="70"/>
      <c r="AY54" s="70"/>
      <c r="AZ54" s="70"/>
      <c r="BA54" s="70"/>
      <c r="BB54" s="70"/>
      <c r="BC54" s="70"/>
      <c r="BD54" s="70"/>
      <c r="BE54" s="70"/>
      <c r="BF54" s="70"/>
      <c r="BG54" s="70"/>
      <c r="BH54" s="70"/>
      <c r="BI54" s="70"/>
    </row>
    <row r="55" spans="1:61" x14ac:dyDescent="0.25">
      <c r="A55" s="90" t="s">
        <v>1111</v>
      </c>
      <c r="B55" s="90"/>
      <c r="C55" s="90"/>
      <c r="D55" s="90"/>
      <c r="E55" s="90"/>
      <c r="F55" s="90"/>
      <c r="G55" s="90"/>
      <c r="H55" s="90"/>
      <c r="I55" s="90"/>
      <c r="J55" s="90"/>
      <c r="K55" s="90"/>
      <c r="L55" s="90"/>
      <c r="M55" s="90"/>
      <c r="N55" s="90"/>
      <c r="O55" s="90"/>
      <c r="P55" s="90"/>
      <c r="Q55" s="90"/>
      <c r="R55" s="90"/>
      <c r="S55" s="90"/>
      <c r="T55" s="90"/>
      <c r="U55" s="90"/>
      <c r="V55" s="90"/>
      <c r="W55" s="90"/>
      <c r="X55" s="90"/>
      <c r="Y55" s="90"/>
      <c r="Z55" s="90"/>
      <c r="AA55" s="90"/>
      <c r="AB55" s="90"/>
      <c r="AC55" s="90"/>
      <c r="AD55" s="90"/>
      <c r="AE55" s="90"/>
      <c r="AF55" s="90"/>
      <c r="AG55" s="90"/>
      <c r="AH55" s="90"/>
      <c r="AI55" s="90"/>
      <c r="AJ55" s="90"/>
      <c r="AK55" s="90"/>
      <c r="AL55" s="90"/>
      <c r="AM55" s="90"/>
      <c r="AN55" s="90"/>
      <c r="AO55" s="90"/>
      <c r="AP55" s="90"/>
      <c r="AQ55" s="90"/>
      <c r="AR55" s="90"/>
      <c r="AS55" s="90"/>
      <c r="AT55" s="90"/>
      <c r="AU55" s="90"/>
      <c r="AV55" s="90"/>
      <c r="AW55" s="90"/>
      <c r="AX55" s="90"/>
      <c r="AY55" s="90"/>
      <c r="AZ55" s="90"/>
      <c r="BA55" s="90"/>
      <c r="BB55" s="90"/>
      <c r="BC55" s="90"/>
      <c r="BD55" s="90"/>
      <c r="BE55" s="90"/>
      <c r="BF55" s="90"/>
      <c r="BG55" s="90"/>
      <c r="BH55" s="90"/>
      <c r="BI55" s="90"/>
    </row>
    <row r="56" spans="1:61" x14ac:dyDescent="0.25">
      <c r="A56" s="81" t="s">
        <v>21</v>
      </c>
      <c r="B56" s="65"/>
      <c r="C56" s="65"/>
      <c r="D56" s="65"/>
      <c r="E56" s="65"/>
      <c r="F56" s="65"/>
      <c r="G56" s="82"/>
      <c r="H56" s="65"/>
      <c r="I56" s="65"/>
      <c r="J56" s="65"/>
      <c r="K56" s="65"/>
      <c r="L56" s="65"/>
      <c r="M56" s="65"/>
      <c r="N56" s="65"/>
      <c r="O56" s="65"/>
      <c r="P56" s="65"/>
      <c r="Q56" s="65"/>
      <c r="R56" s="65"/>
      <c r="S56" s="65"/>
      <c r="T56" s="65"/>
      <c r="U56" s="65"/>
      <c r="V56" s="65"/>
      <c r="W56" s="65"/>
      <c r="X56" s="65"/>
      <c r="Y56" s="65"/>
      <c r="Z56" s="65"/>
      <c r="AA56" s="65"/>
      <c r="AB56" s="65"/>
      <c r="AC56" s="65"/>
      <c r="AD56" s="65"/>
      <c r="AE56" s="65"/>
      <c r="AF56" s="65"/>
      <c r="AG56" s="65"/>
      <c r="AH56" s="65"/>
      <c r="AI56" s="65"/>
      <c r="AJ56" s="65"/>
      <c r="AK56" s="65"/>
      <c r="AL56" s="65"/>
      <c r="AM56" s="65"/>
      <c r="AN56" s="65"/>
      <c r="AO56" s="65"/>
      <c r="AP56" s="65"/>
      <c r="AQ56" s="65"/>
      <c r="AR56" s="65"/>
      <c r="AS56" s="65"/>
      <c r="AT56" s="65"/>
      <c r="AU56" s="65"/>
      <c r="AV56" s="65"/>
      <c r="AW56" s="65"/>
      <c r="AX56" s="65"/>
      <c r="AY56" s="65"/>
      <c r="AZ56" s="65"/>
      <c r="BA56" s="65"/>
      <c r="BB56" s="65"/>
      <c r="BC56" s="65"/>
      <c r="BD56" s="65"/>
      <c r="BE56" s="65"/>
      <c r="BF56" s="65"/>
      <c r="BG56" s="65"/>
      <c r="BH56" s="65"/>
      <c r="BI56" s="65"/>
    </row>
    <row r="57" spans="1:61" x14ac:dyDescent="0.25">
      <c r="A57" s="83" t="s">
        <v>666</v>
      </c>
      <c r="B57" s="67"/>
      <c r="C57" s="67"/>
      <c r="D57" s="67"/>
      <c r="E57" s="67"/>
      <c r="F57" s="67"/>
      <c r="G57" s="84"/>
      <c r="H57" s="67"/>
      <c r="I57" s="67"/>
      <c r="J57" s="67"/>
      <c r="K57" s="67"/>
      <c r="L57" s="67"/>
      <c r="M57" s="67"/>
      <c r="N57" s="67"/>
      <c r="O57" s="67"/>
      <c r="P57" s="67"/>
      <c r="Q57" s="67"/>
      <c r="R57" s="67"/>
      <c r="S57" s="67"/>
      <c r="T57" s="67"/>
      <c r="U57" s="67"/>
      <c r="V57" s="67"/>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row>
    <row r="58" spans="1:61" x14ac:dyDescent="0.25">
      <c r="A58" s="81" t="s">
        <v>683</v>
      </c>
      <c r="B58" s="65"/>
      <c r="C58" s="65"/>
      <c r="D58" s="65"/>
      <c r="E58" s="65"/>
      <c r="F58" s="65"/>
      <c r="G58" s="82"/>
      <c r="H58" s="65"/>
      <c r="I58" s="65"/>
      <c r="J58" s="65"/>
      <c r="K58" s="65"/>
      <c r="L58" s="65"/>
      <c r="M58" s="65"/>
      <c r="N58" s="65"/>
      <c r="O58" s="65"/>
      <c r="P58" s="65"/>
      <c r="Q58" s="65"/>
      <c r="R58" s="65"/>
      <c r="S58" s="65"/>
      <c r="T58" s="65"/>
      <c r="U58" s="65"/>
      <c r="V58" s="65"/>
      <c r="W58" s="65"/>
      <c r="X58" s="65"/>
      <c r="Y58" s="65"/>
      <c r="Z58" s="65"/>
      <c r="AA58" s="65"/>
      <c r="AB58" s="65"/>
      <c r="AC58" s="65"/>
      <c r="AD58" s="65"/>
      <c r="AE58" s="65"/>
      <c r="AF58" s="65"/>
      <c r="AG58" s="65"/>
      <c r="AH58" s="65"/>
      <c r="AI58" s="65"/>
      <c r="AJ58" s="65"/>
      <c r="AK58" s="65"/>
      <c r="AL58" s="65"/>
      <c r="AM58" s="65"/>
      <c r="AN58" s="65"/>
      <c r="AO58" s="65"/>
      <c r="AP58" s="65"/>
      <c r="AQ58" s="65"/>
      <c r="AR58" s="65"/>
      <c r="AS58" s="65"/>
      <c r="AT58" s="65"/>
      <c r="AU58" s="65"/>
      <c r="AV58" s="65"/>
      <c r="AW58" s="65"/>
      <c r="AX58" s="65"/>
      <c r="AY58" s="65"/>
      <c r="AZ58" s="65"/>
      <c r="BA58" s="65"/>
      <c r="BB58" s="65"/>
      <c r="BC58" s="65"/>
      <c r="BD58" s="65"/>
      <c r="BE58" s="65"/>
      <c r="BF58" s="65"/>
      <c r="BG58" s="65"/>
      <c r="BH58" s="65"/>
      <c r="BI58" s="65"/>
    </row>
    <row r="59" spans="1:61" x14ac:dyDescent="0.25">
      <c r="A59" s="83" t="s">
        <v>705</v>
      </c>
      <c r="B59" s="67"/>
      <c r="C59" s="67"/>
      <c r="D59" s="67"/>
      <c r="E59" s="67"/>
      <c r="F59" s="67"/>
      <c r="G59" s="84"/>
      <c r="H59" s="67"/>
      <c r="I59" s="67"/>
      <c r="J59" s="67"/>
      <c r="K59" s="67"/>
      <c r="L59" s="67"/>
      <c r="M59" s="67"/>
      <c r="N59" s="67"/>
      <c r="O59" s="67"/>
      <c r="P59" s="67"/>
      <c r="Q59" s="67"/>
      <c r="R59" s="67"/>
      <c r="S59" s="67"/>
      <c r="T59" s="67"/>
      <c r="U59" s="67"/>
      <c r="V59" s="67"/>
      <c r="W59" s="67"/>
      <c r="X59" s="67"/>
      <c r="Y59" s="67"/>
      <c r="Z59" s="67"/>
      <c r="AA59" s="67"/>
      <c r="AB59" s="67"/>
      <c r="AC59" s="67"/>
      <c r="AD59" s="67"/>
      <c r="AE59" s="67"/>
      <c r="AF59" s="67"/>
      <c r="AG59" s="67"/>
      <c r="AH59" s="67"/>
      <c r="AI59" s="67"/>
      <c r="AJ59" s="67"/>
      <c r="AK59" s="67"/>
      <c r="AL59" s="67"/>
      <c r="AM59" s="67"/>
      <c r="AN59" s="67"/>
      <c r="AO59" s="67"/>
      <c r="AP59" s="67"/>
      <c r="AQ59" s="67"/>
      <c r="AR59" s="67"/>
      <c r="AS59" s="67"/>
      <c r="AT59" s="67"/>
      <c r="AU59" s="67"/>
      <c r="AV59" s="67"/>
      <c r="AW59" s="67"/>
      <c r="AX59" s="67"/>
      <c r="AY59" s="67"/>
      <c r="AZ59" s="67"/>
      <c r="BA59" s="67"/>
      <c r="BB59" s="67"/>
      <c r="BC59" s="67"/>
      <c r="BD59" s="67"/>
      <c r="BE59" s="67"/>
      <c r="BF59" s="67"/>
      <c r="BG59" s="67"/>
      <c r="BH59" s="67"/>
      <c r="BI59" s="67"/>
    </row>
    <row r="60" spans="1:61" x14ac:dyDescent="0.25">
      <c r="A60" s="69" t="s">
        <v>1112</v>
      </c>
      <c r="B60" s="70"/>
      <c r="C60" s="70"/>
      <c r="D60" s="70"/>
      <c r="E60" s="70"/>
      <c r="F60" s="70"/>
      <c r="G60" s="85"/>
      <c r="H60" s="70"/>
      <c r="I60" s="70"/>
      <c r="J60" s="70"/>
      <c r="K60" s="70"/>
      <c r="L60" s="70"/>
      <c r="M60" s="70"/>
      <c r="N60" s="70"/>
      <c r="O60" s="70"/>
      <c r="P60" s="70"/>
      <c r="Q60" s="70"/>
      <c r="R60" s="70"/>
      <c r="S60" s="70"/>
      <c r="T60" s="70"/>
      <c r="U60" s="70"/>
      <c r="V60" s="70"/>
      <c r="W60" s="70"/>
      <c r="X60" s="70"/>
      <c r="Y60" s="70"/>
      <c r="Z60" s="70"/>
      <c r="AA60" s="70"/>
      <c r="AB60" s="70"/>
      <c r="AC60" s="70"/>
      <c r="AD60" s="70"/>
      <c r="AE60" s="70"/>
      <c r="AF60" s="70"/>
      <c r="AG60" s="70"/>
      <c r="AH60" s="70"/>
      <c r="AI60" s="70"/>
      <c r="AJ60" s="70"/>
      <c r="AK60" s="70"/>
      <c r="AL60" s="70"/>
      <c r="AM60" s="70"/>
      <c r="AN60" s="70"/>
      <c r="AO60" s="70"/>
      <c r="AP60" s="70"/>
      <c r="AQ60" s="70"/>
      <c r="AR60" s="70"/>
      <c r="AS60" s="70"/>
      <c r="AT60" s="70"/>
      <c r="AU60" s="70"/>
      <c r="AV60" s="70"/>
      <c r="AW60" s="70"/>
      <c r="AX60" s="70"/>
      <c r="AY60" s="70"/>
      <c r="AZ60" s="70"/>
      <c r="BA60" s="70"/>
      <c r="BB60" s="70"/>
      <c r="BC60" s="70"/>
      <c r="BD60" s="70"/>
      <c r="BE60" s="70"/>
      <c r="BF60" s="70"/>
      <c r="BG60" s="70"/>
      <c r="BH60" s="70"/>
      <c r="BI60" s="70"/>
    </row>
    <row r="61" spans="1:61" x14ac:dyDescent="0.25">
      <c r="A61" s="90" t="s">
        <v>101</v>
      </c>
      <c r="B61" s="90"/>
      <c r="C61" s="90"/>
      <c r="D61" s="90"/>
      <c r="E61" s="90"/>
      <c r="F61" s="90"/>
      <c r="G61" s="90"/>
      <c r="H61" s="90"/>
      <c r="I61" s="90"/>
      <c r="J61" s="90"/>
      <c r="K61" s="90"/>
      <c r="L61" s="90"/>
      <c r="M61" s="90"/>
      <c r="N61" s="90"/>
      <c r="O61" s="90"/>
      <c r="P61" s="90"/>
      <c r="Q61" s="90"/>
      <c r="R61" s="90"/>
      <c r="S61" s="90"/>
      <c r="T61" s="90"/>
      <c r="U61" s="90"/>
      <c r="V61" s="90"/>
      <c r="W61" s="90"/>
      <c r="X61" s="90"/>
      <c r="Y61" s="90"/>
      <c r="Z61" s="90"/>
      <c r="AA61" s="90"/>
      <c r="AB61" s="90"/>
      <c r="AC61" s="90"/>
      <c r="AD61" s="90"/>
      <c r="AE61" s="90"/>
      <c r="AF61" s="90"/>
      <c r="AG61" s="90"/>
      <c r="AH61" s="90"/>
      <c r="AI61" s="90"/>
      <c r="AJ61" s="90"/>
      <c r="AK61" s="90"/>
      <c r="AL61" s="90"/>
      <c r="AM61" s="90"/>
      <c r="AN61" s="90"/>
      <c r="AO61" s="90"/>
      <c r="AP61" s="90"/>
      <c r="AQ61" s="90"/>
      <c r="AR61" s="90"/>
      <c r="AS61" s="90"/>
      <c r="AT61" s="90"/>
      <c r="AU61" s="90"/>
      <c r="AV61" s="90"/>
      <c r="AW61" s="90"/>
      <c r="AX61" s="90"/>
      <c r="AY61" s="90"/>
      <c r="AZ61" s="90"/>
      <c r="BA61" s="90"/>
      <c r="BB61" s="90"/>
      <c r="BC61" s="90"/>
      <c r="BD61" s="90"/>
      <c r="BE61" s="90"/>
      <c r="BF61" s="90"/>
      <c r="BG61" s="90"/>
      <c r="BH61" s="90"/>
      <c r="BI61" s="90"/>
    </row>
    <row r="62" spans="1:61" x14ac:dyDescent="0.25">
      <c r="A62" s="81" t="s">
        <v>21</v>
      </c>
      <c r="B62" s="65"/>
      <c r="C62" s="65"/>
      <c r="D62" s="65"/>
      <c r="E62" s="65"/>
      <c r="F62" s="65"/>
      <c r="G62" s="82"/>
      <c r="H62" s="65"/>
      <c r="I62" s="65"/>
      <c r="J62" s="65"/>
      <c r="K62" s="65"/>
      <c r="L62" s="65"/>
      <c r="M62" s="65"/>
      <c r="N62" s="65"/>
      <c r="O62" s="65"/>
      <c r="P62" s="65"/>
      <c r="Q62" s="65"/>
      <c r="R62" s="65"/>
      <c r="S62" s="65"/>
      <c r="T62" s="65"/>
      <c r="U62" s="65"/>
      <c r="V62" s="65"/>
      <c r="W62" s="65"/>
      <c r="X62" s="65"/>
      <c r="Y62" s="65"/>
      <c r="Z62" s="65"/>
      <c r="AA62" s="65"/>
      <c r="AB62" s="65"/>
      <c r="AC62" s="65"/>
      <c r="AD62" s="65"/>
      <c r="AE62" s="65"/>
      <c r="AF62" s="65"/>
      <c r="AG62" s="65"/>
      <c r="AH62" s="65"/>
      <c r="AI62" s="65"/>
      <c r="AJ62" s="65"/>
      <c r="AK62" s="65"/>
      <c r="AL62" s="65"/>
      <c r="AM62" s="65"/>
      <c r="AN62" s="65"/>
      <c r="AO62" s="65"/>
      <c r="AP62" s="65"/>
      <c r="AQ62" s="65"/>
      <c r="AR62" s="65"/>
      <c r="AS62" s="65"/>
      <c r="AT62" s="65"/>
      <c r="AU62" s="65"/>
      <c r="AV62" s="65"/>
      <c r="AW62" s="65"/>
      <c r="AX62" s="65"/>
      <c r="AY62" s="65"/>
      <c r="AZ62" s="65"/>
      <c r="BA62" s="65"/>
      <c r="BB62" s="65"/>
      <c r="BC62" s="65"/>
      <c r="BD62" s="65"/>
      <c r="BE62" s="65"/>
      <c r="BF62" s="65"/>
      <c r="BG62" s="65"/>
      <c r="BH62" s="65"/>
      <c r="BI62" s="65"/>
    </row>
    <row r="63" spans="1:61" x14ac:dyDescent="0.25">
      <c r="A63" s="83" t="s">
        <v>666</v>
      </c>
      <c r="B63" s="67"/>
      <c r="C63" s="67"/>
      <c r="D63" s="67"/>
      <c r="E63" s="67"/>
      <c r="F63" s="67"/>
      <c r="G63" s="84"/>
      <c r="H63" s="67"/>
      <c r="I63" s="67"/>
      <c r="J63" s="67"/>
      <c r="K63" s="67"/>
      <c r="L63" s="67"/>
      <c r="M63" s="67"/>
      <c r="N63" s="67"/>
      <c r="O63" s="67"/>
      <c r="P63" s="67"/>
      <c r="Q63" s="67"/>
      <c r="R63" s="67"/>
      <c r="S63" s="67"/>
      <c r="T63" s="67"/>
      <c r="U63" s="67"/>
      <c r="V63" s="67"/>
      <c r="W63" s="67"/>
      <c r="X63" s="67"/>
      <c r="Y63" s="67"/>
      <c r="Z63" s="67"/>
      <c r="AA63" s="67"/>
      <c r="AB63" s="67"/>
      <c r="AC63" s="67"/>
      <c r="AD63" s="67"/>
      <c r="AE63" s="67"/>
      <c r="AF63" s="67"/>
      <c r="AG63" s="67"/>
      <c r="AH63" s="67"/>
      <c r="AI63" s="67"/>
      <c r="AJ63" s="67"/>
      <c r="AK63" s="67"/>
      <c r="AL63" s="67"/>
      <c r="AM63" s="67"/>
      <c r="AN63" s="67"/>
      <c r="AO63" s="67"/>
      <c r="AP63" s="67"/>
      <c r="AQ63" s="67"/>
      <c r="AR63" s="67"/>
      <c r="AS63" s="67"/>
      <c r="AT63" s="67"/>
      <c r="AU63" s="67"/>
      <c r="AV63" s="67"/>
      <c r="AW63" s="67"/>
      <c r="AX63" s="67"/>
      <c r="AY63" s="67"/>
      <c r="AZ63" s="67"/>
      <c r="BA63" s="67"/>
      <c r="BB63" s="67"/>
      <c r="BC63" s="67"/>
      <c r="BD63" s="67"/>
      <c r="BE63" s="67"/>
      <c r="BF63" s="67"/>
      <c r="BG63" s="67"/>
      <c r="BH63" s="67"/>
      <c r="BI63" s="67"/>
    </row>
    <row r="64" spans="1:61" x14ac:dyDescent="0.25">
      <c r="A64" s="81" t="s">
        <v>683</v>
      </c>
      <c r="B64" s="65"/>
      <c r="C64" s="65"/>
      <c r="D64" s="65"/>
      <c r="E64" s="65"/>
      <c r="F64" s="65"/>
      <c r="G64" s="82"/>
      <c r="H64" s="65"/>
      <c r="I64" s="65"/>
      <c r="J64" s="65"/>
      <c r="K64" s="65"/>
      <c r="L64" s="65"/>
      <c r="M64" s="65"/>
      <c r="N64" s="65"/>
      <c r="O64" s="65"/>
      <c r="P64" s="65"/>
      <c r="Q64" s="65"/>
      <c r="R64" s="65"/>
      <c r="S64" s="65"/>
      <c r="T64" s="65"/>
      <c r="U64" s="65"/>
      <c r="V64" s="65"/>
      <c r="W64" s="65"/>
      <c r="X64" s="65"/>
      <c r="Y64" s="65"/>
      <c r="Z64" s="65"/>
      <c r="AA64" s="65"/>
      <c r="AB64" s="65"/>
      <c r="AC64" s="65"/>
      <c r="AD64" s="65"/>
      <c r="AE64" s="65"/>
      <c r="AF64" s="65"/>
      <c r="AG64" s="65"/>
      <c r="AH64" s="65"/>
      <c r="AI64" s="65"/>
      <c r="AJ64" s="65"/>
      <c r="AK64" s="65"/>
      <c r="AL64" s="65"/>
      <c r="AM64" s="65"/>
      <c r="AN64" s="65"/>
      <c r="AO64" s="65"/>
      <c r="AP64" s="65"/>
      <c r="AQ64" s="65"/>
      <c r="AR64" s="65"/>
      <c r="AS64" s="65"/>
      <c r="AT64" s="65"/>
      <c r="AU64" s="65"/>
      <c r="AV64" s="65"/>
      <c r="AW64" s="65"/>
      <c r="AX64" s="65"/>
      <c r="AY64" s="65"/>
      <c r="AZ64" s="65"/>
      <c r="BA64" s="65"/>
      <c r="BB64" s="65"/>
      <c r="BC64" s="65"/>
      <c r="BD64" s="65"/>
      <c r="BE64" s="65"/>
      <c r="BF64" s="65"/>
      <c r="BG64" s="65"/>
      <c r="BH64" s="65"/>
      <c r="BI64" s="65"/>
    </row>
    <row r="65" spans="1:61" x14ac:dyDescent="0.25">
      <c r="A65" s="83" t="s">
        <v>705</v>
      </c>
      <c r="B65" s="67"/>
      <c r="C65" s="67"/>
      <c r="D65" s="67"/>
      <c r="E65" s="67"/>
      <c r="F65" s="67"/>
      <c r="G65" s="84"/>
      <c r="H65" s="67"/>
      <c r="I65" s="67"/>
      <c r="J65" s="67"/>
      <c r="K65" s="67"/>
      <c r="L65" s="67"/>
      <c r="M65" s="67"/>
      <c r="N65" s="67"/>
      <c r="O65" s="67"/>
      <c r="P65" s="67"/>
      <c r="Q65" s="67"/>
      <c r="R65" s="67"/>
      <c r="S65" s="67"/>
      <c r="T65" s="67"/>
      <c r="U65" s="67"/>
      <c r="V65" s="67"/>
      <c r="W65" s="67"/>
      <c r="X65" s="67"/>
      <c r="Y65" s="67"/>
      <c r="Z65" s="67"/>
      <c r="AA65" s="67"/>
      <c r="AB65" s="67"/>
      <c r="AC65" s="67"/>
      <c r="AD65" s="67"/>
      <c r="AE65" s="67"/>
      <c r="AF65" s="67"/>
      <c r="AG65" s="67"/>
      <c r="AH65" s="67"/>
      <c r="AI65" s="67"/>
      <c r="AJ65" s="67"/>
      <c r="AK65" s="67"/>
      <c r="AL65" s="67"/>
      <c r="AM65" s="67"/>
      <c r="AN65" s="67"/>
      <c r="AO65" s="67"/>
      <c r="AP65" s="67"/>
      <c r="AQ65" s="67"/>
      <c r="AR65" s="67"/>
      <c r="AS65" s="67"/>
      <c r="AT65" s="67"/>
      <c r="AU65" s="67"/>
      <c r="AV65" s="67"/>
      <c r="AW65" s="67"/>
      <c r="AX65" s="67"/>
      <c r="AY65" s="67"/>
      <c r="AZ65" s="67"/>
      <c r="BA65" s="67"/>
      <c r="BB65" s="67"/>
      <c r="BC65" s="67"/>
      <c r="BD65" s="67"/>
      <c r="BE65" s="67"/>
      <c r="BF65" s="67"/>
      <c r="BG65" s="67"/>
      <c r="BH65" s="67"/>
      <c r="BI65" s="67"/>
    </row>
    <row r="66" spans="1:61" x14ac:dyDescent="0.25">
      <c r="A66" s="69" t="s">
        <v>1113</v>
      </c>
      <c r="B66" s="70"/>
      <c r="C66" s="70"/>
      <c r="D66" s="70"/>
      <c r="E66" s="70"/>
      <c r="F66" s="70"/>
      <c r="G66" s="85"/>
      <c r="H66" s="70"/>
      <c r="I66" s="70"/>
      <c r="J66" s="70"/>
      <c r="K66" s="70"/>
      <c r="L66" s="70"/>
      <c r="M66" s="70"/>
      <c r="N66" s="70"/>
      <c r="O66" s="70"/>
      <c r="P66" s="70"/>
      <c r="Q66" s="70"/>
      <c r="R66" s="70"/>
      <c r="S66" s="70"/>
      <c r="T66" s="70"/>
      <c r="U66" s="70"/>
      <c r="V66" s="70"/>
      <c r="W66" s="70"/>
      <c r="X66" s="70"/>
      <c r="Y66" s="70"/>
      <c r="Z66" s="70"/>
      <c r="AA66" s="70"/>
      <c r="AB66" s="70"/>
      <c r="AC66" s="70"/>
      <c r="AD66" s="70"/>
      <c r="AE66" s="70"/>
      <c r="AF66" s="70"/>
      <c r="AG66" s="70"/>
      <c r="AH66" s="70"/>
      <c r="AI66" s="70"/>
      <c r="AJ66" s="70"/>
      <c r="AK66" s="70"/>
      <c r="AL66" s="70"/>
      <c r="AM66" s="70"/>
      <c r="AN66" s="70"/>
      <c r="AO66" s="70"/>
      <c r="AP66" s="70"/>
      <c r="AQ66" s="70"/>
      <c r="AR66" s="70"/>
      <c r="AS66" s="70"/>
      <c r="AT66" s="70"/>
      <c r="AU66" s="70"/>
      <c r="AV66" s="70"/>
      <c r="AW66" s="70"/>
      <c r="AX66" s="70"/>
      <c r="AY66" s="70"/>
      <c r="AZ66" s="70"/>
      <c r="BA66" s="70"/>
      <c r="BB66" s="70"/>
      <c r="BC66" s="70"/>
      <c r="BD66" s="70"/>
      <c r="BE66" s="70"/>
      <c r="BF66" s="70"/>
      <c r="BG66" s="70"/>
      <c r="BH66" s="70"/>
      <c r="BI66" s="70"/>
    </row>
    <row r="67" spans="1:61" x14ac:dyDescent="0.25">
      <c r="A67" s="90" t="s">
        <v>1114</v>
      </c>
      <c r="B67" s="90"/>
      <c r="C67" s="90"/>
      <c r="D67" s="90"/>
      <c r="E67" s="90"/>
      <c r="F67" s="90"/>
      <c r="G67" s="90"/>
      <c r="H67" s="90"/>
      <c r="I67" s="90"/>
      <c r="J67" s="90"/>
      <c r="K67" s="90"/>
      <c r="L67" s="90"/>
      <c r="M67" s="90"/>
      <c r="N67" s="90"/>
      <c r="O67" s="90"/>
      <c r="P67" s="90"/>
      <c r="Q67" s="90"/>
      <c r="R67" s="90"/>
      <c r="S67" s="90"/>
      <c r="T67" s="90"/>
      <c r="U67" s="90"/>
      <c r="V67" s="90"/>
      <c r="W67" s="90"/>
      <c r="X67" s="90"/>
      <c r="Y67" s="90"/>
      <c r="Z67" s="90"/>
      <c r="AA67" s="90"/>
      <c r="AB67" s="90"/>
      <c r="AC67" s="90"/>
      <c r="AD67" s="90"/>
      <c r="AE67" s="90"/>
      <c r="AF67" s="90"/>
      <c r="AG67" s="90"/>
      <c r="AH67" s="90"/>
      <c r="AI67" s="90"/>
      <c r="AJ67" s="90"/>
      <c r="AK67" s="90"/>
      <c r="AL67" s="90"/>
      <c r="AM67" s="90"/>
      <c r="AN67" s="90"/>
      <c r="AO67" s="90"/>
      <c r="AP67" s="90"/>
      <c r="AQ67" s="90"/>
      <c r="AR67" s="90"/>
      <c r="AS67" s="90"/>
      <c r="AT67" s="90"/>
      <c r="AU67" s="90"/>
      <c r="AV67" s="90"/>
      <c r="AW67" s="90"/>
      <c r="AX67" s="90"/>
      <c r="AY67" s="90"/>
      <c r="AZ67" s="90"/>
      <c r="BA67" s="90"/>
      <c r="BB67" s="90"/>
      <c r="BC67" s="90"/>
      <c r="BD67" s="90"/>
      <c r="BE67" s="90"/>
      <c r="BF67" s="90"/>
      <c r="BG67" s="90"/>
      <c r="BH67" s="90"/>
      <c r="BI67" s="90"/>
    </row>
    <row r="68" spans="1:61" x14ac:dyDescent="0.25">
      <c r="A68" s="81" t="s">
        <v>21</v>
      </c>
      <c r="B68" s="65"/>
      <c r="C68" s="65"/>
      <c r="D68" s="65"/>
      <c r="E68" s="65"/>
      <c r="F68" s="65"/>
      <c r="G68" s="82"/>
      <c r="H68" s="65"/>
      <c r="I68" s="65"/>
      <c r="J68" s="65"/>
      <c r="K68" s="65"/>
      <c r="L68" s="65"/>
      <c r="M68" s="65"/>
      <c r="N68" s="65"/>
      <c r="O68" s="65"/>
      <c r="P68" s="65"/>
      <c r="Q68" s="65"/>
      <c r="R68" s="65"/>
      <c r="S68" s="65"/>
      <c r="T68" s="65"/>
      <c r="U68" s="65"/>
      <c r="V68" s="65"/>
      <c r="W68" s="65"/>
      <c r="X68" s="65"/>
      <c r="Y68" s="65"/>
      <c r="Z68" s="65"/>
      <c r="AA68" s="65"/>
      <c r="AB68" s="65"/>
      <c r="AC68" s="65"/>
      <c r="AD68" s="65"/>
      <c r="AE68" s="65"/>
      <c r="AF68" s="65"/>
      <c r="AG68" s="65"/>
      <c r="AH68" s="65"/>
      <c r="AI68" s="65"/>
      <c r="AJ68" s="65"/>
      <c r="AK68" s="65"/>
      <c r="AL68" s="65"/>
      <c r="AM68" s="65"/>
      <c r="AN68" s="65"/>
      <c r="AO68" s="65"/>
      <c r="AP68" s="65"/>
      <c r="AQ68" s="65"/>
      <c r="AR68" s="65"/>
      <c r="AS68" s="65"/>
      <c r="AT68" s="65"/>
      <c r="AU68" s="65"/>
      <c r="AV68" s="65"/>
      <c r="AW68" s="65"/>
      <c r="AX68" s="65"/>
      <c r="AY68" s="65"/>
      <c r="AZ68" s="65"/>
      <c r="BA68" s="65"/>
      <c r="BB68" s="65"/>
      <c r="BC68" s="65"/>
      <c r="BD68" s="65"/>
      <c r="BE68" s="65"/>
      <c r="BF68" s="65"/>
      <c r="BG68" s="65"/>
      <c r="BH68" s="65"/>
      <c r="BI68" s="65"/>
    </row>
    <row r="69" spans="1:61" x14ac:dyDescent="0.25">
      <c r="A69" s="83" t="s">
        <v>666</v>
      </c>
      <c r="B69" s="67"/>
      <c r="C69" s="67"/>
      <c r="D69" s="67"/>
      <c r="E69" s="67"/>
      <c r="F69" s="67"/>
      <c r="G69" s="84"/>
      <c r="H69" s="67"/>
      <c r="I69" s="67"/>
      <c r="J69" s="67"/>
      <c r="K69" s="67"/>
      <c r="L69" s="67"/>
      <c r="M69" s="67"/>
      <c r="N69" s="67"/>
      <c r="O69" s="67"/>
      <c r="P69" s="67"/>
      <c r="Q69" s="67"/>
      <c r="R69" s="67"/>
      <c r="S69" s="67"/>
      <c r="T69" s="67"/>
      <c r="U69" s="67"/>
      <c r="V69" s="67"/>
      <c r="W69" s="67"/>
      <c r="X69" s="67"/>
      <c r="Y69" s="67"/>
      <c r="Z69" s="67"/>
      <c r="AA69" s="67"/>
      <c r="AB69" s="67"/>
      <c r="AC69" s="67"/>
      <c r="AD69" s="67"/>
      <c r="AE69" s="67"/>
      <c r="AF69" s="67"/>
      <c r="AG69" s="67"/>
      <c r="AH69" s="67"/>
      <c r="AI69" s="67"/>
      <c r="AJ69" s="67"/>
      <c r="AK69" s="67"/>
      <c r="AL69" s="67"/>
      <c r="AM69" s="67"/>
      <c r="AN69" s="67"/>
      <c r="AO69" s="67"/>
      <c r="AP69" s="67"/>
      <c r="AQ69" s="67"/>
      <c r="AR69" s="67"/>
      <c r="AS69" s="67"/>
      <c r="AT69" s="67"/>
      <c r="AU69" s="67"/>
      <c r="AV69" s="67"/>
      <c r="AW69" s="67"/>
      <c r="AX69" s="67"/>
      <c r="AY69" s="67"/>
      <c r="AZ69" s="67"/>
      <c r="BA69" s="67"/>
      <c r="BB69" s="67"/>
      <c r="BC69" s="67"/>
      <c r="BD69" s="67"/>
      <c r="BE69" s="67"/>
      <c r="BF69" s="67"/>
      <c r="BG69" s="67"/>
      <c r="BH69" s="67"/>
      <c r="BI69" s="67"/>
    </row>
    <row r="70" spans="1:61" x14ac:dyDescent="0.25">
      <c r="A70" s="81" t="s">
        <v>683</v>
      </c>
      <c r="B70" s="65"/>
      <c r="C70" s="65"/>
      <c r="D70" s="65"/>
      <c r="E70" s="65"/>
      <c r="F70" s="65"/>
      <c r="G70" s="82"/>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5"/>
      <c r="AK70" s="65"/>
      <c r="AL70" s="65"/>
      <c r="AM70" s="65"/>
      <c r="AN70" s="65"/>
      <c r="AO70" s="65"/>
      <c r="AP70" s="65"/>
      <c r="AQ70" s="65"/>
      <c r="AR70" s="65"/>
      <c r="AS70" s="65"/>
      <c r="AT70" s="65"/>
      <c r="AU70" s="65"/>
      <c r="AV70" s="65"/>
      <c r="AW70" s="65"/>
      <c r="AX70" s="65"/>
      <c r="AY70" s="65"/>
      <c r="AZ70" s="65"/>
      <c r="BA70" s="65"/>
      <c r="BB70" s="65"/>
      <c r="BC70" s="65"/>
      <c r="BD70" s="65"/>
      <c r="BE70" s="65"/>
      <c r="BF70" s="65"/>
      <c r="BG70" s="65"/>
      <c r="BH70" s="65"/>
      <c r="BI70" s="65"/>
    </row>
    <row r="71" spans="1:61" x14ac:dyDescent="0.25">
      <c r="A71" s="83" t="s">
        <v>705</v>
      </c>
      <c r="B71" s="67"/>
      <c r="C71" s="67"/>
      <c r="D71" s="67"/>
      <c r="E71" s="67"/>
      <c r="F71" s="67"/>
      <c r="G71" s="84"/>
      <c r="H71" s="67"/>
      <c r="I71" s="67"/>
      <c r="J71" s="67"/>
      <c r="K71" s="67"/>
      <c r="L71" s="67"/>
      <c r="M71" s="67"/>
      <c r="N71" s="67"/>
      <c r="O71" s="67"/>
      <c r="P71" s="67"/>
      <c r="Q71" s="67"/>
      <c r="R71" s="67"/>
      <c r="S71" s="67"/>
      <c r="T71" s="67"/>
      <c r="U71" s="67"/>
      <c r="V71" s="67"/>
      <c r="W71" s="67"/>
      <c r="X71" s="67"/>
      <c r="Y71" s="67"/>
      <c r="Z71" s="67"/>
      <c r="AA71" s="67"/>
      <c r="AB71" s="67"/>
      <c r="AC71" s="67"/>
      <c r="AD71" s="67"/>
      <c r="AE71" s="67"/>
      <c r="AF71" s="67"/>
      <c r="AG71" s="67"/>
      <c r="AH71" s="67"/>
      <c r="AI71" s="67"/>
      <c r="AJ71" s="67"/>
      <c r="AK71" s="67"/>
      <c r="AL71" s="67"/>
      <c r="AM71" s="67"/>
      <c r="AN71" s="67"/>
      <c r="AO71" s="67"/>
      <c r="AP71" s="67"/>
      <c r="AQ71" s="67"/>
      <c r="AR71" s="67"/>
      <c r="AS71" s="67"/>
      <c r="AT71" s="67"/>
      <c r="AU71" s="67"/>
      <c r="AV71" s="67"/>
      <c r="AW71" s="67"/>
      <c r="AX71" s="67"/>
      <c r="AY71" s="67"/>
      <c r="AZ71" s="67"/>
      <c r="BA71" s="67"/>
      <c r="BB71" s="67"/>
      <c r="BC71" s="67"/>
      <c r="BD71" s="67"/>
      <c r="BE71" s="67"/>
      <c r="BF71" s="67"/>
      <c r="BG71" s="67"/>
      <c r="BH71" s="67"/>
      <c r="BI71" s="67"/>
    </row>
    <row r="72" spans="1:61" x14ac:dyDescent="0.25">
      <c r="A72" s="69" t="s">
        <v>1115</v>
      </c>
      <c r="B72" s="70"/>
      <c r="C72" s="70"/>
      <c r="D72" s="70"/>
      <c r="E72" s="70"/>
      <c r="F72" s="70"/>
      <c r="G72" s="85"/>
      <c r="H72" s="70"/>
      <c r="I72" s="70"/>
      <c r="J72" s="70"/>
      <c r="K72" s="70"/>
      <c r="L72" s="70"/>
      <c r="M72" s="70"/>
      <c r="N72" s="70"/>
      <c r="O72" s="70"/>
      <c r="P72" s="70"/>
      <c r="Q72" s="70"/>
      <c r="R72" s="70"/>
      <c r="S72" s="70"/>
      <c r="T72" s="70"/>
      <c r="U72" s="70"/>
      <c r="V72" s="70"/>
      <c r="W72" s="70"/>
      <c r="X72" s="70"/>
      <c r="Y72" s="70"/>
      <c r="Z72" s="70"/>
      <c r="AA72" s="70"/>
      <c r="AB72" s="70"/>
      <c r="AC72" s="70"/>
      <c r="AD72" s="70"/>
      <c r="AE72" s="70"/>
      <c r="AF72" s="70"/>
      <c r="AG72" s="70"/>
      <c r="AH72" s="70"/>
      <c r="AI72" s="70"/>
      <c r="AJ72" s="70"/>
      <c r="AK72" s="70"/>
      <c r="AL72" s="70"/>
      <c r="AM72" s="70"/>
      <c r="AN72" s="70"/>
      <c r="AO72" s="70"/>
      <c r="AP72" s="70"/>
      <c r="AQ72" s="70"/>
      <c r="AR72" s="70"/>
      <c r="AS72" s="70"/>
      <c r="AT72" s="70"/>
      <c r="AU72" s="70"/>
      <c r="AV72" s="70"/>
      <c r="AW72" s="70"/>
      <c r="AX72" s="70"/>
      <c r="AY72" s="70"/>
      <c r="AZ72" s="70"/>
      <c r="BA72" s="70"/>
      <c r="BB72" s="70"/>
      <c r="BC72" s="70"/>
      <c r="BD72" s="70"/>
      <c r="BE72" s="70"/>
      <c r="BF72" s="70"/>
      <c r="BG72" s="70"/>
      <c r="BH72" s="70"/>
      <c r="BI72" s="7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X26"/>
  <sheetViews>
    <sheetView showGridLines="0" zoomScaleNormal="100" workbookViewId="0">
      <pane xSplit="2" ySplit="4" topLeftCell="C11" activePane="bottomRight" state="frozen"/>
      <selection pane="topRight" activeCell="C1" sqref="C1"/>
      <selection pane="bottomLeft" activeCell="A5" sqref="A5"/>
      <selection pane="bottomRight" activeCell="O11" sqref="O11:O15"/>
    </sheetView>
  </sheetViews>
  <sheetFormatPr defaultColWidth="8.7109375" defaultRowHeight="15" x14ac:dyDescent="0.25"/>
  <cols>
    <col min="1" max="1" width="10" customWidth="1"/>
    <col min="2" max="2" width="34" customWidth="1"/>
    <col min="3" max="3" width="18.140625" customWidth="1"/>
    <col min="4" max="5" width="13" customWidth="1"/>
    <col min="6" max="6" width="12" customWidth="1"/>
    <col min="7" max="7" width="10" customWidth="1"/>
    <col min="8" max="8" width="8" customWidth="1"/>
    <col min="9" max="9" width="9" customWidth="1"/>
    <col min="10" max="10" width="17" customWidth="1"/>
    <col min="11" max="11" width="15" customWidth="1"/>
    <col min="12" max="12" width="12" customWidth="1"/>
    <col min="13" max="13" width="13" customWidth="1"/>
    <col min="14" max="14" width="11" customWidth="1"/>
    <col min="15" max="19" width="12" customWidth="1"/>
    <col min="20" max="20" width="8" customWidth="1"/>
    <col min="21" max="22" width="7" customWidth="1"/>
    <col min="23" max="24" width="8" customWidth="1"/>
  </cols>
  <sheetData>
    <row r="1" spans="1:24" ht="30" customHeight="1" x14ac:dyDescent="0.25">
      <c r="A1" s="4" t="s">
        <v>0</v>
      </c>
      <c r="B1" s="4"/>
      <c r="C1" s="4"/>
      <c r="D1" s="4"/>
      <c r="E1" s="4"/>
      <c r="F1" s="4"/>
      <c r="G1" s="4"/>
      <c r="H1" s="4"/>
      <c r="I1" s="4"/>
      <c r="J1" s="4"/>
      <c r="K1" s="4"/>
      <c r="L1" s="4"/>
      <c r="M1" s="4"/>
      <c r="N1" s="4"/>
      <c r="O1" s="4"/>
      <c r="P1" s="4"/>
      <c r="Q1" s="4"/>
      <c r="R1" s="4"/>
      <c r="S1" s="4"/>
      <c r="T1" s="4"/>
      <c r="U1" s="4"/>
      <c r="V1" s="4"/>
      <c r="W1" s="4"/>
      <c r="X1" s="4"/>
    </row>
    <row r="2" spans="1:24" ht="15.75" customHeight="1" x14ac:dyDescent="0.25">
      <c r="A2" s="3" t="s">
        <v>1081</v>
      </c>
      <c r="B2" s="3"/>
      <c r="C2" s="3"/>
      <c r="D2" s="3"/>
      <c r="E2" s="3"/>
      <c r="F2" s="3"/>
      <c r="G2" s="3"/>
      <c r="H2" s="3"/>
      <c r="I2" s="3"/>
      <c r="J2" s="3"/>
      <c r="K2" s="3"/>
      <c r="L2" s="3"/>
      <c r="M2" s="3"/>
      <c r="N2" s="3"/>
      <c r="O2" s="3"/>
      <c r="P2" s="3"/>
      <c r="Q2" s="3"/>
      <c r="R2" s="3"/>
      <c r="S2" s="3"/>
      <c r="T2" s="3"/>
      <c r="U2" s="3"/>
      <c r="V2" s="3"/>
      <c r="W2" s="3"/>
      <c r="X2" s="3"/>
    </row>
    <row r="3" spans="1:24" x14ac:dyDescent="0.25">
      <c r="K3" s="38" t="s">
        <v>1082</v>
      </c>
      <c r="L3" s="41" t="s">
        <v>89</v>
      </c>
      <c r="M3" s="38" t="s">
        <v>1079</v>
      </c>
      <c r="N3" s="41" t="s">
        <v>1080</v>
      </c>
    </row>
    <row r="4" spans="1:24" ht="30" customHeight="1" x14ac:dyDescent="0.25">
      <c r="A4" s="5" t="s">
        <v>1</v>
      </c>
      <c r="B4" s="5" t="s">
        <v>2</v>
      </c>
      <c r="C4" s="5" t="s">
        <v>3</v>
      </c>
      <c r="D4" s="5" t="s">
        <v>4</v>
      </c>
      <c r="E4" s="5" t="s">
        <v>5</v>
      </c>
      <c r="F4" s="5" t="s">
        <v>6</v>
      </c>
      <c r="G4" s="5" t="s">
        <v>7</v>
      </c>
      <c r="H4" s="5" t="s">
        <v>8</v>
      </c>
      <c r="I4" s="5" t="s">
        <v>9</v>
      </c>
      <c r="J4" s="5" t="s">
        <v>10</v>
      </c>
      <c r="K4" s="5" t="s">
        <v>12</v>
      </c>
      <c r="L4" s="40" t="s">
        <v>1076</v>
      </c>
      <c r="M4" s="5" t="s">
        <v>1077</v>
      </c>
      <c r="N4" s="40" t="s">
        <v>13</v>
      </c>
      <c r="O4" s="5" t="s">
        <v>1078</v>
      </c>
      <c r="P4" s="44" t="s">
        <v>1085</v>
      </c>
      <c r="Q4" s="44" t="s">
        <v>1086</v>
      </c>
      <c r="R4" s="44" t="s">
        <v>1087</v>
      </c>
      <c r="S4" s="44" t="s">
        <v>1088</v>
      </c>
      <c r="T4" s="5" t="s">
        <v>14</v>
      </c>
      <c r="U4" s="5" t="s">
        <v>15</v>
      </c>
      <c r="V4" s="5" t="s">
        <v>16</v>
      </c>
      <c r="W4" s="5" t="s">
        <v>17</v>
      </c>
      <c r="X4" s="5" t="s">
        <v>18</v>
      </c>
    </row>
    <row r="5" spans="1:24" ht="21.75" hidden="1" customHeight="1" x14ac:dyDescent="0.25">
      <c r="A5" s="27" t="s">
        <v>19</v>
      </c>
      <c r="B5" s="28" t="s">
        <v>20</v>
      </c>
      <c r="C5" s="29" t="s">
        <v>21</v>
      </c>
      <c r="D5" s="29" t="s">
        <v>22</v>
      </c>
      <c r="E5" s="29" t="s">
        <v>33</v>
      </c>
      <c r="F5" s="29" t="s">
        <v>24</v>
      </c>
      <c r="G5" s="29">
        <v>3</v>
      </c>
      <c r="H5" s="30" t="s">
        <v>25</v>
      </c>
      <c r="I5" s="29" t="s">
        <v>26</v>
      </c>
      <c r="J5" s="29" t="s">
        <v>27</v>
      </c>
      <c r="K5" s="31">
        <v>46647</v>
      </c>
      <c r="L5" s="32" cm="1">
        <f t="array" ref="L5">INDEX('Financial Summary'!$D:$J,MATCH($A5,'Financial Summary'!$A:$A,0)+0+IF($N$3="High",1,0),MATCH($L$3,'Financial Summary'!$D$2:$J$2,0))</f>
        <v>0</v>
      </c>
      <c r="M5" s="32" cm="1">
        <f t="array" ref="M5">INDEX('Financial Summary'!$D:$J,MATCH($A5,'Financial Summary'!$A:$A,0)+3+IF($N$3="High",1,0),MATCH($L$3,'Financial Summary'!$D$2:$J$2,0))</f>
        <v>0.62</v>
      </c>
      <c r="N5" s="32" cm="1">
        <f t="array" ref="N5">INDEX('Financial Summary'!$D:$J,MATCH($A5,'Financial Summary'!$A:$A,0)+7,MATCH($L$3,'Financial Summary'!$D$2:$J$2,0))</f>
        <v>0.06</v>
      </c>
      <c r="O5" s="32" cm="1">
        <f t="array" ref="O5">INDEX('Financial Summary'!$D:$J,MATCH($A5,'Financial Summary'!$A:$A,0)+10+IF($N$3="High",1,0),MATCH($L$3,'Financial Summary'!$D$2:$J$2,0))</f>
        <v>0.56000000000000005</v>
      </c>
      <c r="P5" s="32" cm="1">
        <f t="array" ref="P5">INDEX('Financial Summary'!$D:$K,MATCH($A5,'Financial Summary'!$A:$A,0)+0,MATCH("FY25",'Financial Summary'!$D$2:$K$2,0))</f>
        <v>0</v>
      </c>
      <c r="Q5" s="32" cm="1">
        <f t="array" ref="Q5">INDEX('Financial Summary'!$D:$K,MATCH($A5,'Financial Summary'!$A:$A,0)+3,MATCH("FY25",'Financial Summary'!$D$2:$K$2,0))</f>
        <v>2.1920000000000002</v>
      </c>
      <c r="R5" s="32" cm="1">
        <f t="array" ref="R5">INDEX('Financial Summary'!$D:$K,MATCH($A5,'Financial Summary'!$A:$A,0)+7,MATCH("FY25",'Financial Summary'!$D$2:$K$2,0))</f>
        <v>0.29499999999999998</v>
      </c>
      <c r="S5" s="32" cm="1">
        <f t="array" ref="S5">INDEX('Financial Summary'!$D:$K,MATCH($A5,'Financial Summary'!$A:$A,0)+10,MATCH("FY25",'Financial Summary'!$D$2:$K$2,0))</f>
        <v>1.8970000000000002</v>
      </c>
      <c r="T5" s="30">
        <f>COUNTIF(Milestones!$A:$A,$A5)</f>
        <v>15</v>
      </c>
      <c r="U5" s="30">
        <f>COUNTIF(KPIs!$A:$A,$A5)</f>
        <v>12</v>
      </c>
      <c r="V5" s="30">
        <f>COUNTIF(Risks!$A:$A,$A5)</f>
        <v>3</v>
      </c>
      <c r="W5" s="30">
        <f>COUNTIF('Action Items'!$A:$A,$A5)</f>
        <v>0</v>
      </c>
      <c r="X5" s="30">
        <f>COUNTIF('Status Updates'!$A:$A,$A5)</f>
        <v>3</v>
      </c>
    </row>
    <row r="6" spans="1:24" ht="21.75" hidden="1" customHeight="1" x14ac:dyDescent="0.25">
      <c r="A6" s="33" t="s">
        <v>29</v>
      </c>
      <c r="B6" s="34" t="s">
        <v>30</v>
      </c>
      <c r="C6" s="35" t="s">
        <v>21</v>
      </c>
      <c r="D6" s="35" t="s">
        <v>22</v>
      </c>
      <c r="E6" s="35" t="s">
        <v>33</v>
      </c>
      <c r="F6" s="35" t="s">
        <v>24</v>
      </c>
      <c r="G6" s="35">
        <v>3</v>
      </c>
      <c r="H6" s="36" t="s">
        <v>25</v>
      </c>
      <c r="I6" s="35" t="s">
        <v>26</v>
      </c>
      <c r="J6" s="35" t="s">
        <v>31</v>
      </c>
      <c r="K6" s="37">
        <v>46462</v>
      </c>
      <c r="L6" s="32" cm="1">
        <f t="array" ref="L6">INDEX('Financial Summary'!$D:$J,MATCH($A6,'Financial Summary'!$A:$A,0)+0+IF($N$3="High",1,0),MATCH($L$3,'Financial Summary'!$D$2:$J$2,0))</f>
        <v>0</v>
      </c>
      <c r="M6" s="32" cm="1">
        <f t="array" ref="M6">INDEX('Financial Summary'!$D:$J,MATCH($A6,'Financial Summary'!$A:$A,0)+3+IF($N$3="High",1,0),MATCH($L$3,'Financial Summary'!$D$2:$J$2,0))</f>
        <v>0.92</v>
      </c>
      <c r="N6" s="32" cm="1">
        <f t="array" ref="N6">INDEX('Financial Summary'!$D:$J,MATCH($A6,'Financial Summary'!$A:$A,0)+7,MATCH($L$3,'Financial Summary'!$D$2:$J$2,0))</f>
        <v>0.1</v>
      </c>
      <c r="O6" s="32" cm="1">
        <f t="array" ref="O6">INDEX('Financial Summary'!$D:$J,MATCH($A6,'Financial Summary'!$A:$A,0)+10+IF($N$3="High",1,0),MATCH($L$3,'Financial Summary'!$D$2:$J$2,0))</f>
        <v>0.82000000000000006</v>
      </c>
      <c r="P6" s="32" cm="1">
        <f t="array" ref="P6">INDEX('Financial Summary'!$D:$K,MATCH($A6,'Financial Summary'!$A:$A,0)+0,MATCH("FY25",'Financial Summary'!$D$2:$K$2,0))</f>
        <v>0</v>
      </c>
      <c r="Q6" s="32" cm="1">
        <f t="array" ref="Q6">INDEX('Financial Summary'!$D:$K,MATCH($A6,'Financial Summary'!$A:$A,0)+3,MATCH("FY25",'Financial Summary'!$D$2:$K$2,0))</f>
        <v>3.1</v>
      </c>
      <c r="R6" s="32" cm="1">
        <f t="array" ref="R6">INDEX('Financial Summary'!$D:$K,MATCH($A6,'Financial Summary'!$A:$A,0)+7,MATCH("FY25",'Financial Summary'!$D$2:$K$2,0))</f>
        <v>0.32200000000000001</v>
      </c>
      <c r="S6" s="32" cm="1">
        <f t="array" ref="S6">INDEX('Financial Summary'!$D:$K,MATCH($A6,'Financial Summary'!$A:$A,0)+10,MATCH("FY25",'Financial Summary'!$D$2:$K$2,0))</f>
        <v>2.778</v>
      </c>
      <c r="T6" s="36">
        <f>COUNTIF(Milestones!$A:$A,$A6)</f>
        <v>20</v>
      </c>
      <c r="U6" s="36">
        <f>COUNTIF(KPIs!$A:$A,$A6)</f>
        <v>9</v>
      </c>
      <c r="V6" s="36">
        <f>COUNTIF(Risks!$A:$A,$A6)</f>
        <v>3</v>
      </c>
      <c r="W6" s="36">
        <f>COUNTIF('Action Items'!$A:$A,$A6)</f>
        <v>0</v>
      </c>
      <c r="X6" s="36">
        <f>COUNTIF('Status Updates'!$A:$A,$A6)</f>
        <v>1</v>
      </c>
    </row>
    <row r="7" spans="1:24" ht="21.75" hidden="1" customHeight="1" x14ac:dyDescent="0.25">
      <c r="A7" s="27" t="s">
        <v>32</v>
      </c>
      <c r="B7" s="28" t="s">
        <v>656</v>
      </c>
      <c r="C7" s="29" t="s">
        <v>21</v>
      </c>
      <c r="D7" s="29" t="s">
        <v>22</v>
      </c>
      <c r="E7" s="29" t="s">
        <v>33</v>
      </c>
      <c r="F7" s="29" t="s">
        <v>34</v>
      </c>
      <c r="G7" s="29">
        <v>3</v>
      </c>
      <c r="H7" s="30" t="s">
        <v>25</v>
      </c>
      <c r="I7" s="29" t="s">
        <v>26</v>
      </c>
      <c r="J7" s="29" t="s">
        <v>35</v>
      </c>
      <c r="K7" s="31">
        <v>46350</v>
      </c>
      <c r="L7" s="32" cm="1">
        <f t="array" ref="L7">INDEX('Financial Summary'!$D:$J,MATCH($A7,'Financial Summary'!$A:$A,0)+0+IF($N$3="High",1,0),MATCH($L$3,'Financial Summary'!$D$2:$J$2,0))</f>
        <v>0</v>
      </c>
      <c r="M7" s="32" cm="1">
        <f t="array" ref="M7">INDEX('Financial Summary'!$D:$J,MATCH($A7,'Financial Summary'!$A:$A,0)+3+IF($N$3="High",1,0),MATCH($L$3,'Financial Summary'!$D$2:$J$2,0))</f>
        <v>1.86</v>
      </c>
      <c r="N7" s="32" cm="1">
        <f t="array" ref="N7">INDEX('Financial Summary'!$D:$J,MATCH($A7,'Financial Summary'!$A:$A,0)+7,MATCH($L$3,'Financial Summary'!$D$2:$J$2,0))</f>
        <v>0.1</v>
      </c>
      <c r="O7" s="32" cm="1">
        <f t="array" ref="O7">INDEX('Financial Summary'!$D:$J,MATCH($A7,'Financial Summary'!$A:$A,0)+10+IF($N$3="High",1,0),MATCH($L$3,'Financial Summary'!$D$2:$J$2,0))</f>
        <v>1.76</v>
      </c>
      <c r="P7" s="32" cm="1">
        <f t="array" ref="P7">INDEX('Financial Summary'!$D:$K,MATCH($A7,'Financial Summary'!$A:$A,0)+0,MATCH("FY25",'Financial Summary'!$D$2:$K$2,0))</f>
        <v>0</v>
      </c>
      <c r="Q7" s="32" cm="1">
        <f t="array" ref="Q7">INDEX('Financial Summary'!$D:$K,MATCH($A7,'Financial Summary'!$A:$A,0)+3,MATCH("FY25",'Financial Summary'!$D$2:$K$2,0))</f>
        <v>8.6519999999999992</v>
      </c>
      <c r="R7" s="32" cm="1">
        <f t="array" ref="R7">INDEX('Financial Summary'!$D:$K,MATCH($A7,'Financial Summary'!$A:$A,0)+7,MATCH("FY25",'Financial Summary'!$D$2:$K$2,0))</f>
        <v>0.40600000000000003</v>
      </c>
      <c r="S7" s="32" cm="1">
        <f t="array" ref="S7">INDEX('Financial Summary'!$D:$K,MATCH($A7,'Financial Summary'!$A:$A,0)+10,MATCH("FY25",'Financial Summary'!$D$2:$K$2,0))</f>
        <v>8.2459999999999987</v>
      </c>
      <c r="T7" s="30">
        <f>COUNTIF(Milestones!$A:$A,$A7)</f>
        <v>14</v>
      </c>
      <c r="U7" s="30">
        <f>COUNTIF(KPIs!$A:$A,$A7)</f>
        <v>21</v>
      </c>
      <c r="V7" s="30">
        <f>COUNTIF(Risks!$A:$A,$A7)</f>
        <v>3</v>
      </c>
      <c r="W7" s="30">
        <f>COUNTIF('Action Items'!$A:$A,$A7)</f>
        <v>0</v>
      </c>
      <c r="X7" s="30">
        <f>COUNTIF('Status Updates'!$A:$A,$A7)</f>
        <v>0</v>
      </c>
    </row>
    <row r="8" spans="1:24" ht="15" hidden="1" customHeight="1" x14ac:dyDescent="0.25">
      <c r="A8" s="33" t="s">
        <v>36</v>
      </c>
      <c r="B8" s="34" t="s">
        <v>37</v>
      </c>
      <c r="C8" s="35" t="s">
        <v>21</v>
      </c>
      <c r="D8" s="35" t="s">
        <v>38</v>
      </c>
      <c r="E8" s="35" t="s">
        <v>23</v>
      </c>
      <c r="F8" s="35" t="s">
        <v>39</v>
      </c>
      <c r="G8" s="29">
        <v>3</v>
      </c>
      <c r="H8" s="36" t="s">
        <v>25</v>
      </c>
      <c r="I8" s="35" t="s">
        <v>26</v>
      </c>
      <c r="J8" s="35" t="s">
        <v>40</v>
      </c>
      <c r="K8" s="37">
        <v>46357</v>
      </c>
      <c r="L8" s="32" cm="1">
        <f t="array" ref="L8">INDEX('Financial Summary'!$D:$J,MATCH($A8,'Financial Summary'!$A:$A,0)+0+IF($N$3="High",1,0),MATCH($L$3,'Financial Summary'!$D$2:$J$2,0))</f>
        <v>1.1000000000000001</v>
      </c>
      <c r="M8" s="32" cm="1">
        <f t="array" ref="M8">INDEX('Financial Summary'!$D:$J,MATCH($A8,'Financial Summary'!$A:$A,0)+3+IF($N$3="High",1,0),MATCH($L$3,'Financial Summary'!$D$2:$J$2,0))</f>
        <v>0.72</v>
      </c>
      <c r="N8" s="32" cm="1">
        <f t="array" ref="N8">INDEX('Financial Summary'!$D:$J,MATCH($A8,'Financial Summary'!$A:$A,0)+7,MATCH($L$3,'Financial Summary'!$D$2:$J$2,0))</f>
        <v>0.64</v>
      </c>
      <c r="O8" s="32" cm="1">
        <f t="array" ref="O8">INDEX('Financial Summary'!$D:$J,MATCH($A8,'Financial Summary'!$A:$A,0)+10+IF($N$3="High",1,0),MATCH($L$3,'Financial Summary'!$D$2:$J$2,0))</f>
        <v>7.999999999999996E-2</v>
      </c>
      <c r="P8" s="32" cm="1">
        <f t="array" ref="P8">INDEX('Financial Summary'!$D:$K,MATCH($A8,'Financial Summary'!$A:$A,0)+0,MATCH("FY25",'Financial Summary'!$D$2:$K$2,0))</f>
        <v>3.9609999999999999</v>
      </c>
      <c r="Q8" s="32" cm="1">
        <f t="array" ref="Q8">INDEX('Financial Summary'!$D:$K,MATCH($A8,'Financial Summary'!$A:$A,0)+3,MATCH("FY25",'Financial Summary'!$D$2:$K$2,0))</f>
        <v>3.016</v>
      </c>
      <c r="R8" s="32" cm="1">
        <f t="array" ref="R8">INDEX('Financial Summary'!$D:$K,MATCH($A8,'Financial Summary'!$A:$A,0)+7,MATCH("FY25",'Financial Summary'!$D$2:$K$2,0))</f>
        <v>1.9610000000000001</v>
      </c>
      <c r="S8" s="32" cm="1">
        <f t="array" ref="S8">INDEX('Financial Summary'!$D:$K,MATCH($A8,'Financial Summary'!$A:$A,0)+10,MATCH("FY25",'Financial Summary'!$D$2:$K$2,0))</f>
        <v>1.0549999999999999</v>
      </c>
      <c r="T8" s="36">
        <f>COUNTIF(Milestones!$A:$A,$A8)</f>
        <v>10</v>
      </c>
      <c r="U8" s="36">
        <f>COUNTIF(KPIs!$A:$A,$A8)</f>
        <v>9</v>
      </c>
      <c r="V8" s="36">
        <f>COUNTIF(Risks!$A:$A,$A8)</f>
        <v>0</v>
      </c>
      <c r="W8" s="36">
        <f>COUNTIF('Action Items'!$A:$A,$A8)</f>
        <v>0</v>
      </c>
      <c r="X8" s="36">
        <f>COUNTIF('Status Updates'!$A:$A,$A8)</f>
        <v>0</v>
      </c>
    </row>
    <row r="9" spans="1:24" ht="15" hidden="1" customHeight="1" x14ac:dyDescent="0.25">
      <c r="A9" s="27" t="s">
        <v>42</v>
      </c>
      <c r="B9" s="28" t="s">
        <v>655</v>
      </c>
      <c r="C9" s="29" t="s">
        <v>21</v>
      </c>
      <c r="D9" s="29" t="s">
        <v>22</v>
      </c>
      <c r="E9" s="29" t="s">
        <v>23</v>
      </c>
      <c r="F9" s="29" t="s">
        <v>39</v>
      </c>
      <c r="G9" s="29">
        <v>3</v>
      </c>
      <c r="H9" s="30" t="s">
        <v>25</v>
      </c>
      <c r="I9" s="29" t="s">
        <v>26</v>
      </c>
      <c r="J9" s="29" t="s">
        <v>706</v>
      </c>
      <c r="K9" s="31">
        <v>46745</v>
      </c>
      <c r="L9" s="32" cm="1">
        <f t="array" ref="L9">INDEX('Financial Summary'!$D:$J,MATCH($A9,'Financial Summary'!$A:$A,0)+0+IF($N$3="High",1,0),MATCH($L$3,'Financial Summary'!$D$2:$J$2,0))</f>
        <v>2.46</v>
      </c>
      <c r="M9" s="32" cm="1">
        <f t="array" ref="M9">INDEX('Financial Summary'!$D:$J,MATCH($A9,'Financial Summary'!$A:$A,0)+3+IF($N$3="High",1,0),MATCH($L$3,'Financial Summary'!$D$2:$J$2,0))</f>
        <v>1.42</v>
      </c>
      <c r="N9" s="32" cm="1">
        <f t="array" ref="N9">INDEX('Financial Summary'!$D:$J,MATCH($A9,'Financial Summary'!$A:$A,0)+7,MATCH($L$3,'Financial Summary'!$D$2:$J$2,0))</f>
        <v>0</v>
      </c>
      <c r="O9" s="32" cm="1">
        <f t="array" ref="O9">INDEX('Financial Summary'!$D:$J,MATCH($A9,'Financial Summary'!$A:$A,0)+10+IF($N$3="High",1,0),MATCH($L$3,'Financial Summary'!$D$2:$J$2,0))</f>
        <v>1.42</v>
      </c>
      <c r="P9" s="32" cm="1">
        <f t="array" ref="P9">INDEX('Financial Summary'!$D:$K,MATCH($A9,'Financial Summary'!$A:$A,0)+0,MATCH("FY25",'Financial Summary'!$D$2:$K$2,0))</f>
        <v>10.967000000000001</v>
      </c>
      <c r="Q9" s="32" cm="1">
        <f t="array" ref="Q9">INDEX('Financial Summary'!$D:$K,MATCH($A9,'Financial Summary'!$A:$A,0)+3,MATCH("FY25",'Financial Summary'!$D$2:$K$2,0))</f>
        <v>6.12</v>
      </c>
      <c r="R9" s="32" cm="1">
        <f t="array" ref="R9">INDEX('Financial Summary'!$D:$K,MATCH($A9,'Financial Summary'!$A:$A,0)+7,MATCH("FY25",'Financial Summary'!$D$2:$K$2,0))</f>
        <v>0</v>
      </c>
      <c r="S9" s="32" cm="1">
        <f t="array" ref="S9">INDEX('Financial Summary'!$D:$K,MATCH($A9,'Financial Summary'!$A:$A,0)+10,MATCH("FY25",'Financial Summary'!$D$2:$K$2,0))</f>
        <v>6.12</v>
      </c>
      <c r="T9" s="30">
        <f>COUNTIF(Milestones!$A:$A,$A9)</f>
        <v>10</v>
      </c>
      <c r="U9" s="30">
        <f>COUNTIF(KPIs!$A:$A,$A9)</f>
        <v>9</v>
      </c>
      <c r="V9" s="30">
        <f>COUNTIF(Risks!$A:$A,$A9)</f>
        <v>0</v>
      </c>
      <c r="W9" s="30">
        <f>COUNTIF('Action Items'!$A:$A,$A9)</f>
        <v>0</v>
      </c>
      <c r="X9" s="30">
        <f>COUNTIF('Status Updates'!$A:$A,$A9)</f>
        <v>0</v>
      </c>
    </row>
    <row r="10" spans="1:24" ht="55.5" hidden="1" customHeight="1" x14ac:dyDescent="0.25">
      <c r="A10" s="33" t="s">
        <v>43</v>
      </c>
      <c r="B10" s="34" t="s">
        <v>44</v>
      </c>
      <c r="C10" s="35" t="s">
        <v>21</v>
      </c>
      <c r="D10" s="35" t="s">
        <v>45</v>
      </c>
      <c r="E10" s="35" t="s">
        <v>23</v>
      </c>
      <c r="F10" s="35" t="s">
        <v>39</v>
      </c>
      <c r="G10" s="29">
        <v>3</v>
      </c>
      <c r="H10" s="36" t="s">
        <v>25</v>
      </c>
      <c r="I10" s="35" t="s">
        <v>26</v>
      </c>
      <c r="J10" s="35" t="s">
        <v>46</v>
      </c>
      <c r="K10" s="37">
        <v>46501</v>
      </c>
      <c r="L10" s="32" cm="1">
        <f t="array" ref="L10">INDEX('Financial Summary'!$D:$J,MATCH($A10,'Financial Summary'!$A:$A,0)+0+IF($N$3="High",1,0),MATCH($L$3,'Financial Summary'!$D$2:$J$2,0))</f>
        <v>0.4</v>
      </c>
      <c r="M10" s="32" cm="1">
        <f t="array" ref="M10">INDEX('Financial Summary'!$D:$J,MATCH($A10,'Financial Summary'!$A:$A,0)+3+IF($N$3="High",1,0),MATCH($L$3,'Financial Summary'!$D$2:$J$2,0))</f>
        <v>0.24</v>
      </c>
      <c r="N10" s="32" cm="1">
        <f t="array" ref="N10">INDEX('Financial Summary'!$D:$J,MATCH($A10,'Financial Summary'!$A:$A,0)+7,MATCH($L$3,'Financial Summary'!$D$2:$J$2,0))</f>
        <v>0</v>
      </c>
      <c r="O10" s="32" cm="1">
        <f t="array" ref="O10">INDEX('Financial Summary'!$D:$J,MATCH($A10,'Financial Summary'!$A:$A,0)+10+IF($N$3="High",1,0),MATCH($L$3,'Financial Summary'!$D$2:$J$2,0))</f>
        <v>0.24</v>
      </c>
      <c r="P10" s="32" cm="1">
        <f t="array" ref="P10">INDEX('Financial Summary'!$D:$K,MATCH($A10,'Financial Summary'!$A:$A,0)+0,MATCH("FY25",'Financial Summary'!$D$2:$K$2,0))</f>
        <v>1.5449999999999999</v>
      </c>
      <c r="Q10" s="32" cm="1">
        <f t="array" ref="Q10">INDEX('Financial Summary'!$D:$K,MATCH($A10,'Financial Summary'!$A:$A,0)+3,MATCH("FY25",'Financial Summary'!$D$2:$K$2,0))</f>
        <v>1.024</v>
      </c>
      <c r="R10" s="32" cm="1">
        <f t="array" ref="R10">INDEX('Financial Summary'!$D:$K,MATCH($A10,'Financial Summary'!$A:$A,0)+7,MATCH("FY25",'Financial Summary'!$D$2:$K$2,0))</f>
        <v>0</v>
      </c>
      <c r="S10" s="32" cm="1">
        <f t="array" ref="S10">INDEX('Financial Summary'!$D:$K,MATCH($A10,'Financial Summary'!$A:$A,0)+10,MATCH("FY25",'Financial Summary'!$D$2:$K$2,0))</f>
        <v>1.024</v>
      </c>
      <c r="T10" s="36">
        <f>COUNTIF(Milestones!$A:$A,$A10)</f>
        <v>18</v>
      </c>
      <c r="U10" s="36">
        <f>COUNTIF(KPIs!$A:$A,$A10)</f>
        <v>9</v>
      </c>
      <c r="V10" s="36">
        <f>COUNTIF(Risks!$A:$A,$A10)</f>
        <v>0</v>
      </c>
      <c r="W10" s="36">
        <f>COUNTIF('Action Items'!$A:$A,$A10)</f>
        <v>0</v>
      </c>
      <c r="X10" s="36">
        <f>COUNTIF('Status Updates'!$A:$A,$A10)</f>
        <v>0</v>
      </c>
    </row>
    <row r="11" spans="1:24" ht="55.5" customHeight="1" x14ac:dyDescent="0.25">
      <c r="A11" s="27" t="s">
        <v>664</v>
      </c>
      <c r="B11" s="28" t="s">
        <v>663</v>
      </c>
      <c r="C11" s="29" t="s">
        <v>666</v>
      </c>
      <c r="D11" s="29" t="s">
        <v>665</v>
      </c>
      <c r="E11" s="29" t="s">
        <v>33</v>
      </c>
      <c r="F11" s="29" t="s">
        <v>24</v>
      </c>
      <c r="G11" s="29">
        <v>3</v>
      </c>
      <c r="H11" s="30" t="s">
        <v>25</v>
      </c>
      <c r="I11" s="29" t="s">
        <v>26</v>
      </c>
      <c r="J11" s="29" t="s">
        <v>477</v>
      </c>
      <c r="K11" s="31">
        <v>46487</v>
      </c>
      <c r="L11" s="32" cm="1">
        <f t="array" ref="L11">INDEX('Financial Summary'!$D:$J,MATCH($A11,'Financial Summary'!$A:$A,0)+0+IF($N$3="High",1,0),MATCH($L$3,'Financial Summary'!$D$2:$J$2,0))</f>
        <v>0</v>
      </c>
      <c r="M11" s="32" cm="1">
        <f t="array" ref="M11">INDEX('Financial Summary'!$D:$J,MATCH($A11,'Financial Summary'!$A:$A,0)+3+IF($N$3="High",1,0),MATCH($L$3,'Financial Summary'!$D$2:$J$2,0))</f>
        <v>0.68200000000000005</v>
      </c>
      <c r="N11" s="32" cm="1">
        <f t="array" ref="N11">INDEX('Financial Summary'!$D:$J,MATCH($A11,'Financial Summary'!$A:$A,0)+7,MATCH($L$3,'Financial Summary'!$D$2:$J$2,0))</f>
        <v>6.6000000000000003E-2</v>
      </c>
      <c r="O11" s="32" cm="1">
        <f t="array" ref="O11">INDEX('Financial Summary'!$D:$J,MATCH($A11,'Financial Summary'!$A:$A,0)+10+IF($N$3="High",1,0),MATCH($L$3,'Financial Summary'!$D$2:$J$2,0))</f>
        <v>0.6160000000000001</v>
      </c>
      <c r="P11" s="32" cm="1">
        <f t="array" ref="P11">INDEX('Financial Summary'!$D:$K,MATCH($A11,'Financial Summary'!$A:$A,0)+0,MATCH("FY25",'Financial Summary'!$D$2:$K$2,0))</f>
        <v>0</v>
      </c>
      <c r="Q11" s="32" cm="1">
        <f t="array" ref="Q11">INDEX('Financial Summary'!$D:$K,MATCH($A11,'Financial Summary'!$A:$A,0)+3,MATCH("FY25",'Financial Summary'!$D$2:$K$2,0))</f>
        <v>3.2</v>
      </c>
      <c r="R11" s="32" cm="1">
        <f t="array" ref="R11">INDEX('Financial Summary'!$D:$K,MATCH($A11,'Financial Summary'!$A:$A,0)+7,MATCH("FY25",'Financial Summary'!$D$2:$K$2,0))</f>
        <v>0.26100000000000001</v>
      </c>
      <c r="S11" s="32" cm="1">
        <f t="array" ref="S11">INDEX('Financial Summary'!$D:$K,MATCH($A11,'Financial Summary'!$A:$A,0)+10,MATCH("FY25",'Financial Summary'!$D$2:$K$2,0))</f>
        <v>2.9390000000000001</v>
      </c>
      <c r="T11" s="30">
        <f>COUNTIF(Milestones!$A:$A,$A11)</f>
        <v>15</v>
      </c>
      <c r="U11" s="30">
        <f>COUNTIF(KPIs!$A:$A,$A11)</f>
        <v>12</v>
      </c>
      <c r="V11" s="30">
        <f>COUNTIF(Risks!$A:$A,$A11)</f>
        <v>3</v>
      </c>
      <c r="W11" s="30">
        <f>COUNTIF('Action Items'!$A:$A,$A11)</f>
        <v>0</v>
      </c>
      <c r="X11" s="30">
        <f>COUNTIF('Status Updates'!$A:$A,$A11)</f>
        <v>0</v>
      </c>
    </row>
    <row r="12" spans="1:24" ht="55.5" customHeight="1" x14ac:dyDescent="0.25">
      <c r="A12" s="33" t="s">
        <v>668</v>
      </c>
      <c r="B12" s="34" t="s">
        <v>667</v>
      </c>
      <c r="C12" s="35" t="s">
        <v>666</v>
      </c>
      <c r="D12" s="35" t="s">
        <v>665</v>
      </c>
      <c r="E12" s="35" t="s">
        <v>33</v>
      </c>
      <c r="F12" s="35" t="s">
        <v>34</v>
      </c>
      <c r="G12" s="29">
        <v>3</v>
      </c>
      <c r="H12" s="36" t="s">
        <v>25</v>
      </c>
      <c r="I12" s="35" t="s">
        <v>26</v>
      </c>
      <c r="J12" s="35" t="s">
        <v>35</v>
      </c>
      <c r="K12" s="37">
        <v>46302</v>
      </c>
      <c r="L12" s="32" cm="1">
        <f t="array" ref="L12">INDEX('Financial Summary'!$D:$J,MATCH($A12,'Financial Summary'!$A:$A,0)+0+IF($N$3="High",1,0),MATCH($L$3,'Financial Summary'!$D$2:$J$2,0))</f>
        <v>0</v>
      </c>
      <c r="M12" s="32" cm="1">
        <f t="array" ref="M12">INDEX('Financial Summary'!$D:$J,MATCH($A12,'Financial Summary'!$A:$A,0)+3+IF($N$3="High",1,0),MATCH($L$3,'Financial Summary'!$D$2:$J$2,0))</f>
        <v>1.6739999999999999</v>
      </c>
      <c r="N12" s="32" cm="1">
        <f t="array" ref="N12">INDEX('Financial Summary'!$D:$J,MATCH($A12,'Financial Summary'!$A:$A,0)+7,MATCH($L$3,'Financial Summary'!$D$2:$J$2,0))</f>
        <v>0.09</v>
      </c>
      <c r="O12" s="32" cm="1">
        <f t="array" ref="O12">INDEX('Financial Summary'!$D:$J,MATCH($A12,'Financial Summary'!$A:$A,0)+10+IF($N$3="High",1,0),MATCH($L$3,'Financial Summary'!$D$2:$J$2,0))</f>
        <v>1.5839999999999999</v>
      </c>
      <c r="P12" s="32" cm="1">
        <f t="array" ref="P12">INDEX('Financial Summary'!$D:$K,MATCH($A12,'Financial Summary'!$A:$A,0)+0,MATCH("FY25",'Financial Summary'!$D$2:$K$2,0))</f>
        <v>0</v>
      </c>
      <c r="Q12" s="32" cm="1">
        <f t="array" ref="Q12">INDEX('Financial Summary'!$D:$K,MATCH($A12,'Financial Summary'!$A:$A,0)+3,MATCH("FY25",'Financial Summary'!$D$2:$K$2,0))</f>
        <v>7.3390000000000004</v>
      </c>
      <c r="R12" s="32" cm="1">
        <f t="array" ref="R12">INDEX('Financial Summary'!$D:$K,MATCH($A12,'Financial Summary'!$A:$A,0)+7,MATCH("FY25",'Financial Summary'!$D$2:$K$2,0))</f>
        <v>0.32200000000000001</v>
      </c>
      <c r="S12" s="32" cm="1">
        <f t="array" ref="S12">INDEX('Financial Summary'!$D:$K,MATCH($A12,'Financial Summary'!$A:$A,0)+10,MATCH("FY25",'Financial Summary'!$D$2:$K$2,0))</f>
        <v>7.0170000000000003</v>
      </c>
      <c r="T12" s="36">
        <f>COUNTIF(Milestones!$A:$A,$A12)</f>
        <v>14</v>
      </c>
      <c r="U12" s="36">
        <f>COUNTIF(KPIs!$A:$A,$A12)</f>
        <v>21</v>
      </c>
      <c r="V12" s="36">
        <f>COUNTIF(Risks!$A:$A,$A12)</f>
        <v>3</v>
      </c>
      <c r="W12" s="36">
        <f>COUNTIF('Action Items'!$A:$A,$A12)</f>
        <v>0</v>
      </c>
      <c r="X12" s="36">
        <f>COUNTIF('Status Updates'!$A:$A,$A12)</f>
        <v>0</v>
      </c>
    </row>
    <row r="13" spans="1:24" ht="55.5" customHeight="1" x14ac:dyDescent="0.25">
      <c r="A13" s="27" t="s">
        <v>671</v>
      </c>
      <c r="B13" s="28" t="s">
        <v>670</v>
      </c>
      <c r="C13" s="29" t="s">
        <v>666</v>
      </c>
      <c r="D13" s="29" t="s">
        <v>665</v>
      </c>
      <c r="E13" s="29" t="s">
        <v>23</v>
      </c>
      <c r="F13" s="29" t="s">
        <v>39</v>
      </c>
      <c r="G13" s="29">
        <v>3</v>
      </c>
      <c r="H13" s="30" t="s">
        <v>25</v>
      </c>
      <c r="I13" s="29" t="s">
        <v>26</v>
      </c>
      <c r="J13" s="29" t="s">
        <v>691</v>
      </c>
      <c r="K13" s="31">
        <v>46585</v>
      </c>
      <c r="L13" s="32" cm="1">
        <f t="array" ref="L13">INDEX('Financial Summary'!$D:$J,MATCH($A13,'Financial Summary'!$A:$A,0)+0+IF($N$3="High",1,0),MATCH($L$3,'Financial Summary'!$D$2:$J$2,0))</f>
        <v>2.8290000000000002</v>
      </c>
      <c r="M13" s="32" cm="1">
        <f t="array" ref="M13">INDEX('Financial Summary'!$D:$J,MATCH($A13,'Financial Summary'!$A:$A,0)+3+IF($N$3="High",1,0),MATCH($L$3,'Financial Summary'!$D$2:$J$2,0))</f>
        <v>1.633</v>
      </c>
      <c r="N13" s="32" cm="1">
        <f t="array" ref="N13">INDEX('Financial Summary'!$D:$J,MATCH($A13,'Financial Summary'!$A:$A,0)+7,MATCH($L$3,'Financial Summary'!$D$2:$J$2,0))</f>
        <v>0</v>
      </c>
      <c r="O13" s="32" cm="1">
        <f t="array" ref="O13">INDEX('Financial Summary'!$D:$J,MATCH($A13,'Financial Summary'!$A:$A,0)+10+IF($N$3="High",1,0),MATCH($L$3,'Financial Summary'!$D$2:$J$2,0))</f>
        <v>1.633</v>
      </c>
      <c r="P13" s="32" cm="1">
        <f t="array" ref="P13">INDEX('Financial Summary'!$D:$K,MATCH($A13,'Financial Summary'!$A:$A,0)+0,MATCH("FY25",'Financial Summary'!$D$2:$K$2,0))</f>
        <v>12.722</v>
      </c>
      <c r="Q13" s="32" cm="1">
        <f t="array" ref="Q13">INDEX('Financial Summary'!$D:$K,MATCH($A13,'Financial Summary'!$A:$A,0)+3,MATCH("FY25",'Financial Summary'!$D$2:$K$2,0))</f>
        <v>7.5919999999999996</v>
      </c>
      <c r="R13" s="32" cm="1">
        <f t="array" ref="R13">INDEX('Financial Summary'!$D:$K,MATCH($A13,'Financial Summary'!$A:$A,0)+7,MATCH("FY25",'Financial Summary'!$D$2:$K$2,0))</f>
        <v>0</v>
      </c>
      <c r="S13" s="32" cm="1">
        <f t="array" ref="S13">INDEX('Financial Summary'!$D:$K,MATCH($A13,'Financial Summary'!$A:$A,0)+10,MATCH("FY25",'Financial Summary'!$D$2:$K$2,0))</f>
        <v>7.5919999999999996</v>
      </c>
      <c r="T13" s="30">
        <f>COUNTIF(Milestones!$A:$A,$A13)</f>
        <v>10</v>
      </c>
      <c r="U13" s="30">
        <f>COUNTIF(KPIs!$A:$A,$A13)</f>
        <v>9</v>
      </c>
      <c r="V13" s="30">
        <f>COUNTIF(Risks!$A:$A,$A13)</f>
        <v>0</v>
      </c>
      <c r="W13" s="30">
        <f>COUNTIF('Action Items'!$A:$A,$A13)</f>
        <v>0</v>
      </c>
      <c r="X13" s="30">
        <f>COUNTIF('Status Updates'!$A:$A,$A13)</f>
        <v>0</v>
      </c>
    </row>
    <row r="14" spans="1:24" ht="55.5" customHeight="1" x14ac:dyDescent="0.25">
      <c r="A14" s="33" t="s">
        <v>674</v>
      </c>
      <c r="B14" s="34" t="s">
        <v>673</v>
      </c>
      <c r="C14" s="35" t="s">
        <v>666</v>
      </c>
      <c r="D14" s="35" t="s">
        <v>675</v>
      </c>
      <c r="E14" s="35" t="s">
        <v>23</v>
      </c>
      <c r="F14" s="35" t="s">
        <v>39</v>
      </c>
      <c r="G14" s="29">
        <v>3</v>
      </c>
      <c r="H14" s="36" t="s">
        <v>25</v>
      </c>
      <c r="I14" s="35" t="s">
        <v>26</v>
      </c>
      <c r="J14" s="35" t="s">
        <v>687</v>
      </c>
      <c r="K14" s="37">
        <v>46632</v>
      </c>
      <c r="L14" s="32" cm="1">
        <f t="array" ref="L14">INDEX('Financial Summary'!$D:$J,MATCH($A14,'Financial Summary'!$A:$A,0)+0+IF($N$3="High",1,0),MATCH($L$3,'Financial Summary'!$D$2:$J$2,0))</f>
        <v>0.93500000000000005</v>
      </c>
      <c r="M14" s="32" cm="1">
        <f t="array" ref="M14">INDEX('Financial Summary'!$D:$J,MATCH($A14,'Financial Summary'!$A:$A,0)+3+IF($N$3="High",1,0),MATCH($L$3,'Financial Summary'!$D$2:$J$2,0))</f>
        <v>0.61199999999999999</v>
      </c>
      <c r="N14" s="32" cm="1">
        <f t="array" ref="N14">INDEX('Financial Summary'!$D:$J,MATCH($A14,'Financial Summary'!$A:$A,0)+7,MATCH($L$3,'Financial Summary'!$D$2:$J$2,0))</f>
        <v>0.54400000000000004</v>
      </c>
      <c r="O14" s="32" cm="1">
        <f t="array" ref="O14">INDEX('Financial Summary'!$D:$J,MATCH($A14,'Financial Summary'!$A:$A,0)+10+IF($N$3="High",1,0),MATCH($L$3,'Financial Summary'!$D$2:$J$2,0))</f>
        <v>6.7999999999999949E-2</v>
      </c>
      <c r="P14" s="32" cm="1">
        <f t="array" ref="P14">INDEX('Financial Summary'!$D:$K,MATCH($A14,'Financial Summary'!$A:$A,0)+0,MATCH("FY25",'Financial Summary'!$D$2:$K$2,0))</f>
        <v>3.9670000000000001</v>
      </c>
      <c r="Q14" s="32" cm="1">
        <f t="array" ref="Q14">INDEX('Financial Summary'!$D:$K,MATCH($A14,'Financial Summary'!$A:$A,0)+3,MATCH("FY25",'Financial Summary'!$D$2:$K$2,0))</f>
        <v>2.3370000000000002</v>
      </c>
      <c r="R14" s="32" cm="1">
        <f t="array" ref="R14">INDEX('Financial Summary'!$D:$K,MATCH($A14,'Financial Summary'!$A:$A,0)+7,MATCH("FY25",'Financial Summary'!$D$2:$K$2,0))</f>
        <v>2.1429999999999998</v>
      </c>
      <c r="S14" s="32" cm="1">
        <f t="array" ref="S14">INDEX('Financial Summary'!$D:$K,MATCH($A14,'Financial Summary'!$A:$A,0)+10,MATCH("FY25",'Financial Summary'!$D$2:$K$2,0))</f>
        <v>0.19400000000000039</v>
      </c>
      <c r="T14" s="36">
        <f>COUNTIF(Milestones!$A:$A,$A14)</f>
        <v>10</v>
      </c>
      <c r="U14" s="36">
        <f>COUNTIF(KPIs!$A:$A,$A14)</f>
        <v>9</v>
      </c>
      <c r="V14" s="36">
        <f>COUNTIF(Risks!$A:$A,$A14)</f>
        <v>0</v>
      </c>
      <c r="W14" s="36">
        <f>COUNTIF('Action Items'!$A:$A,$A14)</f>
        <v>0</v>
      </c>
      <c r="X14" s="36">
        <f>COUNTIF('Status Updates'!$A:$A,$A14)</f>
        <v>0</v>
      </c>
    </row>
    <row r="15" spans="1:24" ht="55.5" customHeight="1" x14ac:dyDescent="0.25">
      <c r="A15" s="27" t="s">
        <v>678</v>
      </c>
      <c r="B15" s="28" t="s">
        <v>677</v>
      </c>
      <c r="C15" s="29" t="s">
        <v>666</v>
      </c>
      <c r="D15" s="29" t="s">
        <v>675</v>
      </c>
      <c r="E15" s="29" t="s">
        <v>33</v>
      </c>
      <c r="F15" s="29" t="s">
        <v>24</v>
      </c>
      <c r="G15" s="29">
        <v>3</v>
      </c>
      <c r="H15" s="30" t="s">
        <v>25</v>
      </c>
      <c r="I15" s="29" t="s">
        <v>26</v>
      </c>
      <c r="J15" s="29" t="s">
        <v>679</v>
      </c>
      <c r="K15" s="31">
        <v>46746</v>
      </c>
      <c r="L15" s="32" cm="1">
        <f t="array" ref="L15">INDEX('Financial Summary'!$D:$J,MATCH($A15,'Financial Summary'!$A:$A,0)+0+IF($N$3="High",1,0),MATCH($L$3,'Financial Summary'!$D$2:$J$2,0))</f>
        <v>0</v>
      </c>
      <c r="M15" s="32" cm="1">
        <f t="array" ref="M15">INDEX('Financial Summary'!$D:$J,MATCH($A15,'Financial Summary'!$A:$A,0)+3+IF($N$3="High",1,0),MATCH($L$3,'Financial Summary'!$D$2:$J$2,0))</f>
        <v>0.96599999999999997</v>
      </c>
      <c r="N15" s="32" cm="1">
        <f t="array" ref="N15">INDEX('Financial Summary'!$D:$J,MATCH($A15,'Financial Summary'!$A:$A,0)+7,MATCH($L$3,'Financial Summary'!$D$2:$J$2,0))</f>
        <v>0.105</v>
      </c>
      <c r="O15" s="32" cm="1">
        <f t="array" ref="O15">INDEX('Financial Summary'!$D:$J,MATCH($A15,'Financial Summary'!$A:$A,0)+10+IF($N$3="High",1,0),MATCH($L$3,'Financial Summary'!$D$2:$J$2,0))</f>
        <v>0.86099999999999999</v>
      </c>
      <c r="P15" s="32" cm="1">
        <f t="array" ref="P15">INDEX('Financial Summary'!$D:$K,MATCH($A15,'Financial Summary'!$A:$A,0)+0,MATCH("FY25",'Financial Summary'!$D$2:$K$2,0))</f>
        <v>0</v>
      </c>
      <c r="Q15" s="32" cm="1">
        <f t="array" ref="Q15">INDEX('Financial Summary'!$D:$K,MATCH($A15,'Financial Summary'!$A:$A,0)+3,MATCH("FY25",'Financial Summary'!$D$2:$K$2,0))</f>
        <v>4.0220000000000002</v>
      </c>
      <c r="R15" s="32" cm="1">
        <f t="array" ref="R15">INDEX('Financial Summary'!$D:$K,MATCH($A15,'Financial Summary'!$A:$A,0)+7,MATCH("FY25",'Financial Summary'!$D$2:$K$2,0))</f>
        <v>0.32300000000000001</v>
      </c>
      <c r="S15" s="32" cm="1">
        <f t="array" ref="S15">INDEX('Financial Summary'!$D:$K,MATCH($A15,'Financial Summary'!$A:$A,0)+10,MATCH("FY25",'Financial Summary'!$D$2:$K$2,0))</f>
        <v>3.6990000000000003</v>
      </c>
      <c r="T15" s="30">
        <f>COUNTIF(Milestones!$A:$A,$A15)</f>
        <v>20</v>
      </c>
      <c r="U15" s="30">
        <f>COUNTIF(KPIs!$A:$A,$A15)</f>
        <v>9</v>
      </c>
      <c r="V15" s="30">
        <f>COUNTIF(Risks!$A:$A,$A15)</f>
        <v>3</v>
      </c>
      <c r="W15" s="30">
        <f>COUNTIF('Action Items'!$A:$A,$A15)</f>
        <v>0</v>
      </c>
      <c r="X15" s="30">
        <f>COUNTIF('Status Updates'!$A:$A,$A15)</f>
        <v>0</v>
      </c>
    </row>
    <row r="16" spans="1:24" ht="55.5" hidden="1" customHeight="1" x14ac:dyDescent="0.25">
      <c r="A16" s="33" t="s">
        <v>681</v>
      </c>
      <c r="B16" s="34" t="s">
        <v>680</v>
      </c>
      <c r="C16" s="35" t="s">
        <v>683</v>
      </c>
      <c r="D16" s="35" t="s">
        <v>682</v>
      </c>
      <c r="E16" s="35" t="s">
        <v>33</v>
      </c>
      <c r="F16" s="35" t="s">
        <v>24</v>
      </c>
      <c r="G16" s="29">
        <v>3</v>
      </c>
      <c r="H16" s="36" t="s">
        <v>25</v>
      </c>
      <c r="I16" s="35" t="s">
        <v>26</v>
      </c>
      <c r="J16" s="35" t="s">
        <v>477</v>
      </c>
      <c r="K16" s="37">
        <v>46397</v>
      </c>
      <c r="L16" s="32" cm="1">
        <f t="array" ref="L16">INDEX('Financial Summary'!$D:$J,MATCH($A16,'Financial Summary'!$A:$A,0)+0+IF($N$3="High",1,0),MATCH($L$3,'Financial Summary'!$D$2:$J$2,0))</f>
        <v>0</v>
      </c>
      <c r="M16" s="32" cm="1">
        <f t="array" ref="M16">INDEX('Financial Summary'!$D:$J,MATCH($A16,'Financial Summary'!$A:$A,0)+3+IF($N$3="High",1,0),MATCH($L$3,'Financial Summary'!$D$2:$J$2,0))</f>
        <v>0.58899999999999997</v>
      </c>
      <c r="N16" s="32" cm="1">
        <f t="array" ref="N16">INDEX('Financial Summary'!$D:$J,MATCH($A16,'Financial Summary'!$A:$A,0)+7,MATCH($L$3,'Financial Summary'!$D$2:$J$2,0))</f>
        <v>5.7000000000000002E-2</v>
      </c>
      <c r="O16" s="32" cm="1">
        <f t="array" ref="O16">INDEX('Financial Summary'!$D:$J,MATCH($A16,'Financial Summary'!$A:$A,0)+10+IF($N$3="High",1,0),MATCH($L$3,'Financial Summary'!$D$2:$J$2,0))</f>
        <v>0.53199999999999992</v>
      </c>
      <c r="P16" s="32" cm="1">
        <f t="array" ref="P16">INDEX('Financial Summary'!$D:$K,MATCH($A16,'Financial Summary'!$A:$A,0)+0,MATCH("FY25",'Financial Summary'!$D$2:$K$2,0))</f>
        <v>0</v>
      </c>
      <c r="Q16" s="32" cm="1">
        <f t="array" ref="Q16">INDEX('Financial Summary'!$D:$K,MATCH($A16,'Financial Summary'!$A:$A,0)+3,MATCH("FY25",'Financial Summary'!$D$2:$K$2,0))</f>
        <v>1.9470000000000001</v>
      </c>
      <c r="R16" s="32" cm="1">
        <f t="array" ref="R16">INDEX('Financial Summary'!$D:$K,MATCH($A16,'Financial Summary'!$A:$A,0)+7,MATCH("FY25",'Financial Summary'!$D$2:$K$2,0))</f>
        <v>0.253</v>
      </c>
      <c r="S16" s="32" cm="1">
        <f t="array" ref="S16">INDEX('Financial Summary'!$D:$K,MATCH($A16,'Financial Summary'!$A:$A,0)+10,MATCH("FY25",'Financial Summary'!$D$2:$K$2,0))</f>
        <v>1.694</v>
      </c>
      <c r="T16" s="36">
        <f>COUNTIF(Milestones!$A:$A,$A16)</f>
        <v>15</v>
      </c>
      <c r="U16" s="36">
        <f>COUNTIF(KPIs!$A:$A,$A16)</f>
        <v>12</v>
      </c>
      <c r="V16" s="36">
        <f>COUNTIF(Risks!$A:$A,$A16)</f>
        <v>3</v>
      </c>
      <c r="W16" s="36">
        <f>COUNTIF('Action Items'!$A:$A,$A16)</f>
        <v>0</v>
      </c>
      <c r="X16" s="36">
        <f>COUNTIF('Status Updates'!$A:$A,$A16)</f>
        <v>0</v>
      </c>
    </row>
    <row r="17" spans="1:24" ht="55.5" hidden="1" customHeight="1" x14ac:dyDescent="0.25">
      <c r="A17" s="27" t="s">
        <v>686</v>
      </c>
      <c r="B17" s="28" t="s">
        <v>685</v>
      </c>
      <c r="C17" s="29" t="s">
        <v>683</v>
      </c>
      <c r="D17" s="29" t="s">
        <v>682</v>
      </c>
      <c r="E17" s="29" t="s">
        <v>33</v>
      </c>
      <c r="F17" s="29" t="s">
        <v>34</v>
      </c>
      <c r="G17" s="29">
        <v>3</v>
      </c>
      <c r="H17" s="30" t="s">
        <v>25</v>
      </c>
      <c r="I17" s="29" t="s">
        <v>26</v>
      </c>
      <c r="J17" s="29" t="s">
        <v>687</v>
      </c>
      <c r="K17" s="31">
        <v>46520</v>
      </c>
      <c r="L17" s="32" cm="1">
        <f t="array" ref="L17">INDEX('Financial Summary'!$D:$J,MATCH($A17,'Financial Summary'!$A:$A,0)+0+IF($N$3="High",1,0),MATCH($L$3,'Financial Summary'!$D$2:$J$2,0))</f>
        <v>0</v>
      </c>
      <c r="M17" s="32" cm="1">
        <f t="array" ref="M17">INDEX('Financial Summary'!$D:$J,MATCH($A17,'Financial Summary'!$A:$A,0)+3+IF($N$3="High",1,0),MATCH($L$3,'Financial Summary'!$D$2:$J$2,0))</f>
        <v>2.2320000000000002</v>
      </c>
      <c r="N17" s="32" cm="1">
        <f t="array" ref="N17">INDEX('Financial Summary'!$D:$J,MATCH($A17,'Financial Summary'!$A:$A,0)+7,MATCH($L$3,'Financial Summary'!$D$2:$J$2,0))</f>
        <v>0.12</v>
      </c>
      <c r="O17" s="32" cm="1">
        <f t="array" ref="O17">INDEX('Financial Summary'!$D:$J,MATCH($A17,'Financial Summary'!$A:$A,0)+10+IF($N$3="High",1,0),MATCH($L$3,'Financial Summary'!$D$2:$J$2,0))</f>
        <v>2.1120000000000001</v>
      </c>
      <c r="P17" s="32" cm="1">
        <f t="array" ref="P17">INDEX('Financial Summary'!$D:$K,MATCH($A17,'Financial Summary'!$A:$A,0)+0,MATCH("FY25",'Financial Summary'!$D$2:$K$2,0))</f>
        <v>0</v>
      </c>
      <c r="Q17" s="32" cm="1">
        <f t="array" ref="Q17">INDEX('Financial Summary'!$D:$K,MATCH($A17,'Financial Summary'!$A:$A,0)+3,MATCH("FY25",'Financial Summary'!$D$2:$K$2,0))</f>
        <v>7.1159999999999997</v>
      </c>
      <c r="R17" s="32" cm="1">
        <f t="array" ref="R17">INDEX('Financial Summary'!$D:$K,MATCH($A17,'Financial Summary'!$A:$A,0)+7,MATCH("FY25",'Financial Summary'!$D$2:$K$2,0))</f>
        <v>0.44700000000000001</v>
      </c>
      <c r="S17" s="32" cm="1">
        <f t="array" ref="S17">INDEX('Financial Summary'!$D:$K,MATCH($A17,'Financial Summary'!$A:$A,0)+10,MATCH("FY25",'Financial Summary'!$D$2:$K$2,0))</f>
        <v>6.6689999999999996</v>
      </c>
      <c r="T17" s="30">
        <f>COUNTIF(Milestones!$A:$A,$A17)</f>
        <v>14</v>
      </c>
      <c r="U17" s="30">
        <f>COUNTIF(KPIs!$A:$A,$A17)</f>
        <v>21</v>
      </c>
      <c r="V17" s="30">
        <f>COUNTIF(Risks!$A:$A,$A17)</f>
        <v>3</v>
      </c>
      <c r="W17" s="30">
        <f>COUNTIF('Action Items'!$A:$A,$A17)</f>
        <v>0</v>
      </c>
      <c r="X17" s="30">
        <f>COUNTIF('Status Updates'!$A:$A,$A17)</f>
        <v>0</v>
      </c>
    </row>
    <row r="18" spans="1:24" ht="55.5" hidden="1" customHeight="1" x14ac:dyDescent="0.25">
      <c r="A18" s="33" t="s">
        <v>689</v>
      </c>
      <c r="B18" s="34" t="s">
        <v>688</v>
      </c>
      <c r="C18" s="35" t="s">
        <v>683</v>
      </c>
      <c r="D18" s="35" t="s">
        <v>690</v>
      </c>
      <c r="E18" s="35" t="s">
        <v>23</v>
      </c>
      <c r="F18" s="35" t="s">
        <v>39</v>
      </c>
      <c r="G18" s="29">
        <v>3</v>
      </c>
      <c r="H18" s="36" t="s">
        <v>25</v>
      </c>
      <c r="I18" s="35" t="s">
        <v>26</v>
      </c>
      <c r="J18" s="35" t="s">
        <v>691</v>
      </c>
      <c r="K18" s="37">
        <v>46672</v>
      </c>
      <c r="L18" s="32" cm="1">
        <f t="array" ref="L18">INDEX('Financial Summary'!$D:$J,MATCH($A18,'Financial Summary'!$A:$A,0)+0+IF($N$3="High",1,0),MATCH($L$3,'Financial Summary'!$D$2:$J$2,0))</f>
        <v>1.968</v>
      </c>
      <c r="M18" s="32" cm="1">
        <f t="array" ref="M18">INDEX('Financial Summary'!$D:$J,MATCH($A18,'Financial Summary'!$A:$A,0)+3+IF($N$3="High",1,0),MATCH($L$3,'Financial Summary'!$D$2:$J$2,0))</f>
        <v>1.1359999999999999</v>
      </c>
      <c r="N18" s="32" cm="1">
        <f t="array" ref="N18">INDEX('Financial Summary'!$D:$J,MATCH($A18,'Financial Summary'!$A:$A,0)+7,MATCH($L$3,'Financial Summary'!$D$2:$J$2,0))</f>
        <v>0</v>
      </c>
      <c r="O18" s="32" cm="1">
        <f t="array" ref="O18">INDEX('Financial Summary'!$D:$J,MATCH($A18,'Financial Summary'!$A:$A,0)+10+IF($N$3="High",1,0),MATCH($L$3,'Financial Summary'!$D$2:$J$2,0))</f>
        <v>1.1359999999999999</v>
      </c>
      <c r="P18" s="32" cm="1">
        <f t="array" ref="P18">INDEX('Financial Summary'!$D:$K,MATCH($A18,'Financial Summary'!$A:$A,0)+0,MATCH("FY25",'Financial Summary'!$D$2:$K$2,0))</f>
        <v>8.5779999999999994</v>
      </c>
      <c r="Q18" s="32" cm="1">
        <f t="array" ref="Q18">INDEX('Financial Summary'!$D:$K,MATCH($A18,'Financial Summary'!$A:$A,0)+3,MATCH("FY25",'Financial Summary'!$D$2:$K$2,0))</f>
        <v>5.2770000000000001</v>
      </c>
      <c r="R18" s="32" cm="1">
        <f t="array" ref="R18">INDEX('Financial Summary'!$D:$K,MATCH($A18,'Financial Summary'!$A:$A,0)+7,MATCH("FY25",'Financial Summary'!$D$2:$K$2,0))</f>
        <v>0</v>
      </c>
      <c r="S18" s="32" cm="1">
        <f t="array" ref="S18">INDEX('Financial Summary'!$D:$K,MATCH($A18,'Financial Summary'!$A:$A,0)+10,MATCH("FY25",'Financial Summary'!$D$2:$K$2,0))</f>
        <v>5.2770000000000001</v>
      </c>
      <c r="T18" s="36">
        <f>COUNTIF(Milestones!$A:$A,$A18)</f>
        <v>10</v>
      </c>
      <c r="U18" s="36">
        <f>COUNTIF(KPIs!$A:$A,$A18)</f>
        <v>9</v>
      </c>
      <c r="V18" s="36">
        <f>COUNTIF(Risks!$A:$A,$A18)</f>
        <v>0</v>
      </c>
      <c r="W18" s="36">
        <f>COUNTIF('Action Items'!$A:$A,$A18)</f>
        <v>0</v>
      </c>
      <c r="X18" s="36">
        <f>COUNTIF('Status Updates'!$A:$A,$A18)</f>
        <v>0</v>
      </c>
    </row>
    <row r="19" spans="1:24" ht="55.5" hidden="1" customHeight="1" x14ac:dyDescent="0.25">
      <c r="A19" s="27" t="s">
        <v>693</v>
      </c>
      <c r="B19" s="28" t="s">
        <v>692</v>
      </c>
      <c r="C19" s="29" t="s">
        <v>683</v>
      </c>
      <c r="D19" s="29" t="s">
        <v>690</v>
      </c>
      <c r="E19" s="29" t="s">
        <v>23</v>
      </c>
      <c r="F19" s="29" t="s">
        <v>39</v>
      </c>
      <c r="G19" s="29">
        <v>3</v>
      </c>
      <c r="H19" s="30" t="s">
        <v>25</v>
      </c>
      <c r="I19" s="29" t="s">
        <v>26</v>
      </c>
      <c r="J19" s="29" t="s">
        <v>35</v>
      </c>
      <c r="K19" s="31">
        <v>46385</v>
      </c>
      <c r="L19" s="32" cm="1">
        <f t="array" ref="L19">INDEX('Financial Summary'!$D:$J,MATCH($A19,'Financial Summary'!$A:$A,0)+0+IF($N$3="High",1,0),MATCH($L$3,'Financial Summary'!$D$2:$J$2,0))</f>
        <v>1.21</v>
      </c>
      <c r="M19" s="32" cm="1">
        <f t="array" ref="M19">INDEX('Financial Summary'!$D:$J,MATCH($A19,'Financial Summary'!$A:$A,0)+3+IF($N$3="High",1,0),MATCH($L$3,'Financial Summary'!$D$2:$J$2,0))</f>
        <v>0.79200000000000004</v>
      </c>
      <c r="N19" s="32" cm="1">
        <f t="array" ref="N19">INDEX('Financial Summary'!$D:$J,MATCH($A19,'Financial Summary'!$A:$A,0)+7,MATCH($L$3,'Financial Summary'!$D$2:$J$2,0))</f>
        <v>0.70399999999999996</v>
      </c>
      <c r="O19" s="32" cm="1">
        <f t="array" ref="O19">INDEX('Financial Summary'!$D:$J,MATCH($A19,'Financial Summary'!$A:$A,0)+10+IF($N$3="High",1,0),MATCH($L$3,'Financial Summary'!$D$2:$J$2,0))</f>
        <v>8.8000000000000078E-2</v>
      </c>
      <c r="P19" s="32" cm="1">
        <f t="array" ref="P19">INDEX('Financial Summary'!$D:$K,MATCH($A19,'Financial Summary'!$A:$A,0)+0,MATCH("FY25",'Financial Summary'!$D$2:$K$2,0))</f>
        <v>5.9859999999999998</v>
      </c>
      <c r="Q19" s="32" cm="1">
        <f t="array" ref="Q19">INDEX('Financial Summary'!$D:$K,MATCH($A19,'Financial Summary'!$A:$A,0)+3,MATCH("FY25",'Financial Summary'!$D$2:$K$2,0))</f>
        <v>3.2160000000000002</v>
      </c>
      <c r="R19" s="32" cm="1">
        <f t="array" ref="R19">INDEX('Financial Summary'!$D:$K,MATCH($A19,'Financial Summary'!$A:$A,0)+7,MATCH("FY25",'Financial Summary'!$D$2:$K$2,0))</f>
        <v>2.5409999999999999</v>
      </c>
      <c r="S19" s="32" cm="1">
        <f t="array" ref="S19">INDEX('Financial Summary'!$D:$K,MATCH($A19,'Financial Summary'!$A:$A,0)+10,MATCH("FY25",'Financial Summary'!$D$2:$K$2,0))</f>
        <v>0.67500000000000027</v>
      </c>
      <c r="T19" s="30">
        <f>COUNTIF(Milestones!$A:$A,$A19)</f>
        <v>10</v>
      </c>
      <c r="U19" s="30">
        <f>COUNTIF(KPIs!$A:$A,$A19)</f>
        <v>9</v>
      </c>
      <c r="V19" s="30">
        <f>COUNTIF(Risks!$A:$A,$A19)</f>
        <v>0</v>
      </c>
      <c r="W19" s="30">
        <f>COUNTIF('Action Items'!$A:$A,$A19)</f>
        <v>0</v>
      </c>
      <c r="X19" s="30">
        <f>COUNTIF('Status Updates'!$A:$A,$A19)</f>
        <v>0</v>
      </c>
    </row>
    <row r="20" spans="1:24" ht="55.5" hidden="1" customHeight="1" x14ac:dyDescent="0.25">
      <c r="A20" s="33" t="s">
        <v>696</v>
      </c>
      <c r="B20" s="34" t="s">
        <v>695</v>
      </c>
      <c r="C20" s="35" t="s">
        <v>683</v>
      </c>
      <c r="D20" s="35" t="s">
        <v>682</v>
      </c>
      <c r="E20" s="35" t="s">
        <v>33</v>
      </c>
      <c r="F20" s="35" t="s">
        <v>24</v>
      </c>
      <c r="G20" s="29">
        <v>3</v>
      </c>
      <c r="H20" s="36" t="s">
        <v>25</v>
      </c>
      <c r="I20" s="35" t="s">
        <v>26</v>
      </c>
      <c r="J20" s="35" t="s">
        <v>697</v>
      </c>
      <c r="K20" s="37">
        <v>46541</v>
      </c>
      <c r="L20" s="32" cm="1">
        <f t="array" ref="L20">INDEX('Financial Summary'!$D:$J,MATCH($A20,'Financial Summary'!$A:$A,0)+0+IF($N$3="High",1,0),MATCH($L$3,'Financial Summary'!$D$2:$J$2,0))</f>
        <v>0</v>
      </c>
      <c r="M20" s="32" cm="1">
        <f t="array" ref="M20">INDEX('Financial Summary'!$D:$J,MATCH($A20,'Financial Summary'!$A:$A,0)+3+IF($N$3="High",1,0),MATCH($L$3,'Financial Summary'!$D$2:$J$2,0))</f>
        <v>0.82799999999999996</v>
      </c>
      <c r="N20" s="32" cm="1">
        <f t="array" ref="N20">INDEX('Financial Summary'!$D:$J,MATCH($A20,'Financial Summary'!$A:$A,0)+7,MATCH($L$3,'Financial Summary'!$D$2:$J$2,0))</f>
        <v>0.09</v>
      </c>
      <c r="O20" s="32" cm="1">
        <f t="array" ref="O20">INDEX('Financial Summary'!$D:$J,MATCH($A20,'Financial Summary'!$A:$A,0)+10+IF($N$3="High",1,0),MATCH($L$3,'Financial Summary'!$D$2:$J$2,0))</f>
        <v>0.73799999999999999</v>
      </c>
      <c r="P20" s="32" cm="1">
        <f t="array" ref="P20">INDEX('Financial Summary'!$D:$K,MATCH($A20,'Financial Summary'!$A:$A,0)+0,MATCH("FY25",'Financial Summary'!$D$2:$K$2,0))</f>
        <v>0</v>
      </c>
      <c r="Q20" s="32" cm="1">
        <f t="array" ref="Q20">INDEX('Financial Summary'!$D:$K,MATCH($A20,'Financial Summary'!$A:$A,0)+3,MATCH("FY25",'Financial Summary'!$D$2:$K$2,0))</f>
        <v>3.0910000000000002</v>
      </c>
      <c r="R20" s="32" cm="1">
        <f t="array" ref="R20">INDEX('Financial Summary'!$D:$K,MATCH($A20,'Financial Summary'!$A:$A,0)+7,MATCH("FY25",'Financial Summary'!$D$2:$K$2,0))</f>
        <v>0.41699999999999998</v>
      </c>
      <c r="S20" s="32" cm="1">
        <f t="array" ref="S20">INDEX('Financial Summary'!$D:$K,MATCH($A20,'Financial Summary'!$A:$A,0)+10,MATCH("FY25",'Financial Summary'!$D$2:$K$2,0))</f>
        <v>2.6740000000000004</v>
      </c>
      <c r="T20" s="36">
        <f>COUNTIF(Milestones!$A:$A,$A20)</f>
        <v>20</v>
      </c>
      <c r="U20" s="36">
        <f>COUNTIF(KPIs!$A:$A,$A20)</f>
        <v>9</v>
      </c>
      <c r="V20" s="36">
        <f>COUNTIF(Risks!$A:$A,$A20)</f>
        <v>3</v>
      </c>
      <c r="W20" s="36">
        <f>COUNTIF('Action Items'!$A:$A,$A20)</f>
        <v>0</v>
      </c>
      <c r="X20" s="36">
        <f>COUNTIF('Status Updates'!$A:$A,$A20)</f>
        <v>0</v>
      </c>
    </row>
    <row r="21" spans="1:24" ht="55.5" hidden="1" customHeight="1" x14ac:dyDescent="0.25">
      <c r="A21" s="27" t="s">
        <v>699</v>
      </c>
      <c r="B21" s="28" t="s">
        <v>698</v>
      </c>
      <c r="C21" s="29" t="s">
        <v>683</v>
      </c>
      <c r="D21" s="29" t="s">
        <v>700</v>
      </c>
      <c r="E21" s="29" t="s">
        <v>23</v>
      </c>
      <c r="F21" s="29" t="s">
        <v>39</v>
      </c>
      <c r="G21" s="29">
        <v>3</v>
      </c>
      <c r="H21" s="30" t="s">
        <v>25</v>
      </c>
      <c r="I21" s="29" t="s">
        <v>26</v>
      </c>
      <c r="J21" s="29" t="s">
        <v>701</v>
      </c>
      <c r="K21" s="31">
        <v>46624</v>
      </c>
      <c r="L21" s="32" cm="1">
        <f t="array" ref="L21">INDEX('Financial Summary'!$D:$J,MATCH($A21,'Financial Summary'!$A:$A,0)+0+IF($N$3="High",1,0),MATCH($L$3,'Financial Summary'!$D$2:$J$2,0))</f>
        <v>0.5</v>
      </c>
      <c r="M21" s="32" cm="1">
        <f t="array" ref="M21">INDEX('Financial Summary'!$D:$J,MATCH($A21,'Financial Summary'!$A:$A,0)+3+IF($N$3="High",1,0),MATCH($L$3,'Financial Summary'!$D$2:$J$2,0))</f>
        <v>0.3</v>
      </c>
      <c r="N21" s="32" cm="1">
        <f t="array" ref="N21">INDEX('Financial Summary'!$D:$J,MATCH($A21,'Financial Summary'!$A:$A,0)+7,MATCH($L$3,'Financial Summary'!$D$2:$J$2,0))</f>
        <v>0</v>
      </c>
      <c r="O21" s="32" cm="1">
        <f t="array" ref="O21">INDEX('Financial Summary'!$D:$J,MATCH($A21,'Financial Summary'!$A:$A,0)+10+IF($N$3="High",1,0),MATCH($L$3,'Financial Summary'!$D$2:$J$2,0))</f>
        <v>0.3</v>
      </c>
      <c r="P21" s="32" cm="1">
        <f t="array" ref="P21">INDEX('Financial Summary'!$D:$K,MATCH($A21,'Financial Summary'!$A:$A,0)+0,MATCH("FY25",'Financial Summary'!$D$2:$K$2,0))</f>
        <v>2.4780000000000002</v>
      </c>
      <c r="Q21" s="32" cm="1">
        <f t="array" ref="Q21">INDEX('Financial Summary'!$D:$K,MATCH($A21,'Financial Summary'!$A:$A,0)+3,MATCH("FY25",'Financial Summary'!$D$2:$K$2,0))</f>
        <v>1.4319999999999999</v>
      </c>
      <c r="R21" s="32" cm="1">
        <f t="array" ref="R21">INDEX('Financial Summary'!$D:$K,MATCH($A21,'Financial Summary'!$A:$A,0)+7,MATCH("FY25",'Financial Summary'!$D$2:$K$2,0))</f>
        <v>0</v>
      </c>
      <c r="S21" s="32" cm="1">
        <f t="array" ref="S21">INDEX('Financial Summary'!$D:$K,MATCH($A21,'Financial Summary'!$A:$A,0)+10,MATCH("FY25",'Financial Summary'!$D$2:$K$2,0))</f>
        <v>1.4319999999999999</v>
      </c>
      <c r="T21" s="30">
        <f>COUNTIF(Milestones!$A:$A,$A21)</f>
        <v>18</v>
      </c>
      <c r="U21" s="30">
        <f>COUNTIF(KPIs!$A:$A,$A21)</f>
        <v>9</v>
      </c>
      <c r="V21" s="30">
        <f>COUNTIF(Risks!$A:$A,$A21)</f>
        <v>0</v>
      </c>
      <c r="W21" s="30">
        <f>COUNTIF('Action Items'!$A:$A,$A21)</f>
        <v>0</v>
      </c>
      <c r="X21" s="30">
        <f>COUNTIF('Status Updates'!$A:$A,$A21)</f>
        <v>0</v>
      </c>
    </row>
    <row r="22" spans="1:24" ht="55.5" hidden="1" customHeight="1" x14ac:dyDescent="0.25">
      <c r="A22" s="33" t="s">
        <v>703</v>
      </c>
      <c r="B22" s="34" t="s">
        <v>702</v>
      </c>
      <c r="C22" s="35" t="s">
        <v>705</v>
      </c>
      <c r="D22" s="35" t="s">
        <v>704</v>
      </c>
      <c r="E22" s="35" t="s">
        <v>33</v>
      </c>
      <c r="F22" s="35" t="s">
        <v>24</v>
      </c>
      <c r="G22" s="29">
        <v>3</v>
      </c>
      <c r="H22" s="36" t="s">
        <v>25</v>
      </c>
      <c r="I22" s="35" t="s">
        <v>26</v>
      </c>
      <c r="J22" s="35" t="s">
        <v>477</v>
      </c>
      <c r="K22" s="37">
        <v>46699</v>
      </c>
      <c r="L22" s="32" cm="1">
        <f t="array" ref="L22">INDEX('Financial Summary'!$D:$J,MATCH($A22,'Financial Summary'!$A:$A,0)+0+IF($N$3="High",1,0),MATCH($L$3,'Financial Summary'!$D$2:$J$2,0))</f>
        <v>0</v>
      </c>
      <c r="M22" s="32" cm="1">
        <f t="array" ref="M22">INDEX('Financial Summary'!$D:$J,MATCH($A22,'Financial Summary'!$A:$A,0)+3+IF($N$3="High",1,0),MATCH($L$3,'Financial Summary'!$D$2:$J$2,0))</f>
        <v>0.65100000000000002</v>
      </c>
      <c r="N22" s="32" cm="1">
        <f t="array" ref="N22">INDEX('Financial Summary'!$D:$J,MATCH($A22,'Financial Summary'!$A:$A,0)+7,MATCH($L$3,'Financial Summary'!$D$2:$J$2,0))</f>
        <v>6.3E-2</v>
      </c>
      <c r="O22" s="32" cm="1">
        <f t="array" ref="O22">INDEX('Financial Summary'!$D:$J,MATCH($A22,'Financial Summary'!$A:$A,0)+10+IF($N$3="High",1,0),MATCH($L$3,'Financial Summary'!$D$2:$J$2,0))</f>
        <v>0.58800000000000008</v>
      </c>
      <c r="P22" s="32" cm="1">
        <f t="array" ref="P22">INDEX('Financial Summary'!$D:$K,MATCH($A22,'Financial Summary'!$A:$A,0)+0,MATCH("FY25",'Financial Summary'!$D$2:$K$2,0))</f>
        <v>0</v>
      </c>
      <c r="Q22" s="32" cm="1">
        <f t="array" ref="Q22">INDEX('Financial Summary'!$D:$K,MATCH($A22,'Financial Summary'!$A:$A,0)+3,MATCH("FY25",'Financial Summary'!$D$2:$K$2,0))</f>
        <v>2.09</v>
      </c>
      <c r="R22" s="32" cm="1">
        <f t="array" ref="R22">INDEX('Financial Summary'!$D:$K,MATCH($A22,'Financial Summary'!$A:$A,0)+7,MATCH("FY25",'Financial Summary'!$D$2:$K$2,0))</f>
        <v>0.28100000000000003</v>
      </c>
      <c r="S22" s="32" cm="1">
        <f t="array" ref="S22">INDEX('Financial Summary'!$D:$K,MATCH($A22,'Financial Summary'!$A:$A,0)+10,MATCH("FY25",'Financial Summary'!$D$2:$K$2,0))</f>
        <v>1.8089999999999997</v>
      </c>
      <c r="T22" s="36">
        <f>COUNTIF(Milestones!$A:$A,$A22)</f>
        <v>15</v>
      </c>
      <c r="U22" s="36">
        <f>COUNTIF(KPIs!$A:$A,$A22)</f>
        <v>12</v>
      </c>
      <c r="V22" s="36">
        <f>COUNTIF(Risks!$A:$A,$A22)</f>
        <v>3</v>
      </c>
      <c r="W22" s="36">
        <f>COUNTIF('Action Items'!$A:$A,$A22)</f>
        <v>0</v>
      </c>
      <c r="X22" s="36">
        <f>COUNTIF('Status Updates'!$A:$A,$A22)</f>
        <v>0</v>
      </c>
    </row>
    <row r="23" spans="1:24" ht="55.5" hidden="1" customHeight="1" x14ac:dyDescent="0.25">
      <c r="A23" s="27" t="s">
        <v>708</v>
      </c>
      <c r="B23" s="28" t="s">
        <v>707</v>
      </c>
      <c r="C23" s="29" t="s">
        <v>705</v>
      </c>
      <c r="D23" s="29" t="s">
        <v>704</v>
      </c>
      <c r="E23" s="29" t="s">
        <v>33</v>
      </c>
      <c r="F23" s="29" t="s">
        <v>34</v>
      </c>
      <c r="G23" s="29">
        <v>3</v>
      </c>
      <c r="H23" s="30" t="s">
        <v>25</v>
      </c>
      <c r="I23" s="29" t="s">
        <v>26</v>
      </c>
      <c r="J23" s="29" t="s">
        <v>706</v>
      </c>
      <c r="K23" s="31">
        <v>46556</v>
      </c>
      <c r="L23" s="32" cm="1">
        <f t="array" ref="L23">INDEX('Financial Summary'!$D:$J,MATCH($A23,'Financial Summary'!$A:$A,0)+0+IF($N$3="High",1,0),MATCH($L$3,'Financial Summary'!$D$2:$J$2,0))</f>
        <v>0</v>
      </c>
      <c r="M23" s="32" cm="1">
        <f t="array" ref="M23">INDEX('Financial Summary'!$D:$J,MATCH($A23,'Financial Summary'!$A:$A,0)+3+IF($N$3="High",1,0),MATCH($L$3,'Financial Summary'!$D$2:$J$2,0))</f>
        <v>1.581</v>
      </c>
      <c r="N23" s="32" cm="1">
        <f t="array" ref="N23">INDEX('Financial Summary'!$D:$J,MATCH($A23,'Financial Summary'!$A:$A,0)+7,MATCH($L$3,'Financial Summary'!$D$2:$J$2,0))</f>
        <v>8.5000000000000006E-2</v>
      </c>
      <c r="O23" s="32" cm="1">
        <f t="array" ref="O23">INDEX('Financial Summary'!$D:$J,MATCH($A23,'Financial Summary'!$A:$A,0)+10+IF($N$3="High",1,0),MATCH($L$3,'Financial Summary'!$D$2:$J$2,0))</f>
        <v>1.496</v>
      </c>
      <c r="P23" s="32" cm="1">
        <f t="array" ref="P23">INDEX('Financial Summary'!$D:$K,MATCH($A23,'Financial Summary'!$A:$A,0)+0,MATCH("FY25",'Financial Summary'!$D$2:$K$2,0))</f>
        <v>0</v>
      </c>
      <c r="Q23" s="32" cm="1">
        <f t="array" ref="Q23">INDEX('Financial Summary'!$D:$K,MATCH($A23,'Financial Summary'!$A:$A,0)+3,MATCH("FY25",'Financial Summary'!$D$2:$K$2,0))</f>
        <v>7.5010000000000003</v>
      </c>
      <c r="R23" s="32" cm="1">
        <f t="array" ref="R23">INDEX('Financial Summary'!$D:$K,MATCH($A23,'Financial Summary'!$A:$A,0)+7,MATCH("FY25",'Financial Summary'!$D$2:$K$2,0))</f>
        <v>0.26300000000000001</v>
      </c>
      <c r="S23" s="32" cm="1">
        <f t="array" ref="S23">INDEX('Financial Summary'!$D:$K,MATCH($A23,'Financial Summary'!$A:$A,0)+10,MATCH("FY25",'Financial Summary'!$D$2:$K$2,0))</f>
        <v>7.2380000000000004</v>
      </c>
      <c r="T23" s="30">
        <f>COUNTIF(Milestones!$A:$A,$A23)</f>
        <v>14</v>
      </c>
      <c r="U23" s="30">
        <f>COUNTIF(KPIs!$A:$A,$A23)</f>
        <v>21</v>
      </c>
      <c r="V23" s="30">
        <f>COUNTIF(Risks!$A:$A,$A23)</f>
        <v>3</v>
      </c>
      <c r="W23" s="30">
        <f>COUNTIF('Action Items'!$A:$A,$A23)</f>
        <v>0</v>
      </c>
      <c r="X23" s="30">
        <f>COUNTIF('Status Updates'!$A:$A,$A23)</f>
        <v>0</v>
      </c>
    </row>
    <row r="24" spans="1:24" ht="55.5" hidden="1" customHeight="1" x14ac:dyDescent="0.25">
      <c r="A24" s="33" t="s">
        <v>711</v>
      </c>
      <c r="B24" s="34" t="s">
        <v>710</v>
      </c>
      <c r="C24" s="35" t="s">
        <v>705</v>
      </c>
      <c r="D24" s="35" t="s">
        <v>712</v>
      </c>
      <c r="E24" s="35" t="s">
        <v>23</v>
      </c>
      <c r="F24" s="35" t="s">
        <v>39</v>
      </c>
      <c r="G24" s="29">
        <v>3</v>
      </c>
      <c r="H24" s="36" t="s">
        <v>25</v>
      </c>
      <c r="I24" s="35" t="s">
        <v>26</v>
      </c>
      <c r="J24" s="35" t="s">
        <v>687</v>
      </c>
      <c r="K24" s="37">
        <v>46329</v>
      </c>
      <c r="L24" s="32" cm="1">
        <f t="array" ref="L24">INDEX('Financial Summary'!$D:$J,MATCH($A24,'Financial Summary'!$A:$A,0)+0+IF($N$3="High",1,0),MATCH($L$3,'Financial Summary'!$D$2:$J$2,0))</f>
        <v>1.2649999999999999</v>
      </c>
      <c r="M24" s="32" cm="1">
        <f t="array" ref="M24">INDEX('Financial Summary'!$D:$J,MATCH($A24,'Financial Summary'!$A:$A,0)+3+IF($N$3="High",1,0),MATCH($L$3,'Financial Summary'!$D$2:$J$2,0))</f>
        <v>0.82799999999999996</v>
      </c>
      <c r="N24" s="32" cm="1">
        <f t="array" ref="N24">INDEX('Financial Summary'!$D:$J,MATCH($A24,'Financial Summary'!$A:$A,0)+7,MATCH($L$3,'Financial Summary'!$D$2:$J$2,0))</f>
        <v>0.73599999999999999</v>
      </c>
      <c r="O24" s="32" cm="1">
        <f t="array" ref="O24">INDEX('Financial Summary'!$D:$J,MATCH($A24,'Financial Summary'!$A:$A,0)+10+IF($N$3="High",1,0),MATCH($L$3,'Financial Summary'!$D$2:$J$2,0))</f>
        <v>9.1999999999999971E-2</v>
      </c>
      <c r="P24" s="32" cm="1">
        <f t="array" ref="P24">INDEX('Financial Summary'!$D:$K,MATCH($A24,'Financial Summary'!$A:$A,0)+0,MATCH("FY25",'Financial Summary'!$D$2:$K$2,0))</f>
        <v>6.2560000000000002</v>
      </c>
      <c r="Q24" s="32" cm="1">
        <f t="array" ref="Q24">INDEX('Financial Summary'!$D:$K,MATCH($A24,'Financial Summary'!$A:$A,0)+3,MATCH("FY25",'Financial Summary'!$D$2:$K$2,0))</f>
        <v>3.109</v>
      </c>
      <c r="R24" s="32" cm="1">
        <f t="array" ref="R24">INDEX('Financial Summary'!$D:$K,MATCH($A24,'Financial Summary'!$A:$A,0)+7,MATCH("FY25",'Financial Summary'!$D$2:$K$2,0))</f>
        <v>3.03</v>
      </c>
      <c r="S24" s="32" cm="1">
        <f t="array" ref="S24">INDEX('Financial Summary'!$D:$K,MATCH($A24,'Financial Summary'!$A:$A,0)+10,MATCH("FY25",'Financial Summary'!$D$2:$K$2,0))</f>
        <v>7.9000000000000181E-2</v>
      </c>
      <c r="T24" s="36">
        <f>COUNTIF(Milestones!$A:$A,$A24)</f>
        <v>10</v>
      </c>
      <c r="U24" s="36">
        <f>COUNTIF(KPIs!$A:$A,$A24)</f>
        <v>9</v>
      </c>
      <c r="V24" s="36">
        <f>COUNTIF(Risks!$A:$A,$A24)</f>
        <v>0</v>
      </c>
      <c r="W24" s="36">
        <f>COUNTIF('Action Items'!$A:$A,$A24)</f>
        <v>0</v>
      </c>
      <c r="X24" s="36">
        <f>COUNTIF('Status Updates'!$A:$A,$A24)</f>
        <v>0</v>
      </c>
    </row>
    <row r="25" spans="1:24" ht="55.5" hidden="1" customHeight="1" x14ac:dyDescent="0.25">
      <c r="A25" s="27" t="s">
        <v>715</v>
      </c>
      <c r="B25" s="28" t="s">
        <v>714</v>
      </c>
      <c r="C25" s="29" t="s">
        <v>705</v>
      </c>
      <c r="D25" s="29" t="s">
        <v>712</v>
      </c>
      <c r="E25" s="29" t="s">
        <v>23</v>
      </c>
      <c r="F25" s="29" t="s">
        <v>39</v>
      </c>
      <c r="G25" s="29">
        <v>3</v>
      </c>
      <c r="H25" s="30" t="s">
        <v>25</v>
      </c>
      <c r="I25" s="29" t="s">
        <v>26</v>
      </c>
      <c r="J25" s="29" t="s">
        <v>716</v>
      </c>
      <c r="K25" s="31">
        <v>46426</v>
      </c>
      <c r="L25" s="32" cm="1">
        <f t="array" ref="L25">INDEX('Financial Summary'!$D:$J,MATCH($A25,'Financial Summary'!$A:$A,0)+0+IF($N$3="High",1,0),MATCH($L$3,'Financial Summary'!$D$2:$J$2,0))</f>
        <v>2.3370000000000002</v>
      </c>
      <c r="M25" s="32" cm="1">
        <f t="array" ref="M25">INDEX('Financial Summary'!$D:$J,MATCH($A25,'Financial Summary'!$A:$A,0)+3+IF($N$3="High",1,0),MATCH($L$3,'Financial Summary'!$D$2:$J$2,0))</f>
        <v>1.349</v>
      </c>
      <c r="N25" s="32" cm="1">
        <f t="array" ref="N25">INDEX('Financial Summary'!$D:$J,MATCH($A25,'Financial Summary'!$A:$A,0)+7,MATCH($L$3,'Financial Summary'!$D$2:$J$2,0))</f>
        <v>0</v>
      </c>
      <c r="O25" s="32" cm="1">
        <f t="array" ref="O25">INDEX('Financial Summary'!$D:$J,MATCH($A25,'Financial Summary'!$A:$A,0)+10+IF($N$3="High",1,0),MATCH($L$3,'Financial Summary'!$D$2:$J$2,0))</f>
        <v>1.349</v>
      </c>
      <c r="P25" s="32" cm="1">
        <f t="array" ref="P25">INDEX('Financial Summary'!$D:$K,MATCH($A25,'Financial Summary'!$A:$A,0)+0,MATCH("FY25",'Financial Summary'!$D$2:$K$2,0))</f>
        <v>11.006</v>
      </c>
      <c r="Q25" s="32" cm="1">
        <f t="array" ref="Q25">INDEX('Financial Summary'!$D:$K,MATCH($A25,'Financial Summary'!$A:$A,0)+3,MATCH("FY25",'Financial Summary'!$D$2:$K$2,0))</f>
        <v>4.5869999999999997</v>
      </c>
      <c r="R25" s="32" cm="1">
        <f t="array" ref="R25">INDEX('Financial Summary'!$D:$K,MATCH($A25,'Financial Summary'!$A:$A,0)+7,MATCH("FY25",'Financial Summary'!$D$2:$K$2,0))</f>
        <v>0</v>
      </c>
      <c r="S25" s="32" cm="1">
        <f t="array" ref="S25">INDEX('Financial Summary'!$D:$K,MATCH($A25,'Financial Summary'!$A:$A,0)+10,MATCH("FY25",'Financial Summary'!$D$2:$K$2,0))</f>
        <v>4.5869999999999997</v>
      </c>
      <c r="T25" s="30">
        <f>COUNTIF(Milestones!$A:$A,$A25)</f>
        <v>10</v>
      </c>
      <c r="U25" s="30">
        <f>COUNTIF(KPIs!$A:$A,$A25)</f>
        <v>9</v>
      </c>
      <c r="V25" s="30">
        <f>COUNTIF(Risks!$A:$A,$A25)</f>
        <v>0</v>
      </c>
      <c r="W25" s="30">
        <f>COUNTIF('Action Items'!$A:$A,$A25)</f>
        <v>0</v>
      </c>
      <c r="X25" s="30">
        <f>COUNTIF('Status Updates'!$A:$A,$A25)</f>
        <v>0</v>
      </c>
    </row>
    <row r="26" spans="1:24" ht="18" hidden="1" customHeight="1" x14ac:dyDescent="0.25">
      <c r="A26" s="2" t="s">
        <v>47</v>
      </c>
      <c r="B26" s="2"/>
      <c r="C26" s="2"/>
      <c r="D26" s="2"/>
      <c r="E26" s="2"/>
      <c r="F26" s="2"/>
      <c r="G26" s="2"/>
      <c r="H26" s="2"/>
      <c r="I26" s="2"/>
      <c r="J26" s="2"/>
      <c r="K26" s="2"/>
      <c r="L26" s="13">
        <f>SUM(L5:L25)</f>
        <v>15.004000000000001</v>
      </c>
      <c r="M26" s="13">
        <f>SUM(M5:M25)</f>
        <v>21.633000000000003</v>
      </c>
      <c r="N26" s="13">
        <f>SUM(N5:N25)</f>
        <v>3.5600000000000005</v>
      </c>
      <c r="O26" s="13">
        <f>SUM(O5:O25)</f>
        <v>18.073</v>
      </c>
      <c r="P26" s="13">
        <f>SUM(P5:P25)</f>
        <v>67.465999999999994</v>
      </c>
      <c r="Q26" s="13">
        <f>SUM(Q5:Q25)</f>
        <v>87.960000000000008</v>
      </c>
      <c r="R26" s="13">
        <f>SUM(R5:R25)</f>
        <v>13.265000000000001</v>
      </c>
      <c r="S26" s="13">
        <f>SUM(S5:S25)</f>
        <v>74.694999999999993</v>
      </c>
      <c r="T26" s="14">
        <f>SUM(T5:T25)</f>
        <v>292</v>
      </c>
      <c r="U26" s="14">
        <f>SUM(U5:U25)</f>
        <v>249</v>
      </c>
      <c r="V26" s="14">
        <f>SUM(V5:V25)</f>
        <v>33</v>
      </c>
      <c r="W26" s="14">
        <f>SUM(W5:W25)</f>
        <v>0</v>
      </c>
      <c r="X26" s="14">
        <f>SUM(X5:X25)</f>
        <v>4</v>
      </c>
    </row>
  </sheetData>
  <autoFilter ref="A4:X26" xr:uid="{00000000-0009-0000-0000-000000000000}">
    <filterColumn colId="2">
      <filters>
        <filter val="Eastbridge Region"/>
      </filters>
    </filterColumn>
  </autoFilter>
  <mergeCells count="3">
    <mergeCell ref="A1:X1"/>
    <mergeCell ref="A2:X2"/>
    <mergeCell ref="A26:K26"/>
  </mergeCells>
  <dataValidations count="2">
    <dataValidation type="list" allowBlank="1" showInputMessage="1" showErrorMessage="1" sqref="L3" xr:uid="{66364F76-9AE3-4B16-BA95-EF87D41EF34F}">
      <formula1>"FY26,FY27,FY28,FY29,FY30,FY31,All Years"</formula1>
    </dataValidation>
    <dataValidation type="list" allowBlank="1" showInputMessage="1" showErrorMessage="1" sqref="N3" xr:uid="{3D70BE21-C948-411F-BD1D-1DA0012CED4F}">
      <formula1>"Base,High"</formula1>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21"/>
  <sheetViews>
    <sheetView showGridLines="0" zoomScaleNormal="100" workbookViewId="0">
      <pane xSplit="1" ySplit="2" topLeftCell="B6" activePane="bottomRight" state="frozen"/>
      <selection pane="topRight" activeCell="B1" sqref="B1"/>
      <selection pane="bottomLeft" activeCell="A3" sqref="A3"/>
      <selection pane="bottomRight" activeCell="A17" sqref="A17:A19"/>
    </sheetView>
  </sheetViews>
  <sheetFormatPr defaultColWidth="8.7109375" defaultRowHeight="15" x14ac:dyDescent="0.25"/>
  <cols>
    <col min="1" max="1" width="24" customWidth="1"/>
    <col min="2" max="7" width="30" customWidth="1"/>
  </cols>
  <sheetData>
    <row r="1" spans="1:22" ht="24" customHeight="1" x14ac:dyDescent="0.25">
      <c r="A1" s="1" t="s">
        <v>48</v>
      </c>
      <c r="B1" s="1"/>
      <c r="C1" s="1"/>
      <c r="D1" s="1"/>
      <c r="E1" s="1"/>
      <c r="F1" s="1"/>
      <c r="G1" s="1"/>
    </row>
    <row r="2" spans="1:22" ht="42" customHeight="1" x14ac:dyDescent="0.25">
      <c r="A2" s="5" t="s">
        <v>49</v>
      </c>
      <c r="B2" s="5" t="s">
        <v>50</v>
      </c>
      <c r="C2" s="5" t="s">
        <v>51</v>
      </c>
      <c r="D2" s="5" t="s">
        <v>657</v>
      </c>
      <c r="E2" s="5" t="s">
        <v>52</v>
      </c>
      <c r="F2" s="5" t="s">
        <v>658</v>
      </c>
      <c r="G2" s="5" t="s">
        <v>53</v>
      </c>
      <c r="H2" s="5" t="s">
        <v>50</v>
      </c>
      <c r="I2" s="5" t="s">
        <v>657</v>
      </c>
      <c r="J2" s="5" t="s">
        <v>658</v>
      </c>
      <c r="K2" s="5" t="s">
        <v>52</v>
      </c>
      <c r="L2" s="5" t="s">
        <v>51</v>
      </c>
      <c r="M2" s="5" t="s">
        <v>50</v>
      </c>
      <c r="N2" s="5" t="s">
        <v>657</v>
      </c>
      <c r="O2" s="5" t="s">
        <v>658</v>
      </c>
      <c r="P2" s="5" t="s">
        <v>52</v>
      </c>
      <c r="Q2" s="5" t="s">
        <v>51</v>
      </c>
      <c r="R2" s="5" t="s">
        <v>53</v>
      </c>
      <c r="S2" s="5" t="s">
        <v>50</v>
      </c>
      <c r="T2" s="5" t="s">
        <v>657</v>
      </c>
      <c r="U2" s="5" t="s">
        <v>52</v>
      </c>
      <c r="V2" s="5" t="s">
        <v>658</v>
      </c>
    </row>
    <row r="3" spans="1:22" ht="15.75" customHeight="1" x14ac:dyDescent="0.25">
      <c r="A3" s="15" t="s">
        <v>54</v>
      </c>
      <c r="B3" s="7" t="s">
        <v>20</v>
      </c>
      <c r="C3" s="7" t="s">
        <v>30</v>
      </c>
      <c r="D3" s="7" t="s">
        <v>656</v>
      </c>
      <c r="E3" s="7" t="s">
        <v>37</v>
      </c>
      <c r="F3" s="7" t="s">
        <v>655</v>
      </c>
      <c r="G3" s="7" t="s">
        <v>44</v>
      </c>
      <c r="H3" s="7" t="s">
        <v>663</v>
      </c>
      <c r="I3" s="7" t="s">
        <v>667</v>
      </c>
      <c r="J3" s="7" t="s">
        <v>670</v>
      </c>
      <c r="K3" s="7" t="s">
        <v>673</v>
      </c>
      <c r="L3" s="7" t="s">
        <v>677</v>
      </c>
      <c r="M3" s="7" t="s">
        <v>680</v>
      </c>
      <c r="N3" s="7" t="s">
        <v>685</v>
      </c>
      <c r="O3" s="7" t="s">
        <v>688</v>
      </c>
      <c r="P3" s="7" t="s">
        <v>692</v>
      </c>
      <c r="Q3" s="7" t="s">
        <v>695</v>
      </c>
      <c r="R3" s="7" t="s">
        <v>698</v>
      </c>
      <c r="S3" s="7" t="s">
        <v>702</v>
      </c>
      <c r="T3" s="7" t="s">
        <v>707</v>
      </c>
      <c r="U3" s="7" t="s">
        <v>710</v>
      </c>
      <c r="V3" s="7" t="s">
        <v>714</v>
      </c>
    </row>
    <row r="4" spans="1:22" ht="15.75" customHeight="1" x14ac:dyDescent="0.25">
      <c r="A4" s="15" t="s">
        <v>1</v>
      </c>
      <c r="B4" s="7" t="s">
        <v>19</v>
      </c>
      <c r="C4" s="7" t="s">
        <v>29</v>
      </c>
      <c r="D4" s="7" t="s">
        <v>32</v>
      </c>
      <c r="E4" s="7" t="s">
        <v>36</v>
      </c>
      <c r="F4" s="7" t="s">
        <v>42</v>
      </c>
      <c r="G4" s="7" t="s">
        <v>43</v>
      </c>
      <c r="H4" s="7" t="s">
        <v>664</v>
      </c>
      <c r="I4" s="7" t="s">
        <v>668</v>
      </c>
      <c r="J4" s="7" t="s">
        <v>671</v>
      </c>
      <c r="K4" s="7" t="s">
        <v>674</v>
      </c>
      <c r="L4" s="7" t="s">
        <v>678</v>
      </c>
      <c r="M4" s="7" t="s">
        <v>681</v>
      </c>
      <c r="N4" s="7" t="s">
        <v>686</v>
      </c>
      <c r="O4" s="7" t="s">
        <v>689</v>
      </c>
      <c r="P4" s="7" t="s">
        <v>693</v>
      </c>
      <c r="Q4" s="7" t="s">
        <v>696</v>
      </c>
      <c r="R4" s="7" t="s">
        <v>699</v>
      </c>
      <c r="S4" s="7" t="s">
        <v>703</v>
      </c>
      <c r="T4" s="7" t="s">
        <v>708</v>
      </c>
      <c r="U4" s="7" t="s">
        <v>711</v>
      </c>
      <c r="V4" s="7" t="s">
        <v>715</v>
      </c>
    </row>
    <row r="5" spans="1:22" ht="15.75" customHeight="1" x14ac:dyDescent="0.25">
      <c r="A5" s="54" t="s">
        <v>1108</v>
      </c>
      <c r="B5" s="55" t="s">
        <v>1104</v>
      </c>
      <c r="C5" s="55" t="s">
        <v>1104</v>
      </c>
      <c r="D5" s="55" t="s">
        <v>1104</v>
      </c>
      <c r="E5" s="55" t="s">
        <v>1104</v>
      </c>
      <c r="F5" s="55" t="s">
        <v>1104</v>
      </c>
      <c r="G5" s="55" t="s">
        <v>1104</v>
      </c>
      <c r="H5" s="55" t="s">
        <v>1104</v>
      </c>
      <c r="I5" s="55" t="s">
        <v>1104</v>
      </c>
      <c r="J5" s="55" t="s">
        <v>1104</v>
      </c>
      <c r="K5" s="55" t="s">
        <v>1104</v>
      </c>
      <c r="L5" s="55" t="s">
        <v>1104</v>
      </c>
      <c r="M5" s="55" t="s">
        <v>1104</v>
      </c>
      <c r="N5" s="55" t="s">
        <v>1104</v>
      </c>
      <c r="O5" s="55" t="s">
        <v>1104</v>
      </c>
      <c r="P5" s="55" t="s">
        <v>1104</v>
      </c>
      <c r="Q5" s="55" t="s">
        <v>1104</v>
      </c>
      <c r="R5" s="55" t="s">
        <v>1104</v>
      </c>
      <c r="S5" s="55" t="s">
        <v>1104</v>
      </c>
      <c r="T5" s="55" t="s">
        <v>1104</v>
      </c>
      <c r="U5" s="55" t="s">
        <v>1104</v>
      </c>
      <c r="V5" s="55" t="s">
        <v>1104</v>
      </c>
    </row>
    <row r="6" spans="1:22" ht="15.75" customHeight="1" x14ac:dyDescent="0.25">
      <c r="A6" s="15" t="s">
        <v>55</v>
      </c>
      <c r="B6" s="7" t="s">
        <v>25</v>
      </c>
      <c r="C6" s="7" t="s">
        <v>25</v>
      </c>
      <c r="D6" s="7" t="s">
        <v>25</v>
      </c>
      <c r="E6" s="7" t="s">
        <v>25</v>
      </c>
      <c r="F6" s="7" t="s">
        <v>25</v>
      </c>
      <c r="G6" s="7" t="s">
        <v>25</v>
      </c>
      <c r="H6" s="7" t="s">
        <v>25</v>
      </c>
      <c r="I6" s="7" t="s">
        <v>25</v>
      </c>
      <c r="J6" s="7" t="s">
        <v>25</v>
      </c>
      <c r="K6" s="7" t="s">
        <v>25</v>
      </c>
      <c r="L6" s="7" t="s">
        <v>25</v>
      </c>
      <c r="M6" s="7" t="s">
        <v>25</v>
      </c>
      <c r="N6" s="7" t="s">
        <v>25</v>
      </c>
      <c r="O6" s="7" t="s">
        <v>25</v>
      </c>
      <c r="P6" s="7" t="s">
        <v>25</v>
      </c>
      <c r="Q6" s="7" t="s">
        <v>25</v>
      </c>
      <c r="R6" s="7" t="s">
        <v>25</v>
      </c>
      <c r="S6" s="7" t="s">
        <v>25</v>
      </c>
      <c r="T6" s="7" t="s">
        <v>25</v>
      </c>
      <c r="U6" s="7" t="s">
        <v>25</v>
      </c>
      <c r="V6" s="7" t="s">
        <v>25</v>
      </c>
    </row>
    <row r="7" spans="1:22" ht="15.75" customHeight="1" x14ac:dyDescent="0.25">
      <c r="A7" s="15" t="s">
        <v>9</v>
      </c>
      <c r="B7" s="7" t="s">
        <v>26</v>
      </c>
      <c r="C7" s="7" t="s">
        <v>26</v>
      </c>
      <c r="D7" s="7" t="s">
        <v>26</v>
      </c>
      <c r="E7" s="7" t="s">
        <v>26</v>
      </c>
      <c r="F7" s="7" t="s">
        <v>26</v>
      </c>
      <c r="G7" s="7" t="s">
        <v>26</v>
      </c>
      <c r="H7" s="7" t="s">
        <v>26</v>
      </c>
      <c r="I7" s="7" t="s">
        <v>26</v>
      </c>
      <c r="J7" s="7" t="s">
        <v>26</v>
      </c>
      <c r="K7" s="7" t="s">
        <v>26</v>
      </c>
      <c r="L7" s="7" t="s">
        <v>26</v>
      </c>
      <c r="M7" s="7" t="s">
        <v>26</v>
      </c>
      <c r="N7" s="7" t="s">
        <v>26</v>
      </c>
      <c r="O7" s="7" t="s">
        <v>26</v>
      </c>
      <c r="P7" s="7" t="s">
        <v>26</v>
      </c>
      <c r="Q7" s="7" t="s">
        <v>26</v>
      </c>
      <c r="R7" s="7" t="s">
        <v>26</v>
      </c>
      <c r="S7" s="7" t="s">
        <v>26</v>
      </c>
      <c r="T7" s="7" t="s">
        <v>26</v>
      </c>
      <c r="U7" s="7" t="s">
        <v>26</v>
      </c>
      <c r="V7" s="7" t="s">
        <v>26</v>
      </c>
    </row>
    <row r="8" spans="1:22" ht="15.75" customHeight="1" x14ac:dyDescent="0.25">
      <c r="A8" s="15" t="s">
        <v>56</v>
      </c>
      <c r="B8" s="55" t="s">
        <v>33</v>
      </c>
      <c r="C8" s="55" t="s">
        <v>33</v>
      </c>
      <c r="D8" s="7" t="s">
        <v>33</v>
      </c>
      <c r="E8" s="7" t="s">
        <v>23</v>
      </c>
      <c r="F8" s="7" t="s">
        <v>23</v>
      </c>
      <c r="G8" s="7" t="s">
        <v>23</v>
      </c>
      <c r="H8" s="7" t="s">
        <v>33</v>
      </c>
      <c r="I8" s="7" t="s">
        <v>33</v>
      </c>
      <c r="J8" s="7" t="s">
        <v>23</v>
      </c>
      <c r="K8" s="7" t="s">
        <v>23</v>
      </c>
      <c r="L8" s="7" t="s">
        <v>33</v>
      </c>
      <c r="M8" s="7" t="s">
        <v>33</v>
      </c>
      <c r="N8" s="7" t="s">
        <v>33</v>
      </c>
      <c r="O8" s="7" t="s">
        <v>23</v>
      </c>
      <c r="P8" s="7" t="s">
        <v>23</v>
      </c>
      <c r="Q8" s="7" t="s">
        <v>33</v>
      </c>
      <c r="R8" s="7" t="s">
        <v>23</v>
      </c>
      <c r="S8" s="7" t="s">
        <v>33</v>
      </c>
      <c r="T8" s="7" t="s">
        <v>33</v>
      </c>
      <c r="U8" s="7" t="s">
        <v>23</v>
      </c>
      <c r="V8" s="7" t="s">
        <v>23</v>
      </c>
    </row>
    <row r="9" spans="1:22" ht="15.75" customHeight="1" x14ac:dyDescent="0.25">
      <c r="A9" s="15" t="s">
        <v>57</v>
      </c>
      <c r="B9" s="7" t="s">
        <v>24</v>
      </c>
      <c r="C9" s="7" t="s">
        <v>24</v>
      </c>
      <c r="D9" s="7" t="s">
        <v>34</v>
      </c>
      <c r="E9" s="7" t="s">
        <v>39</v>
      </c>
      <c r="F9" s="7" t="s">
        <v>39</v>
      </c>
      <c r="G9" s="7" t="s">
        <v>39</v>
      </c>
      <c r="H9" s="7" t="s">
        <v>24</v>
      </c>
      <c r="I9" s="7" t="s">
        <v>34</v>
      </c>
      <c r="J9" s="7" t="s">
        <v>39</v>
      </c>
      <c r="K9" s="7" t="s">
        <v>39</v>
      </c>
      <c r="L9" s="7" t="s">
        <v>24</v>
      </c>
      <c r="M9" s="7" t="s">
        <v>24</v>
      </c>
      <c r="N9" s="7" t="s">
        <v>34</v>
      </c>
      <c r="O9" s="7" t="s">
        <v>39</v>
      </c>
      <c r="P9" s="7" t="s">
        <v>39</v>
      </c>
      <c r="Q9" s="7" t="s">
        <v>24</v>
      </c>
      <c r="R9" s="7" t="s">
        <v>39</v>
      </c>
      <c r="S9" s="7" t="s">
        <v>24</v>
      </c>
      <c r="T9" s="7" t="s">
        <v>34</v>
      </c>
      <c r="U9" s="7" t="s">
        <v>39</v>
      </c>
      <c r="V9" s="7" t="s">
        <v>39</v>
      </c>
    </row>
    <row r="10" spans="1:22" ht="15.75" customHeight="1" x14ac:dyDescent="0.25">
      <c r="A10" s="15" t="s">
        <v>4</v>
      </c>
      <c r="B10" s="7" t="s">
        <v>22</v>
      </c>
      <c r="C10" s="7" t="s">
        <v>22</v>
      </c>
      <c r="D10" s="7" t="s">
        <v>22</v>
      </c>
      <c r="E10" s="7" t="s">
        <v>38</v>
      </c>
      <c r="F10" s="7" t="s">
        <v>22</v>
      </c>
      <c r="G10" s="7" t="s">
        <v>45</v>
      </c>
      <c r="H10" s="7" t="s">
        <v>665</v>
      </c>
      <c r="I10" s="7" t="s">
        <v>665</v>
      </c>
      <c r="J10" s="7" t="s">
        <v>665</v>
      </c>
      <c r="K10" s="7" t="s">
        <v>675</v>
      </c>
      <c r="L10" s="7" t="s">
        <v>675</v>
      </c>
      <c r="M10" s="7" t="s">
        <v>682</v>
      </c>
      <c r="N10" s="7" t="s">
        <v>682</v>
      </c>
      <c r="O10" s="7" t="s">
        <v>690</v>
      </c>
      <c r="P10" s="7" t="s">
        <v>690</v>
      </c>
      <c r="Q10" s="7" t="s">
        <v>682</v>
      </c>
      <c r="R10" s="7" t="s">
        <v>700</v>
      </c>
      <c r="S10" s="7" t="s">
        <v>704</v>
      </c>
      <c r="T10" s="7" t="s">
        <v>704</v>
      </c>
      <c r="U10" s="7" t="s">
        <v>712</v>
      </c>
      <c r="V10" s="7" t="s">
        <v>712</v>
      </c>
    </row>
    <row r="11" spans="1:22" ht="15.75" customHeight="1" x14ac:dyDescent="0.25">
      <c r="A11" s="15" t="s">
        <v>3</v>
      </c>
      <c r="B11" s="7" t="s">
        <v>21</v>
      </c>
      <c r="C11" s="7" t="s">
        <v>21</v>
      </c>
      <c r="D11" s="7" t="s">
        <v>21</v>
      </c>
      <c r="E11" s="7" t="s">
        <v>21</v>
      </c>
      <c r="F11" s="7" t="s">
        <v>21</v>
      </c>
      <c r="G11" s="7" t="s">
        <v>21</v>
      </c>
      <c r="H11" s="7" t="s">
        <v>666</v>
      </c>
      <c r="I11" s="7" t="s">
        <v>666</v>
      </c>
      <c r="J11" s="7" t="s">
        <v>666</v>
      </c>
      <c r="K11" s="7" t="s">
        <v>666</v>
      </c>
      <c r="L11" s="7" t="s">
        <v>666</v>
      </c>
      <c r="M11" s="7" t="s">
        <v>683</v>
      </c>
      <c r="N11" s="7" t="s">
        <v>683</v>
      </c>
      <c r="O11" s="7" t="s">
        <v>683</v>
      </c>
      <c r="P11" s="7" t="s">
        <v>683</v>
      </c>
      <c r="Q11" s="7" t="s">
        <v>683</v>
      </c>
      <c r="R11" s="7" t="s">
        <v>683</v>
      </c>
      <c r="S11" s="7" t="s">
        <v>705</v>
      </c>
      <c r="T11" s="7" t="s">
        <v>705</v>
      </c>
      <c r="U11" s="7" t="s">
        <v>705</v>
      </c>
      <c r="V11" s="7" t="s">
        <v>705</v>
      </c>
    </row>
    <row r="12" spans="1:22" ht="15.75" customHeight="1" x14ac:dyDescent="0.25">
      <c r="A12" s="15" t="s">
        <v>10</v>
      </c>
      <c r="B12" s="7" t="s">
        <v>27</v>
      </c>
      <c r="C12" s="7" t="s">
        <v>31</v>
      </c>
      <c r="D12" s="7" t="s">
        <v>35</v>
      </c>
      <c r="E12" s="7" t="s">
        <v>40</v>
      </c>
      <c r="F12" s="7" t="s">
        <v>706</v>
      </c>
      <c r="G12" s="7" t="s">
        <v>46</v>
      </c>
      <c r="H12" s="7" t="s">
        <v>477</v>
      </c>
      <c r="I12" s="7" t="s">
        <v>35</v>
      </c>
      <c r="J12" s="7" t="s">
        <v>691</v>
      </c>
      <c r="K12" s="7" t="s">
        <v>687</v>
      </c>
      <c r="L12" s="7" t="s">
        <v>679</v>
      </c>
      <c r="M12" s="7" t="s">
        <v>477</v>
      </c>
      <c r="N12" s="7" t="s">
        <v>687</v>
      </c>
      <c r="O12" s="7" t="s">
        <v>691</v>
      </c>
      <c r="P12" s="7" t="s">
        <v>35</v>
      </c>
      <c r="Q12" s="7" t="s">
        <v>697</v>
      </c>
      <c r="R12" s="7" t="s">
        <v>701</v>
      </c>
      <c r="S12" s="7" t="s">
        <v>477</v>
      </c>
      <c r="T12" s="7" t="s">
        <v>706</v>
      </c>
      <c r="U12" s="7" t="s">
        <v>687</v>
      </c>
      <c r="V12" s="7" t="s">
        <v>716</v>
      </c>
    </row>
    <row r="13" spans="1:22" ht="15.75" customHeight="1" x14ac:dyDescent="0.25">
      <c r="A13" s="86" t="s">
        <v>61</v>
      </c>
      <c r="B13" s="7"/>
      <c r="C13" s="7"/>
      <c r="D13" s="7"/>
      <c r="E13" s="7"/>
      <c r="F13" s="7"/>
      <c r="G13" s="7"/>
      <c r="H13" s="7"/>
      <c r="I13" s="7"/>
      <c r="J13" s="7"/>
      <c r="K13" s="7"/>
      <c r="L13" s="7"/>
      <c r="M13" s="7"/>
      <c r="N13" s="7"/>
      <c r="O13" s="7"/>
      <c r="P13" s="7"/>
      <c r="Q13" s="7"/>
      <c r="R13" s="7"/>
      <c r="S13" s="7"/>
      <c r="T13" s="7"/>
      <c r="U13" s="7"/>
      <c r="V13" s="7"/>
    </row>
    <row r="14" spans="1:22" ht="15.75" customHeight="1" x14ac:dyDescent="0.25">
      <c r="A14" s="86" t="s">
        <v>62</v>
      </c>
      <c r="B14" s="7"/>
      <c r="C14" s="7"/>
      <c r="D14" s="7"/>
      <c r="E14" s="7"/>
      <c r="F14" s="7"/>
      <c r="G14" s="7"/>
      <c r="H14" s="7"/>
      <c r="I14" s="7"/>
      <c r="J14" s="7"/>
      <c r="K14" s="7"/>
      <c r="L14" s="7"/>
      <c r="M14" s="7"/>
      <c r="N14" s="7"/>
      <c r="O14" s="7"/>
      <c r="P14" s="7"/>
      <c r="Q14" s="7"/>
      <c r="R14" s="7"/>
      <c r="S14" s="7"/>
      <c r="T14" s="7"/>
      <c r="U14" s="7"/>
      <c r="V14" s="7"/>
    </row>
    <row r="15" spans="1:22" ht="15.75" customHeight="1" x14ac:dyDescent="0.25">
      <c r="A15" s="15" t="s">
        <v>63</v>
      </c>
      <c r="B15" s="24">
        <v>46647</v>
      </c>
      <c r="C15" s="24">
        <v>46462</v>
      </c>
      <c r="D15" s="24">
        <v>46350</v>
      </c>
      <c r="E15" s="24">
        <v>46357</v>
      </c>
      <c r="F15" s="24">
        <v>46745</v>
      </c>
      <c r="G15" s="24">
        <v>46501</v>
      </c>
      <c r="H15" s="24">
        <v>46487</v>
      </c>
      <c r="I15" s="24">
        <v>46302</v>
      </c>
      <c r="J15" s="24">
        <v>46585</v>
      </c>
      <c r="K15" s="24">
        <v>46632</v>
      </c>
      <c r="L15" s="24">
        <v>46746</v>
      </c>
      <c r="M15" s="24">
        <v>46397</v>
      </c>
      <c r="N15" s="24">
        <v>46520</v>
      </c>
      <c r="O15" s="24">
        <v>46672</v>
      </c>
      <c r="P15" s="24">
        <v>46385</v>
      </c>
      <c r="Q15" s="24">
        <v>46541</v>
      </c>
      <c r="R15" s="24">
        <v>46624</v>
      </c>
      <c r="S15" s="24">
        <v>46699</v>
      </c>
      <c r="T15" s="24">
        <v>46556</v>
      </c>
      <c r="U15" s="24">
        <v>46329</v>
      </c>
      <c r="V15" s="24">
        <v>46426</v>
      </c>
    </row>
    <row r="16" spans="1:22" ht="15.75" customHeight="1" x14ac:dyDescent="0.25">
      <c r="A16" s="15" t="s">
        <v>64</v>
      </c>
      <c r="B16" s="7"/>
      <c r="C16" s="7"/>
      <c r="D16" s="7"/>
      <c r="E16" s="7"/>
      <c r="F16" s="7"/>
      <c r="G16" s="7"/>
      <c r="H16" s="7"/>
      <c r="I16" s="7"/>
      <c r="J16" s="7"/>
      <c r="K16" s="7"/>
      <c r="L16" s="7"/>
      <c r="M16" s="7"/>
      <c r="N16" s="7"/>
      <c r="O16" s="7"/>
      <c r="P16" s="7"/>
      <c r="Q16" s="7"/>
      <c r="R16" s="7"/>
      <c r="S16" s="7"/>
      <c r="T16" s="7"/>
      <c r="U16" s="7"/>
      <c r="V16" s="7"/>
    </row>
    <row r="17" spans="1:22" ht="90" customHeight="1" x14ac:dyDescent="0.25">
      <c r="A17" s="86" t="s">
        <v>65</v>
      </c>
      <c r="B17" s="7" t="s">
        <v>66</v>
      </c>
      <c r="C17" s="7" t="s">
        <v>67</v>
      </c>
      <c r="D17" s="7" t="s">
        <v>68</v>
      </c>
      <c r="E17" s="7" t="s">
        <v>69</v>
      </c>
      <c r="F17" s="7" t="s">
        <v>659</v>
      </c>
      <c r="G17" s="7" t="s">
        <v>70</v>
      </c>
      <c r="H17" s="7" t="s">
        <v>66</v>
      </c>
      <c r="I17" s="7" t="s">
        <v>68</v>
      </c>
      <c r="J17" s="7" t="s">
        <v>659</v>
      </c>
      <c r="K17" s="7" t="s">
        <v>69</v>
      </c>
      <c r="L17" s="7" t="s">
        <v>67</v>
      </c>
      <c r="M17" s="7" t="s">
        <v>66</v>
      </c>
      <c r="N17" s="7" t="s">
        <v>68</v>
      </c>
      <c r="O17" s="7" t="s">
        <v>659</v>
      </c>
      <c r="P17" s="7" t="s">
        <v>69</v>
      </c>
      <c r="Q17" s="7" t="s">
        <v>67</v>
      </c>
      <c r="R17" s="7" t="s">
        <v>70</v>
      </c>
      <c r="S17" s="7" t="s">
        <v>66</v>
      </c>
      <c r="T17" s="7" t="s">
        <v>68</v>
      </c>
      <c r="U17" s="7" t="s">
        <v>69</v>
      </c>
      <c r="V17" s="7" t="s">
        <v>659</v>
      </c>
    </row>
    <row r="18" spans="1:22" ht="90" customHeight="1" x14ac:dyDescent="0.25">
      <c r="A18" s="86" t="s">
        <v>71</v>
      </c>
      <c r="B18" s="7" t="s">
        <v>72</v>
      </c>
      <c r="C18" s="7" t="s">
        <v>73</v>
      </c>
      <c r="D18" s="7" t="s">
        <v>74</v>
      </c>
      <c r="E18" s="7" t="s">
        <v>75</v>
      </c>
      <c r="F18" s="7"/>
      <c r="G18" s="7" t="s">
        <v>76</v>
      </c>
      <c r="H18" s="7" t="s">
        <v>72</v>
      </c>
      <c r="I18" s="7" t="s">
        <v>74</v>
      </c>
      <c r="J18" s="7"/>
      <c r="K18" s="7" t="s">
        <v>75</v>
      </c>
      <c r="L18" s="7" t="s">
        <v>73</v>
      </c>
      <c r="M18" s="7" t="s">
        <v>72</v>
      </c>
      <c r="N18" s="7" t="s">
        <v>74</v>
      </c>
      <c r="O18" s="7"/>
      <c r="P18" s="7" t="s">
        <v>75</v>
      </c>
      <c r="Q18" s="7" t="s">
        <v>73</v>
      </c>
      <c r="R18" s="7" t="s">
        <v>76</v>
      </c>
      <c r="S18" s="7" t="s">
        <v>72</v>
      </c>
      <c r="T18" s="7" t="s">
        <v>74</v>
      </c>
      <c r="U18" s="7" t="s">
        <v>75</v>
      </c>
      <c r="V18" s="7"/>
    </row>
    <row r="19" spans="1:22" ht="90" customHeight="1" x14ac:dyDescent="0.25">
      <c r="A19" s="86" t="s">
        <v>77</v>
      </c>
      <c r="B19" s="7" t="s">
        <v>78</v>
      </c>
      <c r="C19" s="7" t="s">
        <v>79</v>
      </c>
      <c r="D19" s="7" t="s">
        <v>660</v>
      </c>
      <c r="E19" s="7" t="s">
        <v>80</v>
      </c>
      <c r="F19" s="7" t="s">
        <v>81</v>
      </c>
      <c r="G19" s="7" t="s">
        <v>82</v>
      </c>
      <c r="H19" s="7" t="s">
        <v>78</v>
      </c>
      <c r="I19" s="7" t="s">
        <v>660</v>
      </c>
      <c r="J19" s="7" t="s">
        <v>81</v>
      </c>
      <c r="K19" s="7" t="s">
        <v>80</v>
      </c>
      <c r="L19" s="7" t="s">
        <v>79</v>
      </c>
      <c r="M19" s="7" t="s">
        <v>78</v>
      </c>
      <c r="N19" s="7" t="s">
        <v>660</v>
      </c>
      <c r="O19" s="7" t="s">
        <v>81</v>
      </c>
      <c r="P19" s="7" t="s">
        <v>80</v>
      </c>
      <c r="Q19" s="7" t="s">
        <v>79</v>
      </c>
      <c r="R19" s="7" t="s">
        <v>82</v>
      </c>
      <c r="S19" s="7" t="s">
        <v>78</v>
      </c>
      <c r="T19" s="7" t="s">
        <v>660</v>
      </c>
      <c r="U19" s="7" t="s">
        <v>80</v>
      </c>
      <c r="V19" s="7" t="s">
        <v>81</v>
      </c>
    </row>
    <row r="20" spans="1:22" ht="15.75" customHeight="1" x14ac:dyDescent="0.25">
      <c r="A20" s="15" t="s">
        <v>83</v>
      </c>
      <c r="B20" s="16" cm="1">
        <f t="array" ref="B20">INDEX('Financial Summary'!$D:$J,MATCH(B$4,'Financial Summary'!$A:$A,0)+10,MATCH('Initiative Summary'!$L$3,'Financial Summary'!$D$2:$J$2,0))</f>
        <v>0.56000000000000005</v>
      </c>
      <c r="C20" s="16" cm="1">
        <f t="array" ref="C20">INDEX('Financial Summary'!$D:$J,MATCH(C$4,'Financial Summary'!$A:$A,0)+10,MATCH('Initiative Summary'!$L$3,'Financial Summary'!$D$2:$J$2,0))</f>
        <v>0.82000000000000006</v>
      </c>
      <c r="D20" s="16" cm="1">
        <f t="array" ref="D20">INDEX('Financial Summary'!$D:$J,MATCH(D$4,'Financial Summary'!$A:$A,0)+10,MATCH('Initiative Summary'!$L$3,'Financial Summary'!$D$2:$J$2,0))</f>
        <v>1.76</v>
      </c>
      <c r="E20" s="16" cm="1">
        <f t="array" ref="E20">INDEX('Financial Summary'!$D:$J,MATCH(E$4,'Financial Summary'!$A:$A,0)+10,MATCH('Initiative Summary'!$L$3,'Financial Summary'!$D$2:$J$2,0))</f>
        <v>7.999999999999996E-2</v>
      </c>
      <c r="F20" s="16" cm="1">
        <f t="array" ref="F20">INDEX('Financial Summary'!$D:$J,MATCH(F$4,'Financial Summary'!$A:$A,0)+10,MATCH('Initiative Summary'!$L$3,'Financial Summary'!$D$2:$J$2,0))</f>
        <v>1.42</v>
      </c>
      <c r="G20" s="16" cm="1">
        <f t="array" ref="G20">INDEX('Financial Summary'!$D:$J,MATCH(G$4,'Financial Summary'!$A:$A,0)+10,MATCH('Initiative Summary'!$L$3,'Financial Summary'!$D$2:$J$2,0))</f>
        <v>0.24</v>
      </c>
      <c r="H20" s="16" cm="1">
        <f t="array" ref="H20">INDEX('Financial Summary'!$D:$J,MATCH(H$4,'Financial Summary'!$A:$A,0)+10,MATCH('Initiative Summary'!$L$3,'Financial Summary'!$D$2:$J$2,0))</f>
        <v>0.6160000000000001</v>
      </c>
      <c r="I20" s="16" cm="1">
        <f t="array" ref="I20">INDEX('Financial Summary'!$D:$J,MATCH(I$4,'Financial Summary'!$A:$A,0)+10,MATCH('Initiative Summary'!$L$3,'Financial Summary'!$D$2:$J$2,0))</f>
        <v>1.5839999999999999</v>
      </c>
      <c r="J20" s="16" cm="1">
        <f t="array" ref="J20">INDEX('Financial Summary'!$D:$J,MATCH(J$4,'Financial Summary'!$A:$A,0)+10,MATCH('Initiative Summary'!$L$3,'Financial Summary'!$D$2:$J$2,0))</f>
        <v>1.633</v>
      </c>
      <c r="K20" s="16" cm="1">
        <f t="array" ref="K20">INDEX('Financial Summary'!$D:$J,MATCH(K$4,'Financial Summary'!$A:$A,0)+10,MATCH('Initiative Summary'!$L$3,'Financial Summary'!$D$2:$J$2,0))</f>
        <v>6.7999999999999949E-2</v>
      </c>
      <c r="L20" s="16" cm="1">
        <f t="array" ref="L20">INDEX('Financial Summary'!$D:$J,MATCH(L$4,'Financial Summary'!$A:$A,0)+10,MATCH('Initiative Summary'!$L$3,'Financial Summary'!$D$2:$J$2,0))</f>
        <v>0.86099999999999999</v>
      </c>
      <c r="M20" s="16" cm="1">
        <f t="array" ref="M20">INDEX('Financial Summary'!$D:$J,MATCH(M$4,'Financial Summary'!$A:$A,0)+10,MATCH('Initiative Summary'!$L$3,'Financial Summary'!$D$2:$J$2,0))</f>
        <v>0.53199999999999992</v>
      </c>
      <c r="N20" s="16" cm="1">
        <f t="array" ref="N20">INDEX('Financial Summary'!$D:$J,MATCH(N$4,'Financial Summary'!$A:$A,0)+10,MATCH('Initiative Summary'!$L$3,'Financial Summary'!$D$2:$J$2,0))</f>
        <v>2.1120000000000001</v>
      </c>
      <c r="O20" s="16" cm="1">
        <f t="array" ref="O20">INDEX('Financial Summary'!$D:$J,MATCH(O$4,'Financial Summary'!$A:$A,0)+10,MATCH('Initiative Summary'!$L$3,'Financial Summary'!$D$2:$J$2,0))</f>
        <v>1.1359999999999999</v>
      </c>
      <c r="P20" s="16" cm="1">
        <f t="array" ref="P20">INDEX('Financial Summary'!$D:$J,MATCH(P$4,'Financial Summary'!$A:$A,0)+10,MATCH('Initiative Summary'!$L$3,'Financial Summary'!$D$2:$J$2,0))</f>
        <v>8.8000000000000078E-2</v>
      </c>
      <c r="Q20" s="16" cm="1">
        <f t="array" ref="Q20">INDEX('Financial Summary'!$D:$J,MATCH(Q$4,'Financial Summary'!$A:$A,0)+10,MATCH('Initiative Summary'!$L$3,'Financial Summary'!$D$2:$J$2,0))</f>
        <v>0.73799999999999999</v>
      </c>
      <c r="R20" s="16" cm="1">
        <f t="array" ref="R20">INDEX('Financial Summary'!$D:$J,MATCH(R$4,'Financial Summary'!$A:$A,0)+10,MATCH('Initiative Summary'!$L$3,'Financial Summary'!$D$2:$J$2,0))</f>
        <v>0.3</v>
      </c>
      <c r="S20" s="16" cm="1">
        <f t="array" ref="S20">INDEX('Financial Summary'!$D:$J,MATCH(S$4,'Financial Summary'!$A:$A,0)+10,MATCH('Initiative Summary'!$L$3,'Financial Summary'!$D$2:$J$2,0))</f>
        <v>0.58800000000000008</v>
      </c>
      <c r="T20" s="16" cm="1">
        <f t="array" ref="T20">INDEX('Financial Summary'!$D:$J,MATCH(T$4,'Financial Summary'!$A:$A,0)+10,MATCH('Initiative Summary'!$L$3,'Financial Summary'!$D$2:$J$2,0))</f>
        <v>1.496</v>
      </c>
      <c r="U20" s="16" cm="1">
        <f t="array" ref="U20">INDEX('Financial Summary'!$D:$J,MATCH(U$4,'Financial Summary'!$A:$A,0)+10,MATCH('Initiative Summary'!$L$3,'Financial Summary'!$D$2:$J$2,0))</f>
        <v>9.1999999999999971E-2</v>
      </c>
      <c r="V20" s="16" cm="1">
        <f t="array" ref="V20">INDEX('Financial Summary'!$D:$J,MATCH(V$4,'Financial Summary'!$A:$A,0)+10,MATCH('Initiative Summary'!$L$3,'Financial Summary'!$D$2:$J$2,0))</f>
        <v>1.349</v>
      </c>
    </row>
    <row r="21" spans="1:22" ht="15.75" customHeight="1" x14ac:dyDescent="0.25">
      <c r="A21" s="15" t="s">
        <v>84</v>
      </c>
      <c r="B21" s="16" cm="1">
        <f t="array" ref="B21">INDEX('Financial Summary'!$D:$J,MATCH(B$4,'Financial Summary'!$A:$A,0)+11,MATCH('Initiative Summary'!$L$3,'Financial Summary'!$D$2:$J$2,0))</f>
        <v>0.67999999999999994</v>
      </c>
      <c r="C21" s="16" cm="1">
        <f t="array" ref="C21">INDEX('Financial Summary'!$D:$J,MATCH(C$4,'Financial Summary'!$A:$A,0)+11,MATCH('Initiative Summary'!$L$3,'Financial Summary'!$D$2:$J$2,0))</f>
        <v>1.1399999999999999</v>
      </c>
      <c r="D21" s="16" cm="1">
        <f t="array" ref="D21">INDEX('Financial Summary'!$D:$J,MATCH(D$4,'Financial Summary'!$A:$A,0)+11,MATCH('Initiative Summary'!$L$3,'Financial Summary'!$D$2:$J$2,0))</f>
        <v>2.38</v>
      </c>
      <c r="E21" s="16" cm="1">
        <f t="array" ref="E21">INDEX('Financial Summary'!$D:$J,MATCH(E$4,'Financial Summary'!$A:$A,0)+11,MATCH('Initiative Summary'!$L$3,'Financial Summary'!$D$2:$J$2,0))</f>
        <v>0.38</v>
      </c>
      <c r="F21" s="16" cm="1">
        <f t="array" ref="F21">INDEX('Financial Summary'!$D:$J,MATCH(F$4,'Financial Summary'!$A:$A,0)+11,MATCH('Initiative Summary'!$L$3,'Financial Summary'!$D$2:$J$2,0))</f>
        <v>1.92</v>
      </c>
      <c r="G21" s="16" cm="1">
        <f t="array" ref="G21">INDEX('Financial Summary'!$D:$J,MATCH(G$4,'Financial Summary'!$A:$A,0)+11,MATCH('Initiative Summary'!$L$3,'Financial Summary'!$D$2:$J$2,0))</f>
        <v>0.5</v>
      </c>
      <c r="H21" s="16" cm="1">
        <f t="array" ref="H21">INDEX('Financial Summary'!$D:$J,MATCH(H$4,'Financial Summary'!$A:$A,0)+11,MATCH('Initiative Summary'!$L$3,'Financial Summary'!$D$2:$J$2,0))</f>
        <v>0.748</v>
      </c>
      <c r="I21" s="16" cm="1">
        <f t="array" ref="I21">INDEX('Financial Summary'!$D:$J,MATCH(I$4,'Financial Summary'!$A:$A,0)+11,MATCH('Initiative Summary'!$L$3,'Financial Summary'!$D$2:$J$2,0))</f>
        <v>2.1420000000000003</v>
      </c>
      <c r="J21" s="16" cm="1">
        <f t="array" ref="J21">INDEX('Financial Summary'!$D:$J,MATCH(J$4,'Financial Summary'!$A:$A,0)+11,MATCH('Initiative Summary'!$L$3,'Financial Summary'!$D$2:$J$2,0))</f>
        <v>2.2080000000000002</v>
      </c>
      <c r="K21" s="16" cm="1">
        <f t="array" ref="K21">INDEX('Financial Summary'!$D:$J,MATCH(K$4,'Financial Summary'!$A:$A,0)+11,MATCH('Initiative Summary'!$L$3,'Financial Summary'!$D$2:$J$2,0))</f>
        <v>0.32299999999999995</v>
      </c>
      <c r="L21" s="16" cm="1">
        <f t="array" ref="L21">INDEX('Financial Summary'!$D:$J,MATCH(L$4,'Financial Summary'!$A:$A,0)+11,MATCH('Initiative Summary'!$L$3,'Financial Summary'!$D$2:$J$2,0))</f>
        <v>1.1970000000000001</v>
      </c>
      <c r="M21" s="16" cm="1">
        <f t="array" ref="M21">INDEX('Financial Summary'!$D:$J,MATCH(M$4,'Financial Summary'!$A:$A,0)+11,MATCH('Initiative Summary'!$L$3,'Financial Summary'!$D$2:$J$2,0))</f>
        <v>0.64599999999999991</v>
      </c>
      <c r="N21" s="16" cm="1">
        <f t="array" ref="N21">INDEX('Financial Summary'!$D:$J,MATCH(N$4,'Financial Summary'!$A:$A,0)+11,MATCH('Initiative Summary'!$L$3,'Financial Summary'!$D$2:$J$2,0))</f>
        <v>2.8559999999999999</v>
      </c>
      <c r="O21" s="16" cm="1">
        <f t="array" ref="O21">INDEX('Financial Summary'!$D:$J,MATCH(O$4,'Financial Summary'!$A:$A,0)+11,MATCH('Initiative Summary'!$L$3,'Financial Summary'!$D$2:$J$2,0))</f>
        <v>1.536</v>
      </c>
      <c r="P21" s="16" cm="1">
        <f t="array" ref="P21">INDEX('Financial Summary'!$D:$J,MATCH(P$4,'Financial Summary'!$A:$A,0)+11,MATCH('Initiative Summary'!$L$3,'Financial Summary'!$D$2:$J$2,0))</f>
        <v>0.41800000000000015</v>
      </c>
      <c r="Q21" s="16" cm="1">
        <f t="array" ref="Q21">INDEX('Financial Summary'!$D:$J,MATCH(Q$4,'Financial Summary'!$A:$A,0)+11,MATCH('Initiative Summary'!$L$3,'Financial Summary'!$D$2:$J$2,0))</f>
        <v>1.026</v>
      </c>
      <c r="R21" s="16" cm="1">
        <f t="array" ref="R21">INDEX('Financial Summary'!$D:$J,MATCH(R$4,'Financial Summary'!$A:$A,0)+11,MATCH('Initiative Summary'!$L$3,'Financial Summary'!$D$2:$J$2,0))</f>
        <v>0.625</v>
      </c>
      <c r="S21" s="16" cm="1">
        <f t="array" ref="S21">INDEX('Financial Summary'!$D:$J,MATCH(S$4,'Financial Summary'!$A:$A,0)+11,MATCH('Initiative Summary'!$L$3,'Financial Summary'!$D$2:$J$2,0))</f>
        <v>0.71399999999999997</v>
      </c>
      <c r="T21" s="16" cm="1">
        <f t="array" ref="T21">INDEX('Financial Summary'!$D:$J,MATCH(T$4,'Financial Summary'!$A:$A,0)+11,MATCH('Initiative Summary'!$L$3,'Financial Summary'!$D$2:$J$2,0))</f>
        <v>2.0230000000000001</v>
      </c>
      <c r="U21" s="16" cm="1">
        <f t="array" ref="U21">INDEX('Financial Summary'!$D:$J,MATCH(U$4,'Financial Summary'!$A:$A,0)+11,MATCH('Initiative Summary'!$L$3,'Financial Summary'!$D$2:$J$2,0))</f>
        <v>0.43700000000000006</v>
      </c>
      <c r="V21" s="16" cm="1">
        <f t="array" ref="V21">INDEX('Financial Summary'!$D:$J,MATCH(V$4,'Financial Summary'!$A:$A,0)+11,MATCH('Initiative Summary'!$L$3,'Financial Summary'!$D$2:$J$2,0))</f>
        <v>1.8240000000000001</v>
      </c>
    </row>
  </sheetData>
  <mergeCells count="1">
    <mergeCell ref="A1:G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16"/>
  <sheetViews>
    <sheetView showGridLines="0" zoomScaleNormal="100" workbookViewId="0">
      <pane xSplit="3" ySplit="2" topLeftCell="D117" activePane="bottomRight" state="frozen"/>
      <selection pane="topRight" activeCell="D1" sqref="D1"/>
      <selection pane="bottomLeft" activeCell="A3" sqref="A3"/>
      <selection pane="bottomRight" activeCell="P29" sqref="P29"/>
    </sheetView>
  </sheetViews>
  <sheetFormatPr defaultColWidth="8.7109375" defaultRowHeight="15" x14ac:dyDescent="0.25"/>
  <cols>
    <col min="1" max="1" width="10" customWidth="1"/>
    <col min="2" max="2" width="32" customWidth="1"/>
    <col min="3" max="3" width="30" customWidth="1"/>
    <col min="4" max="9" width="9" customWidth="1"/>
    <col min="10" max="10" width="11" customWidth="1"/>
  </cols>
  <sheetData>
    <row r="1" spans="1:11" ht="24" customHeight="1" x14ac:dyDescent="0.25">
      <c r="A1" s="1" t="s">
        <v>85</v>
      </c>
      <c r="B1" s="1"/>
      <c r="C1" s="1"/>
      <c r="D1" s="1"/>
      <c r="E1" s="1"/>
      <c r="F1" s="1"/>
      <c r="G1" s="1"/>
      <c r="H1" s="1"/>
      <c r="I1" s="1"/>
      <c r="J1" s="1"/>
      <c r="K1" s="39" t="s">
        <v>1090</v>
      </c>
    </row>
    <row r="2" spans="1:11" ht="15" customHeight="1" x14ac:dyDescent="0.25">
      <c r="A2" s="5" t="s">
        <v>1</v>
      </c>
      <c r="B2" s="5" t="s">
        <v>2</v>
      </c>
      <c r="C2" s="5" t="s">
        <v>86</v>
      </c>
      <c r="D2" s="5" t="s">
        <v>87</v>
      </c>
      <c r="E2" s="5" t="s">
        <v>88</v>
      </c>
      <c r="F2" s="5" t="s">
        <v>89</v>
      </c>
      <c r="G2" s="5" t="s">
        <v>90</v>
      </c>
      <c r="H2" s="5" t="s">
        <v>91</v>
      </c>
      <c r="I2" s="5" t="s">
        <v>92</v>
      </c>
      <c r="J2" s="5" t="s">
        <v>93</v>
      </c>
      <c r="K2" s="48" t="s">
        <v>1084</v>
      </c>
    </row>
    <row r="3" spans="1:11" ht="21.75" customHeight="1" x14ac:dyDescent="0.25">
      <c r="A3" s="6" t="s">
        <v>19</v>
      </c>
      <c r="B3" s="7" t="s">
        <v>20</v>
      </c>
      <c r="C3" s="8" t="s">
        <v>94</v>
      </c>
      <c r="D3" s="9">
        <f>SUMIFS(Benefits!$S:$S,Benefits!$A:$A,$A$3,Benefits!$E:$E,"Revenue",Benefits!$F:$F,"USD",Benefits!$D:$D,"Plan Base")</f>
        <v>0</v>
      </c>
      <c r="E3" s="9">
        <f>SUMIFS(Benefits!$T:$T,Benefits!$A:$A,$A$3,Benefits!$E:$E,"Revenue",Benefits!$F:$F,"USD",Benefits!$D:$D,"Plan Base")</f>
        <v>0</v>
      </c>
      <c r="F3" s="9">
        <f>SUMIFS(Benefits!$U:$U,Benefits!$A:$A,$A$3,Benefits!$E:$E,"Revenue",Benefits!$F:$F,"USD",Benefits!$D:$D,"Plan Base")</f>
        <v>0</v>
      </c>
      <c r="G3" s="9">
        <f>SUMIFS(Benefits!$V:$V,Benefits!$A:$A,$A$3,Benefits!$E:$E,"Revenue",Benefits!$F:$F,"USD",Benefits!$D:$D,"Plan Base")</f>
        <v>0</v>
      </c>
      <c r="H3" s="9">
        <f>SUMIFS(Benefits!$W:$W,Benefits!$A:$A,$A$3,Benefits!$E:$E,"Revenue",Benefits!$F:$F,"USD",Benefits!$D:$D,"Plan Base")</f>
        <v>0</v>
      </c>
      <c r="I3" s="9">
        <f>H3</f>
        <v>0</v>
      </c>
      <c r="J3" s="45">
        <f>SUM(D3:I3)</f>
        <v>0</v>
      </c>
      <c r="K3" s="49">
        <v>0</v>
      </c>
    </row>
    <row r="4" spans="1:11" ht="15" customHeight="1" x14ac:dyDescent="0.25">
      <c r="A4" s="17"/>
      <c r="B4" s="7"/>
      <c r="C4" s="8" t="s">
        <v>95</v>
      </c>
      <c r="D4" s="9">
        <f>SUMIFS(Benefits!$S:$S,Benefits!$A:$A,$A$3,Benefits!$E:$E,"Revenue",Benefits!$F:$F,"USD",Benefits!$D:$D,"Plan High")</f>
        <v>0</v>
      </c>
      <c r="E4" s="9">
        <f>SUMIFS(Benefits!$T:$T,Benefits!$A:$A,$A$3,Benefits!$E:$E,"Revenue",Benefits!$F:$F,"USD",Benefits!$D:$D,"Plan High")</f>
        <v>0</v>
      </c>
      <c r="F4" s="9">
        <f>SUMIFS(Benefits!$U:$U,Benefits!$A:$A,$A$3,Benefits!$E:$E,"Revenue",Benefits!$F:$F,"USD",Benefits!$D:$D,"Plan High")</f>
        <v>0</v>
      </c>
      <c r="G4" s="9">
        <f>SUMIFS(Benefits!$V:$V,Benefits!$A:$A,$A$3,Benefits!$E:$E,"Revenue",Benefits!$F:$F,"USD",Benefits!$D:$D,"Plan High")</f>
        <v>0</v>
      </c>
      <c r="H4" s="9">
        <f>SUMIFS(Benefits!$W:$W,Benefits!$A:$A,$A$3,Benefits!$E:$E,"Revenue",Benefits!$F:$F,"USD",Benefits!$D:$D,"Plan High")</f>
        <v>0</v>
      </c>
      <c r="I4" s="9">
        <f>H4</f>
        <v>0</v>
      </c>
      <c r="J4" s="45">
        <f>SUM(D4:I4)</f>
        <v>0</v>
      </c>
      <c r="K4" s="50">
        <v>0</v>
      </c>
    </row>
    <row r="5" spans="1:11" ht="15" customHeight="1" x14ac:dyDescent="0.25">
      <c r="A5" s="17"/>
      <c r="B5" s="7"/>
      <c r="C5" s="8" t="s">
        <v>96</v>
      </c>
      <c r="D5" s="9">
        <f>SUMIFS(Benefits!$S:$S,Benefits!$A:$A,$A$3,Benefits!$E:$E,"Revenue",Benefits!$F:$F,"USD",Benefits!$D:$D,"Actual")</f>
        <v>0</v>
      </c>
      <c r="E5" s="9">
        <f>SUMIFS(Benefits!$T:$T,Benefits!$A:$A,$A$3,Benefits!$E:$E,"Revenue",Benefits!$F:$F,"USD",Benefits!$D:$D,"Actual")</f>
        <v>0</v>
      </c>
      <c r="F5" s="9">
        <f>SUMIFS(Benefits!$U:$U,Benefits!$A:$A,$A$3,Benefits!$E:$E,"Revenue",Benefits!$F:$F,"USD",Benefits!$D:$D,"Actual")</f>
        <v>0</v>
      </c>
      <c r="G5" s="9">
        <f>SUMIFS(Benefits!$V:$V,Benefits!$A:$A,$A$3,Benefits!$E:$E,"Revenue",Benefits!$F:$F,"USD",Benefits!$D:$D,"Actual")</f>
        <v>0</v>
      </c>
      <c r="H5" s="9">
        <f>SUMIFS(Benefits!$W:$W,Benefits!$A:$A,$A$3,Benefits!$E:$E,"Revenue",Benefits!$F:$F,"USD",Benefits!$D:$D,"Actual")</f>
        <v>0</v>
      </c>
      <c r="I5" s="9">
        <f>H5</f>
        <v>0</v>
      </c>
      <c r="J5" s="45">
        <f>SUM(D5:I5)</f>
        <v>0</v>
      </c>
      <c r="K5" s="50">
        <v>0</v>
      </c>
    </row>
    <row r="6" spans="1:11" ht="15" customHeight="1" x14ac:dyDescent="0.25">
      <c r="A6" s="17"/>
      <c r="B6" s="7"/>
      <c r="C6" s="8" t="s">
        <v>97</v>
      </c>
      <c r="D6" s="9">
        <f>SUMIFS(Benefits!$S:$S,Benefits!$A:$A,$A$3,Benefits!$E:$E,"Gross Margin",Benefits!$F:$F,"USD",Benefits!$D:$D,"Plan Base")</f>
        <v>0</v>
      </c>
      <c r="E6" s="9">
        <f>SUMIFS(Benefits!$T:$T,Benefits!$A:$A,$A$3,Benefits!$E:$E,"Gross Margin",Benefits!$F:$F,"USD",Benefits!$D:$D,"Plan Base")</f>
        <v>0.42</v>
      </c>
      <c r="F6" s="9">
        <f>SUMIFS(Benefits!$U:$U,Benefits!$A:$A,$A$3,Benefits!$E:$E,"Gross Margin",Benefits!$F:$F,"USD",Benefits!$D:$D,"Plan Base")</f>
        <v>0.62</v>
      </c>
      <c r="G6" s="9">
        <f>SUMIFS(Benefits!$V:$V,Benefits!$A:$A,$A$3,Benefits!$E:$E,"Gross Margin",Benefits!$F:$F,"USD",Benefits!$D:$D,"Plan Base")</f>
        <v>0.62</v>
      </c>
      <c r="H6" s="9">
        <f>SUMIFS(Benefits!$W:$W,Benefits!$A:$A,$A$3,Benefits!$E:$E,"Gross Margin",Benefits!$F:$F,"USD",Benefits!$D:$D,"Plan Base")</f>
        <v>0.62</v>
      </c>
      <c r="I6" s="9">
        <f>H6</f>
        <v>0.62</v>
      </c>
      <c r="J6" s="45">
        <f>SUM(D6:I6)</f>
        <v>2.9000000000000004</v>
      </c>
      <c r="K6" s="49">
        <v>2.1920000000000002</v>
      </c>
    </row>
    <row r="7" spans="1:11" ht="15" customHeight="1" x14ac:dyDescent="0.25">
      <c r="A7" s="17"/>
      <c r="B7" s="7"/>
      <c r="C7" s="8" t="s">
        <v>98</v>
      </c>
      <c r="D7" s="9">
        <f>SUMIFS(Benefits!$S:$S,Benefits!$A:$A,$A$3,Benefits!$E:$E,"Gross Margin",Benefits!$F:$F,"USD",Benefits!$D:$D,"Plan High")</f>
        <v>0</v>
      </c>
      <c r="E7" s="9">
        <f>SUMIFS(Benefits!$T:$T,Benefits!$A:$A,$A$3,Benefits!$E:$E,"Gross Margin",Benefits!$F:$F,"USD",Benefits!$D:$D,"Plan High")</f>
        <v>0.52</v>
      </c>
      <c r="F7" s="9">
        <f>SUMIFS(Benefits!$U:$U,Benefits!$A:$A,$A$3,Benefits!$E:$E,"Gross Margin",Benefits!$F:$F,"USD",Benefits!$D:$D,"Plan High")</f>
        <v>0.74</v>
      </c>
      <c r="G7" s="9">
        <f>SUMIFS(Benefits!$V:$V,Benefits!$A:$A,$A$3,Benefits!$E:$E,"Gross Margin",Benefits!$F:$F,"USD",Benefits!$D:$D,"Plan High")</f>
        <v>0.74</v>
      </c>
      <c r="H7" s="9">
        <f>SUMIFS(Benefits!$W:$W,Benefits!$A:$A,$A$3,Benefits!$E:$E,"Gross Margin",Benefits!$F:$F,"USD",Benefits!$D:$D,"Plan High")</f>
        <v>0.74</v>
      </c>
      <c r="I7" s="9">
        <f>H7</f>
        <v>0.74</v>
      </c>
      <c r="J7" s="45">
        <f>SUM(D7:I7)</f>
        <v>3.4800000000000004</v>
      </c>
      <c r="K7" s="50"/>
    </row>
    <row r="8" spans="1:11" ht="15" customHeight="1" x14ac:dyDescent="0.25">
      <c r="A8" s="17"/>
      <c r="B8" s="7"/>
      <c r="C8" s="8" t="s">
        <v>99</v>
      </c>
      <c r="D8" s="9">
        <f>SUMIFS(Benefits!$S:$S,Benefits!$A:$A,$A$3,Benefits!$E:$E,"Gross Margin",Benefits!$F:$F,"USD",Benefits!$D:$D,"Actual")</f>
        <v>0</v>
      </c>
      <c r="E8" s="9">
        <f>SUMIFS(Benefits!$T:$T,Benefits!$A:$A,$A$3,Benefits!$E:$E,"Gross Margin",Benefits!$F:$F,"USD",Benefits!$D:$D,"Actual")</f>
        <v>0</v>
      </c>
      <c r="F8" s="9">
        <f>SUMIFS(Benefits!$U:$U,Benefits!$A:$A,$A$3,Benefits!$E:$E,"Gross Margin",Benefits!$F:$F,"USD",Benefits!$D:$D,"Actual")</f>
        <v>0</v>
      </c>
      <c r="G8" s="9">
        <f>SUMIFS(Benefits!$V:$V,Benefits!$A:$A,$A$3,Benefits!$E:$E,"Gross Margin",Benefits!$F:$F,"USD",Benefits!$D:$D,"Actual")</f>
        <v>0</v>
      </c>
      <c r="H8" s="9">
        <f>SUMIFS(Benefits!$W:$W,Benefits!$A:$A,$A$3,Benefits!$E:$E,"Gross Margin",Benefits!$F:$F,"USD",Benefits!$D:$D,"Actual")</f>
        <v>0</v>
      </c>
      <c r="I8" s="9">
        <f>H8</f>
        <v>0</v>
      </c>
      <c r="J8" s="45">
        <f>SUM(D8:I8)</f>
        <v>0</v>
      </c>
      <c r="K8" s="50"/>
    </row>
    <row r="9" spans="1:11" ht="15" customHeight="1" x14ac:dyDescent="0.25">
      <c r="A9" s="17"/>
      <c r="B9" s="7"/>
      <c r="C9" s="8" t="s">
        <v>100</v>
      </c>
      <c r="D9" s="9"/>
      <c r="E9" s="9"/>
      <c r="F9" s="9"/>
      <c r="G9" s="9"/>
      <c r="H9" s="9"/>
      <c r="I9" s="9"/>
      <c r="J9" s="45"/>
      <c r="K9" s="50"/>
    </row>
    <row r="10" spans="1:11" ht="15" customHeight="1" x14ac:dyDescent="0.25">
      <c r="A10" s="18"/>
      <c r="B10" s="10"/>
      <c r="C10" s="11" t="s">
        <v>101</v>
      </c>
      <c r="D10" s="12">
        <f>SUMIFS(Costs!$AB:$AB,Costs!$A:$A,$A$3,Costs!$D:$D,"Plan")</f>
        <v>0</v>
      </c>
      <c r="E10" s="12">
        <f>SUMIFS(Costs!$AC:$AC,Costs!$A:$A,$A$3,Costs!$D:$D,"Plan")</f>
        <v>0.06</v>
      </c>
      <c r="F10" s="12">
        <f>SUMIFS(Costs!$AD:$AD,Costs!$A:$A,$A$3,Costs!$D:$D,"Plan")</f>
        <v>0.06</v>
      </c>
      <c r="G10" s="12">
        <f>SUMIFS(Costs!$AE:$AE,Costs!$A:$A,$A$3,Costs!$D:$D,"Plan")</f>
        <v>0.06</v>
      </c>
      <c r="H10" s="12">
        <f>SUMIFS(Costs!$AF:$AF,Costs!$A:$A,$A$3,Costs!$D:$D,"Plan")</f>
        <v>0.06</v>
      </c>
      <c r="I10" s="12">
        <f>H10</f>
        <v>0.06</v>
      </c>
      <c r="J10" s="46">
        <f>SUM(D10:I10)</f>
        <v>0.3</v>
      </c>
      <c r="K10" s="51">
        <v>0.29499999999999998</v>
      </c>
    </row>
    <row r="11" spans="1:11" ht="15" customHeight="1" x14ac:dyDescent="0.25">
      <c r="A11" s="17"/>
      <c r="B11" s="7"/>
      <c r="C11" s="8" t="s">
        <v>102</v>
      </c>
      <c r="D11" s="9">
        <f>SUMIFS(Costs!$AB:$AB,Costs!$A:$A,$A$3,Costs!$D:$D,"Actual")</f>
        <v>0</v>
      </c>
      <c r="E11" s="9">
        <f>SUMIFS(Costs!$AC:$AC,Costs!$A:$A,$A$3,Costs!$D:$D,"Actual")</f>
        <v>0</v>
      </c>
      <c r="F11" s="9">
        <f>SUMIFS(Costs!$AD:$AD,Costs!$A:$A,$A$3,Costs!$D:$D,"Actual")</f>
        <v>0</v>
      </c>
      <c r="G11" s="9">
        <f>SUMIFS(Costs!$AE:$AE,Costs!$A:$A,$A$3,Costs!$D:$D,"Actual")</f>
        <v>0</v>
      </c>
      <c r="H11" s="9">
        <f>SUMIFS(Costs!$AF:$AF,Costs!$A:$A,$A$3,Costs!$D:$D,"Actual")</f>
        <v>0</v>
      </c>
      <c r="I11" s="9">
        <f>H11</f>
        <v>0</v>
      </c>
      <c r="J11" s="45">
        <f>SUM(D11:I11)</f>
        <v>0</v>
      </c>
      <c r="K11" s="50"/>
    </row>
    <row r="12" spans="1:11" ht="15" customHeight="1" x14ac:dyDescent="0.25">
      <c r="A12" s="17"/>
      <c r="B12" s="7"/>
      <c r="C12" s="8" t="s">
        <v>103</v>
      </c>
      <c r="D12" s="9"/>
      <c r="E12" s="9"/>
      <c r="F12" s="9"/>
      <c r="G12" s="9"/>
      <c r="H12" s="9"/>
      <c r="I12" s="9"/>
      <c r="J12" s="45"/>
      <c r="K12" s="50"/>
    </row>
    <row r="13" spans="1:11" ht="15" customHeight="1" x14ac:dyDescent="0.25">
      <c r="A13" s="18"/>
      <c r="B13" s="10"/>
      <c r="C13" s="11" t="s">
        <v>104</v>
      </c>
      <c r="D13" s="12">
        <f>D6-D10</f>
        <v>0</v>
      </c>
      <c r="E13" s="12">
        <f>E6-E10</f>
        <v>0.36</v>
      </c>
      <c r="F13" s="12">
        <f>F6-F10</f>
        <v>0.56000000000000005</v>
      </c>
      <c r="G13" s="12">
        <f>G6-G10</f>
        <v>0.56000000000000005</v>
      </c>
      <c r="H13" s="12">
        <f>H6-H10</f>
        <v>0.56000000000000005</v>
      </c>
      <c r="I13" s="12">
        <f>I6-I10</f>
        <v>0.56000000000000005</v>
      </c>
      <c r="J13" s="46">
        <f>J6-J10</f>
        <v>2.6000000000000005</v>
      </c>
      <c r="K13" s="51">
        <f>K6-K10</f>
        <v>1.8970000000000002</v>
      </c>
    </row>
    <row r="14" spans="1:11" ht="15" customHeight="1" x14ac:dyDescent="0.25">
      <c r="A14" s="18"/>
      <c r="B14" s="10"/>
      <c r="C14" s="11" t="s">
        <v>105</v>
      </c>
      <c r="D14" s="12">
        <f>D7-D10</f>
        <v>0</v>
      </c>
      <c r="E14" s="12">
        <f>E7-E10</f>
        <v>0.46</v>
      </c>
      <c r="F14" s="12">
        <f>F7-F10</f>
        <v>0.67999999999999994</v>
      </c>
      <c r="G14" s="12">
        <f>G7-G10</f>
        <v>0.67999999999999994</v>
      </c>
      <c r="H14" s="12">
        <f>H7-H10</f>
        <v>0.67999999999999994</v>
      </c>
      <c r="I14" s="12">
        <f>I7-I10</f>
        <v>0.67999999999999994</v>
      </c>
      <c r="J14" s="46">
        <f>J7-J10</f>
        <v>3.1800000000000006</v>
      </c>
      <c r="K14" s="50"/>
    </row>
    <row r="15" spans="1:11" ht="15" customHeight="1" x14ac:dyDescent="0.25">
      <c r="A15" s="18"/>
      <c r="B15" s="10"/>
      <c r="C15" s="11" t="s">
        <v>106</v>
      </c>
      <c r="D15" s="12">
        <f>D8-D11</f>
        <v>0</v>
      </c>
      <c r="E15" s="12">
        <f>E8-E11</f>
        <v>0</v>
      </c>
      <c r="F15" s="12">
        <f>F8-F11</f>
        <v>0</v>
      </c>
      <c r="G15" s="12">
        <f>G8-G11</f>
        <v>0</v>
      </c>
      <c r="H15" s="12">
        <f>H8-H11</f>
        <v>0</v>
      </c>
      <c r="I15" s="12">
        <f>I8-I11</f>
        <v>0</v>
      </c>
      <c r="J15" s="46">
        <f>J8-J11</f>
        <v>0</v>
      </c>
      <c r="K15" s="50"/>
    </row>
    <row r="16" spans="1:11" ht="15" customHeight="1" x14ac:dyDescent="0.25">
      <c r="A16" s="17"/>
      <c r="B16" s="7"/>
      <c r="C16" s="8" t="s">
        <v>107</v>
      </c>
      <c r="D16" s="9">
        <f>IFERROR(D15/D11,0)</f>
        <v>0</v>
      </c>
      <c r="E16" s="9">
        <f>IFERROR(E15/E11,0)</f>
        <v>0</v>
      </c>
      <c r="F16" s="9">
        <f>IFERROR(F15/F11,0)</f>
        <v>0</v>
      </c>
      <c r="G16" s="9">
        <f>IFERROR(G15/G11,0)</f>
        <v>0</v>
      </c>
      <c r="H16" s="9">
        <f>IFERROR(H15/H11,0)</f>
        <v>0</v>
      </c>
      <c r="I16" s="9">
        <f>IFERROR(I15/I11,0)</f>
        <v>0</v>
      </c>
      <c r="J16" s="45">
        <f>IFERROR(J15/J11,0)</f>
        <v>0</v>
      </c>
      <c r="K16" s="50">
        <f>IFERROR(K15/K11,0)</f>
        <v>0</v>
      </c>
    </row>
    <row r="17" spans="1:13" ht="3.75" customHeight="1" x14ac:dyDescent="0.25">
      <c r="A17" s="19"/>
      <c r="B17" s="19"/>
      <c r="C17" s="19"/>
      <c r="D17" s="19"/>
      <c r="E17" s="19"/>
      <c r="F17" s="19"/>
      <c r="G17" s="19"/>
      <c r="H17" s="19"/>
      <c r="I17" s="19"/>
      <c r="J17" s="47"/>
      <c r="K17" s="50"/>
    </row>
    <row r="18" spans="1:13" ht="21.75" customHeight="1" x14ac:dyDescent="0.25">
      <c r="A18" s="6" t="s">
        <v>29</v>
      </c>
      <c r="B18" s="7" t="s">
        <v>30</v>
      </c>
      <c r="C18" s="8" t="s">
        <v>94</v>
      </c>
      <c r="D18" s="9">
        <f>SUMIFS(Benefits!$S:$S,Benefits!$A:$A,$A$18,Benefits!$E:$E,"Revenue",Benefits!$F:$F,"USD",Benefits!$D:$D,"Plan Base")</f>
        <v>0</v>
      </c>
      <c r="E18" s="9">
        <f>SUMIFS(Benefits!$T:$T,Benefits!$A:$A,$A$18,Benefits!$E:$E,"Revenue",Benefits!$F:$F,"USD",Benefits!$D:$D,"Plan Base")</f>
        <v>0</v>
      </c>
      <c r="F18" s="9">
        <f>SUMIFS(Benefits!$U:$U,Benefits!$A:$A,$A$18,Benefits!$E:$E,"Revenue",Benefits!$F:$F,"USD",Benefits!$D:$D,"Plan Base")</f>
        <v>0</v>
      </c>
      <c r="G18" s="9">
        <f>SUMIFS(Benefits!$V:$V,Benefits!$A:$A,$A$18,Benefits!$E:$E,"Revenue",Benefits!$F:$F,"USD",Benefits!$D:$D,"Plan Base")</f>
        <v>0</v>
      </c>
      <c r="H18" s="9">
        <f>SUMIFS(Benefits!$W:$W,Benefits!$A:$A,$A$18,Benefits!$E:$E,"Revenue",Benefits!$F:$F,"USD",Benefits!$D:$D,"Plan Base")</f>
        <v>0</v>
      </c>
      <c r="I18" s="9">
        <f>H18</f>
        <v>0</v>
      </c>
      <c r="J18" s="45">
        <f>SUM(D18:I18)</f>
        <v>0</v>
      </c>
      <c r="K18" s="49">
        <v>0</v>
      </c>
    </row>
    <row r="19" spans="1:13" ht="15" customHeight="1" x14ac:dyDescent="0.25">
      <c r="A19" s="17"/>
      <c r="B19" s="7"/>
      <c r="C19" s="8" t="s">
        <v>95</v>
      </c>
      <c r="D19" s="9">
        <f>SUMIFS(Benefits!$S:$S,Benefits!$A:$A,$A$18,Benefits!$E:$E,"Revenue",Benefits!$F:$F,"USD",Benefits!$D:$D,"Plan High")</f>
        <v>0</v>
      </c>
      <c r="E19" s="9">
        <f>SUMIFS(Benefits!$T:$T,Benefits!$A:$A,$A$18,Benefits!$E:$E,"Revenue",Benefits!$F:$F,"USD",Benefits!$D:$D,"Plan High")</f>
        <v>0</v>
      </c>
      <c r="F19" s="9">
        <f>SUMIFS(Benefits!$U:$U,Benefits!$A:$A,$A$18,Benefits!$E:$E,"Revenue",Benefits!$F:$F,"USD",Benefits!$D:$D,"Plan High")</f>
        <v>0</v>
      </c>
      <c r="G19" s="9">
        <f>SUMIFS(Benefits!$V:$V,Benefits!$A:$A,$A$18,Benefits!$E:$E,"Revenue",Benefits!$F:$F,"USD",Benefits!$D:$D,"Plan High")</f>
        <v>0</v>
      </c>
      <c r="H19" s="9">
        <f>SUMIFS(Benefits!$W:$W,Benefits!$A:$A,$A$18,Benefits!$E:$E,"Revenue",Benefits!$F:$F,"USD",Benefits!$D:$D,"Plan High")</f>
        <v>0</v>
      </c>
      <c r="I19" s="9">
        <f>H19</f>
        <v>0</v>
      </c>
      <c r="J19" s="45">
        <f>SUM(D19:I19)</f>
        <v>0</v>
      </c>
      <c r="K19" s="50">
        <v>0</v>
      </c>
    </row>
    <row r="20" spans="1:13" ht="15" customHeight="1" x14ac:dyDescent="0.25">
      <c r="A20" s="17"/>
      <c r="B20" s="7"/>
      <c r="C20" s="8" t="s">
        <v>96</v>
      </c>
      <c r="D20" s="9">
        <f>SUMIFS(Benefits!$S:$S,Benefits!$A:$A,$A$18,Benefits!$E:$E,"Revenue",Benefits!$F:$F,"USD",Benefits!$D:$D,"Actual")</f>
        <v>0</v>
      </c>
      <c r="E20" s="9">
        <f>SUMIFS(Benefits!$T:$T,Benefits!$A:$A,$A$18,Benefits!$E:$E,"Revenue",Benefits!$F:$F,"USD",Benefits!$D:$D,"Actual")</f>
        <v>0</v>
      </c>
      <c r="F20" s="9">
        <f>SUMIFS(Benefits!$U:$U,Benefits!$A:$A,$A$18,Benefits!$E:$E,"Revenue",Benefits!$F:$F,"USD",Benefits!$D:$D,"Actual")</f>
        <v>0</v>
      </c>
      <c r="G20" s="9">
        <f>SUMIFS(Benefits!$V:$V,Benefits!$A:$A,$A$18,Benefits!$E:$E,"Revenue",Benefits!$F:$F,"USD",Benefits!$D:$D,"Actual")</f>
        <v>0</v>
      </c>
      <c r="H20" s="9">
        <f>SUMIFS(Benefits!$W:$W,Benefits!$A:$A,$A$18,Benefits!$E:$E,"Revenue",Benefits!$F:$F,"USD",Benefits!$D:$D,"Actual")</f>
        <v>0</v>
      </c>
      <c r="I20" s="9">
        <f>H20</f>
        <v>0</v>
      </c>
      <c r="J20" s="45">
        <f>SUM(D20:I20)</f>
        <v>0</v>
      </c>
      <c r="K20" s="50">
        <v>0</v>
      </c>
    </row>
    <row r="21" spans="1:13" ht="15" customHeight="1" x14ac:dyDescent="0.25">
      <c r="A21" s="17"/>
      <c r="B21" s="7"/>
      <c r="C21" s="8" t="s">
        <v>97</v>
      </c>
      <c r="D21" s="9">
        <f>SUMIFS(Benefits!$S:$S,Benefits!$A:$A,$A$18,Benefits!$E:$E,"Gross Margin",Benefits!$F:$F,"USD",Benefits!$D:$D,"Plan Base")</f>
        <v>0</v>
      </c>
      <c r="E21" s="9">
        <f>SUMIFS(Benefits!$T:$T,Benefits!$A:$A,$A$18,Benefits!$E:$E,"Gross Margin",Benefits!$F:$F,"USD",Benefits!$D:$D,"Plan Base")</f>
        <v>0.62</v>
      </c>
      <c r="F21" s="9">
        <f>SUMIFS(Benefits!$U:$U,Benefits!$A:$A,$A$18,Benefits!$E:$E,"Gross Margin",Benefits!$F:$F,"USD",Benefits!$D:$D,"Plan Base")</f>
        <v>0.92</v>
      </c>
      <c r="G21" s="9">
        <f>SUMIFS(Benefits!$V:$V,Benefits!$A:$A,$A$18,Benefits!$E:$E,"Gross Margin",Benefits!$F:$F,"USD",Benefits!$D:$D,"Plan Base")</f>
        <v>0.92</v>
      </c>
      <c r="H21" s="9">
        <f>SUMIFS(Benefits!$W:$W,Benefits!$A:$A,$A$18,Benefits!$E:$E,"Gross Margin",Benefits!$F:$F,"USD",Benefits!$D:$D,"Plan Base")</f>
        <v>0.92</v>
      </c>
      <c r="I21" s="9">
        <f>H21</f>
        <v>0.92</v>
      </c>
      <c r="J21" s="45">
        <f>SUM(D21:I21)</f>
        <v>4.3</v>
      </c>
      <c r="K21" s="49">
        <v>3.1</v>
      </c>
      <c r="M21" s="53"/>
    </row>
    <row r="22" spans="1:13" ht="15" customHeight="1" x14ac:dyDescent="0.25">
      <c r="A22" s="17"/>
      <c r="B22" s="7"/>
      <c r="C22" s="8" t="s">
        <v>98</v>
      </c>
      <c r="D22" s="9">
        <f>SUMIFS(Benefits!$S:$S,Benefits!$A:$A,$A$18,Benefits!$E:$E,"Gross Margin",Benefits!$F:$F,"USD",Benefits!$D:$D,"Plan High")</f>
        <v>0</v>
      </c>
      <c r="E22" s="9">
        <f>SUMIFS(Benefits!$T:$T,Benefits!$A:$A,$A$18,Benefits!$E:$E,"Gross Margin",Benefits!$F:$F,"USD",Benefits!$D:$D,"Plan High")</f>
        <v>0.84</v>
      </c>
      <c r="F22" s="9">
        <f>SUMIFS(Benefits!$U:$U,Benefits!$A:$A,$A$18,Benefits!$E:$E,"Gross Margin",Benefits!$F:$F,"USD",Benefits!$D:$D,"Plan High")</f>
        <v>1.24</v>
      </c>
      <c r="G22" s="9">
        <f>SUMIFS(Benefits!$V:$V,Benefits!$A:$A,$A$18,Benefits!$E:$E,"Gross Margin",Benefits!$F:$F,"USD",Benefits!$D:$D,"Plan High")</f>
        <v>1.24</v>
      </c>
      <c r="H22" s="9">
        <f>SUMIFS(Benefits!$W:$W,Benefits!$A:$A,$A$18,Benefits!$E:$E,"Gross Margin",Benefits!$F:$F,"USD",Benefits!$D:$D,"Plan High")</f>
        <v>1.24</v>
      </c>
      <c r="I22" s="9">
        <f>H22</f>
        <v>1.24</v>
      </c>
      <c r="J22" s="45">
        <f>SUM(D22:I22)</f>
        <v>5.8000000000000007</v>
      </c>
      <c r="K22" s="50"/>
    </row>
    <row r="23" spans="1:13" ht="15" customHeight="1" x14ac:dyDescent="0.25">
      <c r="A23" s="17"/>
      <c r="B23" s="7"/>
      <c r="C23" s="8" t="s">
        <v>99</v>
      </c>
      <c r="D23" s="9">
        <f>SUMIFS(Benefits!$S:$S,Benefits!$A:$A,$A$18,Benefits!$E:$E,"Gross Margin",Benefits!$F:$F,"USD",Benefits!$D:$D,"Actual")</f>
        <v>0</v>
      </c>
      <c r="E23" s="9">
        <f>SUMIFS(Benefits!$T:$T,Benefits!$A:$A,$A$18,Benefits!$E:$E,"Gross Margin",Benefits!$F:$F,"USD",Benefits!$D:$D,"Actual")</f>
        <v>0</v>
      </c>
      <c r="F23" s="9">
        <f>SUMIFS(Benefits!$U:$U,Benefits!$A:$A,$A$18,Benefits!$E:$E,"Gross Margin",Benefits!$F:$F,"USD",Benefits!$D:$D,"Actual")</f>
        <v>0</v>
      </c>
      <c r="G23" s="9">
        <f>SUMIFS(Benefits!$V:$V,Benefits!$A:$A,$A$18,Benefits!$E:$E,"Gross Margin",Benefits!$F:$F,"USD",Benefits!$D:$D,"Actual")</f>
        <v>0</v>
      </c>
      <c r="H23" s="9">
        <f>SUMIFS(Benefits!$W:$W,Benefits!$A:$A,$A$18,Benefits!$E:$E,"Gross Margin",Benefits!$F:$F,"USD",Benefits!$D:$D,"Actual")</f>
        <v>0</v>
      </c>
      <c r="I23" s="9">
        <f>H23</f>
        <v>0</v>
      </c>
      <c r="J23" s="45">
        <f>SUM(D23:I23)</f>
        <v>0</v>
      </c>
      <c r="K23" s="50"/>
    </row>
    <row r="24" spans="1:13" ht="15" customHeight="1" x14ac:dyDescent="0.25">
      <c r="A24" s="17"/>
      <c r="B24" s="7"/>
      <c r="C24" s="8" t="s">
        <v>100</v>
      </c>
      <c r="D24" s="9"/>
      <c r="E24" s="9"/>
      <c r="F24" s="9"/>
      <c r="G24" s="9"/>
      <c r="H24" s="9"/>
      <c r="I24" s="9"/>
      <c r="J24" s="45"/>
      <c r="K24" s="50"/>
    </row>
    <row r="25" spans="1:13" ht="15" customHeight="1" x14ac:dyDescent="0.25">
      <c r="A25" s="18"/>
      <c r="B25" s="10"/>
      <c r="C25" s="11" t="s">
        <v>101</v>
      </c>
      <c r="D25" s="12">
        <f>SUMIFS(Costs!$AB:$AB,Costs!$A:$A,$A$18,Costs!$D:$D,"Plan")</f>
        <v>0</v>
      </c>
      <c r="E25" s="12">
        <f>SUMIFS(Costs!$AC:$AC,Costs!$A:$A,$A$18,Costs!$D:$D,"Plan")</f>
        <v>0.1</v>
      </c>
      <c r="F25" s="12">
        <f>SUMIFS(Costs!$AD:$AD,Costs!$A:$A,$A$18,Costs!$D:$D,"Plan")</f>
        <v>0.1</v>
      </c>
      <c r="G25" s="12">
        <f>SUMIFS(Costs!$AE:$AE,Costs!$A:$A,$A$18,Costs!$D:$D,"Plan")</f>
        <v>0.1</v>
      </c>
      <c r="H25" s="12">
        <f>SUMIFS(Costs!$AF:$AF,Costs!$A:$A,$A$18,Costs!$D:$D,"Plan")</f>
        <v>0.1</v>
      </c>
      <c r="I25" s="12">
        <f>H25</f>
        <v>0.1</v>
      </c>
      <c r="J25" s="46">
        <f>SUM(D25:I25)</f>
        <v>0.5</v>
      </c>
      <c r="K25" s="51">
        <v>0.32200000000000001</v>
      </c>
    </row>
    <row r="26" spans="1:13" ht="15" customHeight="1" x14ac:dyDescent="0.25">
      <c r="A26" s="17"/>
      <c r="B26" s="7"/>
      <c r="C26" s="8" t="s">
        <v>102</v>
      </c>
      <c r="D26" s="9">
        <f>SUMIFS(Costs!$AB:$AB,Costs!$A:$A,$A$18,Costs!$D:$D,"Actual")</f>
        <v>0</v>
      </c>
      <c r="E26" s="9">
        <f>SUMIFS(Costs!$AC:$AC,Costs!$A:$A,$A$18,Costs!$D:$D,"Actual")</f>
        <v>0</v>
      </c>
      <c r="F26" s="9">
        <f>SUMIFS(Costs!$AD:$AD,Costs!$A:$A,$A$18,Costs!$D:$D,"Actual")</f>
        <v>0</v>
      </c>
      <c r="G26" s="9">
        <f>SUMIFS(Costs!$AE:$AE,Costs!$A:$A,$A$18,Costs!$D:$D,"Actual")</f>
        <v>0</v>
      </c>
      <c r="H26" s="9">
        <f>SUMIFS(Costs!$AF:$AF,Costs!$A:$A,$A$18,Costs!$D:$D,"Actual")</f>
        <v>0</v>
      </c>
      <c r="I26" s="9">
        <f>H26</f>
        <v>0</v>
      </c>
      <c r="J26" s="45">
        <f>SUM(D26:I26)</f>
        <v>0</v>
      </c>
      <c r="K26" s="50"/>
    </row>
    <row r="27" spans="1:13" ht="15" customHeight="1" x14ac:dyDescent="0.25">
      <c r="A27" s="17"/>
      <c r="B27" s="7"/>
      <c r="C27" s="8" t="s">
        <v>103</v>
      </c>
      <c r="D27" s="9"/>
      <c r="E27" s="9"/>
      <c r="F27" s="9"/>
      <c r="G27" s="9"/>
      <c r="H27" s="9"/>
      <c r="I27" s="9"/>
      <c r="J27" s="45"/>
      <c r="K27" s="50"/>
    </row>
    <row r="28" spans="1:13" ht="15" customHeight="1" x14ac:dyDescent="0.25">
      <c r="A28" s="18"/>
      <c r="B28" s="10"/>
      <c r="C28" s="11" t="s">
        <v>104</v>
      </c>
      <c r="D28" s="12">
        <f>D21-D25</f>
        <v>0</v>
      </c>
      <c r="E28" s="12">
        <f>E21-E25</f>
        <v>0.52</v>
      </c>
      <c r="F28" s="12">
        <f>F21-F25</f>
        <v>0.82000000000000006</v>
      </c>
      <c r="G28" s="12">
        <f>G21-G25</f>
        <v>0.82000000000000006</v>
      </c>
      <c r="H28" s="12">
        <f>H21-H25</f>
        <v>0.82000000000000006</v>
      </c>
      <c r="I28" s="12">
        <f>I21-I25</f>
        <v>0.82000000000000006</v>
      </c>
      <c r="J28" s="46">
        <f>J21-J25</f>
        <v>3.8</v>
      </c>
      <c r="K28" s="51">
        <f>K21-K25</f>
        <v>2.778</v>
      </c>
    </row>
    <row r="29" spans="1:13" ht="15" customHeight="1" x14ac:dyDescent="0.25">
      <c r="A29" s="18"/>
      <c r="B29" s="10"/>
      <c r="C29" s="11" t="s">
        <v>105</v>
      </c>
      <c r="D29" s="12">
        <f>D22-D25</f>
        <v>0</v>
      </c>
      <c r="E29" s="12">
        <f>E22-E25</f>
        <v>0.74</v>
      </c>
      <c r="F29" s="12">
        <f>F22-F25</f>
        <v>1.1399999999999999</v>
      </c>
      <c r="G29" s="12">
        <f>G22-G25</f>
        <v>1.1399999999999999</v>
      </c>
      <c r="H29" s="12">
        <f>H22-H25</f>
        <v>1.1399999999999999</v>
      </c>
      <c r="I29" s="12">
        <f>I22-I25</f>
        <v>1.1399999999999999</v>
      </c>
      <c r="J29" s="46">
        <f>J22-J25</f>
        <v>5.3000000000000007</v>
      </c>
      <c r="K29" s="50"/>
    </row>
    <row r="30" spans="1:13" ht="15" customHeight="1" x14ac:dyDescent="0.25">
      <c r="A30" s="18"/>
      <c r="B30" s="10"/>
      <c r="C30" s="11" t="s">
        <v>106</v>
      </c>
      <c r="D30" s="12">
        <f>D23-D26</f>
        <v>0</v>
      </c>
      <c r="E30" s="12">
        <f>E23-E26</f>
        <v>0</v>
      </c>
      <c r="F30" s="12">
        <f>F23-F26</f>
        <v>0</v>
      </c>
      <c r="G30" s="12">
        <f>G23-G26</f>
        <v>0</v>
      </c>
      <c r="H30" s="12">
        <f>H23-H26</f>
        <v>0</v>
      </c>
      <c r="I30" s="12">
        <f>I23-I26</f>
        <v>0</v>
      </c>
      <c r="J30" s="46">
        <f>J23-J26</f>
        <v>0</v>
      </c>
      <c r="K30" s="50"/>
    </row>
    <row r="31" spans="1:13" ht="15" customHeight="1" x14ac:dyDescent="0.25">
      <c r="A31" s="17"/>
      <c r="B31" s="7"/>
      <c r="C31" s="8" t="s">
        <v>107</v>
      </c>
      <c r="D31" s="9">
        <f>IFERROR(D30/D26,0)</f>
        <v>0</v>
      </c>
      <c r="E31" s="9">
        <f>IFERROR(E30/E26,0)</f>
        <v>0</v>
      </c>
      <c r="F31" s="9">
        <f>IFERROR(F30/F26,0)</f>
        <v>0</v>
      </c>
      <c r="G31" s="9">
        <f>IFERROR(G30/G26,0)</f>
        <v>0</v>
      </c>
      <c r="H31" s="9">
        <f>IFERROR(H30/H26,0)</f>
        <v>0</v>
      </c>
      <c r="I31" s="9">
        <f>IFERROR(I30/I26,0)</f>
        <v>0</v>
      </c>
      <c r="J31" s="45">
        <f>IFERROR(J30/J26,0)</f>
        <v>0</v>
      </c>
      <c r="K31" s="50">
        <f>IFERROR(K30/K26,0)</f>
        <v>0</v>
      </c>
    </row>
    <row r="32" spans="1:13" ht="3.75" customHeight="1" x14ac:dyDescent="0.25">
      <c r="A32" s="19"/>
      <c r="B32" s="19"/>
      <c r="C32" s="19"/>
      <c r="D32" s="19"/>
      <c r="E32" s="19"/>
      <c r="F32" s="19"/>
      <c r="G32" s="19"/>
      <c r="H32" s="19"/>
      <c r="I32" s="19"/>
      <c r="J32" s="47"/>
      <c r="K32" s="50"/>
    </row>
    <row r="33" spans="1:11" ht="21.75" customHeight="1" x14ac:dyDescent="0.25">
      <c r="A33" s="6" t="s">
        <v>32</v>
      </c>
      <c r="B33" s="7" t="s">
        <v>656</v>
      </c>
      <c r="C33" s="8" t="s">
        <v>94</v>
      </c>
      <c r="D33" s="9">
        <f>SUMIFS(Benefits!$S:$S,Benefits!$A:$A,$A$33,Benefits!$E:$E,"Revenue",Benefits!$F:$F,"USD",Benefits!$D:$D,"Plan Base")</f>
        <v>0</v>
      </c>
      <c r="E33" s="9">
        <f>SUMIFS(Benefits!$T:$T,Benefits!$A:$A,$A$33,Benefits!$E:$E,"Revenue",Benefits!$F:$F,"USD",Benefits!$D:$D,"Plan Base")</f>
        <v>0</v>
      </c>
      <c r="F33" s="9">
        <f>SUMIFS(Benefits!$U:$U,Benefits!$A:$A,$A$33,Benefits!$E:$E,"Revenue",Benefits!$F:$F,"USD",Benefits!$D:$D,"Plan Base")</f>
        <v>0</v>
      </c>
      <c r="G33" s="9">
        <f>SUMIFS(Benefits!$V:$V,Benefits!$A:$A,$A$33,Benefits!$E:$E,"Revenue",Benefits!$F:$F,"USD",Benefits!$D:$D,"Plan Base")</f>
        <v>0</v>
      </c>
      <c r="H33" s="9">
        <f>SUMIFS(Benefits!$W:$W,Benefits!$A:$A,$A$33,Benefits!$E:$E,"Revenue",Benefits!$F:$F,"USD",Benefits!$D:$D,"Plan Base")</f>
        <v>0</v>
      </c>
      <c r="I33" s="9">
        <f>H33</f>
        <v>0</v>
      </c>
      <c r="J33" s="45">
        <f>SUM(D33:I33)</f>
        <v>0</v>
      </c>
      <c r="K33" s="49">
        <v>0</v>
      </c>
    </row>
    <row r="34" spans="1:11" ht="15" customHeight="1" x14ac:dyDescent="0.25">
      <c r="A34" s="17"/>
      <c r="B34" s="7"/>
      <c r="C34" s="8" t="s">
        <v>95</v>
      </c>
      <c r="D34" s="9">
        <f>SUMIFS(Benefits!$S:$S,Benefits!$A:$A,$A$33,Benefits!$E:$E,"Revenue",Benefits!$F:$F,"USD",Benefits!$D:$D,"Plan High")</f>
        <v>0</v>
      </c>
      <c r="E34" s="9">
        <f>SUMIFS(Benefits!$T:$T,Benefits!$A:$A,$A$33,Benefits!$E:$E,"Revenue",Benefits!$F:$F,"USD",Benefits!$D:$D,"Plan High")</f>
        <v>0</v>
      </c>
      <c r="F34" s="9">
        <f>SUMIFS(Benefits!$U:$U,Benefits!$A:$A,$A$33,Benefits!$E:$E,"Revenue",Benefits!$F:$F,"USD",Benefits!$D:$D,"Plan High")</f>
        <v>0</v>
      </c>
      <c r="G34" s="9">
        <f>SUMIFS(Benefits!$V:$V,Benefits!$A:$A,$A$33,Benefits!$E:$E,"Revenue",Benefits!$F:$F,"USD",Benefits!$D:$D,"Plan High")</f>
        <v>0</v>
      </c>
      <c r="H34" s="9">
        <f>SUMIFS(Benefits!$W:$W,Benefits!$A:$A,$A$33,Benefits!$E:$E,"Revenue",Benefits!$F:$F,"USD",Benefits!$D:$D,"Plan High")</f>
        <v>0</v>
      </c>
      <c r="I34" s="9">
        <f>H34</f>
        <v>0</v>
      </c>
      <c r="J34" s="45">
        <f>SUM(D34:I34)</f>
        <v>0</v>
      </c>
      <c r="K34" s="50">
        <v>0</v>
      </c>
    </row>
    <row r="35" spans="1:11" ht="15" customHeight="1" x14ac:dyDescent="0.25">
      <c r="A35" s="17"/>
      <c r="B35" s="7"/>
      <c r="C35" s="8" t="s">
        <v>96</v>
      </c>
      <c r="D35" s="9">
        <f>SUMIFS(Benefits!$S:$S,Benefits!$A:$A,$A$33,Benefits!$E:$E,"Revenue",Benefits!$F:$F,"USD",Benefits!$D:$D,"Actual")</f>
        <v>0</v>
      </c>
      <c r="E35" s="9">
        <f>SUMIFS(Benefits!$T:$T,Benefits!$A:$A,$A$33,Benefits!$E:$E,"Revenue",Benefits!$F:$F,"USD",Benefits!$D:$D,"Actual")</f>
        <v>0</v>
      </c>
      <c r="F35" s="9">
        <f>SUMIFS(Benefits!$U:$U,Benefits!$A:$A,$A$33,Benefits!$E:$E,"Revenue",Benefits!$F:$F,"USD",Benefits!$D:$D,"Actual")</f>
        <v>0</v>
      </c>
      <c r="G35" s="9">
        <f>SUMIFS(Benefits!$V:$V,Benefits!$A:$A,$A$33,Benefits!$E:$E,"Revenue",Benefits!$F:$F,"USD",Benefits!$D:$D,"Actual")</f>
        <v>0</v>
      </c>
      <c r="H35" s="9">
        <f>SUMIFS(Benefits!$W:$W,Benefits!$A:$A,$A$33,Benefits!$E:$E,"Revenue",Benefits!$F:$F,"USD",Benefits!$D:$D,"Actual")</f>
        <v>0</v>
      </c>
      <c r="I35" s="9">
        <f>H35</f>
        <v>0</v>
      </c>
      <c r="J35" s="45">
        <f>SUM(D35:I35)</f>
        <v>0</v>
      </c>
      <c r="K35" s="50">
        <v>0</v>
      </c>
    </row>
    <row r="36" spans="1:11" ht="15" customHeight="1" x14ac:dyDescent="0.25">
      <c r="A36" s="17"/>
      <c r="B36" s="7"/>
      <c r="C36" s="8" t="s">
        <v>97</v>
      </c>
      <c r="D36" s="9">
        <f>SUMIFS(Benefits!$S:$S,Benefits!$A:$A,$A$33,Benefits!$E:$E,"Gross Margin",Benefits!$F:$F,"USD",Benefits!$D:$D,"Plan Base")</f>
        <v>1.24</v>
      </c>
      <c r="E36" s="9">
        <f>SUMIFS(Benefits!$T:$T,Benefits!$A:$A,$A$33,Benefits!$E:$E,"Gross Margin",Benefits!$F:$F,"USD",Benefits!$D:$D,"Plan Base")</f>
        <v>1.86</v>
      </c>
      <c r="F36" s="9">
        <f>SUMIFS(Benefits!$U:$U,Benefits!$A:$A,$A$33,Benefits!$E:$E,"Gross Margin",Benefits!$F:$F,"USD",Benefits!$D:$D,"Plan Base")</f>
        <v>1.86</v>
      </c>
      <c r="G36" s="9">
        <f>SUMIFS(Benefits!$V:$V,Benefits!$A:$A,$A$33,Benefits!$E:$E,"Gross Margin",Benefits!$F:$F,"USD",Benefits!$D:$D,"Plan Base")</f>
        <v>1.86</v>
      </c>
      <c r="H36" s="9">
        <f>SUMIFS(Benefits!$W:$W,Benefits!$A:$A,$A$33,Benefits!$E:$E,"Gross Margin",Benefits!$F:$F,"USD",Benefits!$D:$D,"Plan Base")</f>
        <v>1.86</v>
      </c>
      <c r="I36" s="9">
        <f>H36</f>
        <v>1.86</v>
      </c>
      <c r="J36" s="45">
        <f>SUM(D36:I36)</f>
        <v>10.54</v>
      </c>
      <c r="K36" s="49">
        <v>8.6519999999999992</v>
      </c>
    </row>
    <row r="37" spans="1:11" ht="15" customHeight="1" x14ac:dyDescent="0.25">
      <c r="A37" s="17"/>
      <c r="B37" s="7"/>
      <c r="C37" s="8" t="s">
        <v>98</v>
      </c>
      <c r="D37" s="9">
        <f>SUMIFS(Benefits!$S:$S,Benefits!$A:$A,$A$33,Benefits!$E:$E,"Gross Margin",Benefits!$F:$F,"USD",Benefits!$D:$D,"Plan High")</f>
        <v>1.66</v>
      </c>
      <c r="E37" s="9">
        <f>SUMIFS(Benefits!$T:$T,Benefits!$A:$A,$A$33,Benefits!$E:$E,"Gross Margin",Benefits!$F:$F,"USD",Benefits!$D:$D,"Plan High")</f>
        <v>2.48</v>
      </c>
      <c r="F37" s="9">
        <f>SUMIFS(Benefits!$U:$U,Benefits!$A:$A,$A$33,Benefits!$E:$E,"Gross Margin",Benefits!$F:$F,"USD",Benefits!$D:$D,"Plan High")</f>
        <v>2.48</v>
      </c>
      <c r="G37" s="9">
        <f>SUMIFS(Benefits!$V:$V,Benefits!$A:$A,$A$33,Benefits!$E:$E,"Gross Margin",Benefits!$F:$F,"USD",Benefits!$D:$D,"Plan High")</f>
        <v>2.48</v>
      </c>
      <c r="H37" s="9">
        <f>SUMIFS(Benefits!$W:$W,Benefits!$A:$A,$A$33,Benefits!$E:$E,"Gross Margin",Benefits!$F:$F,"USD",Benefits!$D:$D,"Plan High")</f>
        <v>2.48</v>
      </c>
      <c r="I37" s="9">
        <f>H37</f>
        <v>2.48</v>
      </c>
      <c r="J37" s="45">
        <f>SUM(D37:I37)</f>
        <v>14.06</v>
      </c>
      <c r="K37" s="50"/>
    </row>
    <row r="38" spans="1:11" ht="15" customHeight="1" x14ac:dyDescent="0.25">
      <c r="A38" s="17"/>
      <c r="B38" s="7"/>
      <c r="C38" s="8" t="s">
        <v>99</v>
      </c>
      <c r="D38" s="9">
        <f>SUMIFS(Benefits!$S:$S,Benefits!$A:$A,$A$33,Benefits!$E:$E,"Gross Margin",Benefits!$F:$F,"USD",Benefits!$D:$D,"Actual")</f>
        <v>0</v>
      </c>
      <c r="E38" s="9">
        <f>SUMIFS(Benefits!$T:$T,Benefits!$A:$A,$A$33,Benefits!$E:$E,"Gross Margin",Benefits!$F:$F,"USD",Benefits!$D:$D,"Actual")</f>
        <v>0</v>
      </c>
      <c r="F38" s="9">
        <f>SUMIFS(Benefits!$U:$U,Benefits!$A:$A,$A$33,Benefits!$E:$E,"Gross Margin",Benefits!$F:$F,"USD",Benefits!$D:$D,"Actual")</f>
        <v>0</v>
      </c>
      <c r="G38" s="9">
        <f>SUMIFS(Benefits!$V:$V,Benefits!$A:$A,$A$33,Benefits!$E:$E,"Gross Margin",Benefits!$F:$F,"USD",Benefits!$D:$D,"Actual")</f>
        <v>0</v>
      </c>
      <c r="H38" s="9">
        <f>SUMIFS(Benefits!$W:$W,Benefits!$A:$A,$A$33,Benefits!$E:$E,"Gross Margin",Benefits!$F:$F,"USD",Benefits!$D:$D,"Actual")</f>
        <v>0</v>
      </c>
      <c r="I38" s="9">
        <f>H38</f>
        <v>0</v>
      </c>
      <c r="J38" s="45">
        <f>SUM(D38:I38)</f>
        <v>0</v>
      </c>
      <c r="K38" s="50"/>
    </row>
    <row r="39" spans="1:11" ht="15" customHeight="1" x14ac:dyDescent="0.25">
      <c r="A39" s="17"/>
      <c r="B39" s="7"/>
      <c r="C39" s="8" t="s">
        <v>100</v>
      </c>
      <c r="D39" s="9"/>
      <c r="E39" s="9"/>
      <c r="F39" s="9"/>
      <c r="G39" s="9"/>
      <c r="H39" s="9"/>
      <c r="I39" s="9"/>
      <c r="J39" s="45"/>
      <c r="K39" s="50"/>
    </row>
    <row r="40" spans="1:11" ht="15" customHeight="1" x14ac:dyDescent="0.25">
      <c r="A40" s="18"/>
      <c r="B40" s="10"/>
      <c r="C40" s="11" t="s">
        <v>101</v>
      </c>
      <c r="D40" s="12">
        <f>SUMIFS(Costs!$AB:$AB,Costs!$A:$A,$A$33,Costs!$D:$D,"Plan")</f>
        <v>0.1</v>
      </c>
      <c r="E40" s="12">
        <f>SUMIFS(Costs!$AC:$AC,Costs!$A:$A,$A$33,Costs!$D:$D,"Plan")</f>
        <v>0.1</v>
      </c>
      <c r="F40" s="12">
        <f>SUMIFS(Costs!$AD:$AD,Costs!$A:$A,$A$33,Costs!$D:$D,"Plan")</f>
        <v>0.1</v>
      </c>
      <c r="G40" s="12">
        <f>SUMIFS(Costs!$AE:$AE,Costs!$A:$A,$A$33,Costs!$D:$D,"Plan")</f>
        <v>0.1</v>
      </c>
      <c r="H40" s="12">
        <f>SUMIFS(Costs!$AF:$AF,Costs!$A:$A,$A$33,Costs!$D:$D,"Plan")</f>
        <v>0.1</v>
      </c>
      <c r="I40" s="12">
        <f>H40</f>
        <v>0.1</v>
      </c>
      <c r="J40" s="46">
        <f>SUM(D40:I40)</f>
        <v>0.6</v>
      </c>
      <c r="K40" s="51">
        <v>0.40600000000000003</v>
      </c>
    </row>
    <row r="41" spans="1:11" ht="15" customHeight="1" x14ac:dyDescent="0.25">
      <c r="A41" s="17"/>
      <c r="B41" s="7"/>
      <c r="C41" s="8" t="s">
        <v>102</v>
      </c>
      <c r="D41" s="9">
        <f>SUMIFS(Costs!$AB:$AB,Costs!$A:$A,$A$33,Costs!$D:$D,"Actual")</f>
        <v>0</v>
      </c>
      <c r="E41" s="9">
        <f>SUMIFS(Costs!$AC:$AC,Costs!$A:$A,$A$33,Costs!$D:$D,"Actual")</f>
        <v>0</v>
      </c>
      <c r="F41" s="9">
        <f>SUMIFS(Costs!$AD:$AD,Costs!$A:$A,$A$33,Costs!$D:$D,"Actual")</f>
        <v>0</v>
      </c>
      <c r="G41" s="9">
        <f>SUMIFS(Costs!$AE:$AE,Costs!$A:$A,$A$33,Costs!$D:$D,"Actual")</f>
        <v>0</v>
      </c>
      <c r="H41" s="9">
        <f>SUMIFS(Costs!$AF:$AF,Costs!$A:$A,$A$33,Costs!$D:$D,"Actual")</f>
        <v>0</v>
      </c>
      <c r="I41" s="9">
        <f>H41</f>
        <v>0</v>
      </c>
      <c r="J41" s="45">
        <f>SUM(D41:I41)</f>
        <v>0</v>
      </c>
      <c r="K41" s="50"/>
    </row>
    <row r="42" spans="1:11" ht="15" customHeight="1" x14ac:dyDescent="0.25">
      <c r="A42" s="17"/>
      <c r="B42" s="7"/>
      <c r="C42" s="8" t="s">
        <v>103</v>
      </c>
      <c r="D42" s="9"/>
      <c r="E42" s="9"/>
      <c r="F42" s="9"/>
      <c r="G42" s="9"/>
      <c r="H42" s="9"/>
      <c r="I42" s="9"/>
      <c r="J42" s="45"/>
      <c r="K42" s="50"/>
    </row>
    <row r="43" spans="1:11" ht="15" customHeight="1" x14ac:dyDescent="0.25">
      <c r="A43" s="18"/>
      <c r="B43" s="10"/>
      <c r="C43" s="11" t="s">
        <v>104</v>
      </c>
      <c r="D43" s="12">
        <f>D36-D40</f>
        <v>1.1399999999999999</v>
      </c>
      <c r="E43" s="12">
        <f>E36-E40</f>
        <v>1.76</v>
      </c>
      <c r="F43" s="12">
        <f>F36-F40</f>
        <v>1.76</v>
      </c>
      <c r="G43" s="12">
        <f>G36-G40</f>
        <v>1.76</v>
      </c>
      <c r="H43" s="12">
        <f>H36-H40</f>
        <v>1.76</v>
      </c>
      <c r="I43" s="12">
        <f>I36-I40</f>
        <v>1.76</v>
      </c>
      <c r="J43" s="46">
        <f>J36-J40</f>
        <v>9.94</v>
      </c>
      <c r="K43" s="51">
        <f>K36-K40</f>
        <v>8.2459999999999987</v>
      </c>
    </row>
    <row r="44" spans="1:11" ht="15" customHeight="1" x14ac:dyDescent="0.25">
      <c r="A44" s="18"/>
      <c r="B44" s="10"/>
      <c r="C44" s="11" t="s">
        <v>105</v>
      </c>
      <c r="D44" s="12">
        <f>D37-D40</f>
        <v>1.5599999999999998</v>
      </c>
      <c r="E44" s="12">
        <f>E37-E40</f>
        <v>2.38</v>
      </c>
      <c r="F44" s="12">
        <f>F37-F40</f>
        <v>2.38</v>
      </c>
      <c r="G44" s="12">
        <f>G37-G40</f>
        <v>2.38</v>
      </c>
      <c r="H44" s="12">
        <f>H37-H40</f>
        <v>2.38</v>
      </c>
      <c r="I44" s="12">
        <f>I37-I40</f>
        <v>2.38</v>
      </c>
      <c r="J44" s="46">
        <f>J37-J40</f>
        <v>13.46</v>
      </c>
      <c r="K44" s="50"/>
    </row>
    <row r="45" spans="1:11" ht="15" customHeight="1" x14ac:dyDescent="0.25">
      <c r="A45" s="18"/>
      <c r="B45" s="10"/>
      <c r="C45" s="11" t="s">
        <v>106</v>
      </c>
      <c r="D45" s="12">
        <f>D38-D41</f>
        <v>0</v>
      </c>
      <c r="E45" s="12">
        <f>E38-E41</f>
        <v>0</v>
      </c>
      <c r="F45" s="12">
        <f>F38-F41</f>
        <v>0</v>
      </c>
      <c r="G45" s="12">
        <f>G38-G41</f>
        <v>0</v>
      </c>
      <c r="H45" s="12">
        <f>H38-H41</f>
        <v>0</v>
      </c>
      <c r="I45" s="12">
        <f>I38-I41</f>
        <v>0</v>
      </c>
      <c r="J45" s="46">
        <f>J38-J41</f>
        <v>0</v>
      </c>
      <c r="K45" s="50"/>
    </row>
    <row r="46" spans="1:11" ht="15" customHeight="1" x14ac:dyDescent="0.25">
      <c r="A46" s="17"/>
      <c r="B46" s="7"/>
      <c r="C46" s="8" t="s">
        <v>107</v>
      </c>
      <c r="D46" s="9">
        <f>IFERROR(D45/D41,0)</f>
        <v>0</v>
      </c>
      <c r="E46" s="9">
        <f>IFERROR(E45/E41,0)</f>
        <v>0</v>
      </c>
      <c r="F46" s="9">
        <f>IFERROR(F45/F41,0)</f>
        <v>0</v>
      </c>
      <c r="G46" s="9">
        <f>IFERROR(G45/G41,0)</f>
        <v>0</v>
      </c>
      <c r="H46" s="9">
        <f>IFERROR(H45/H41,0)</f>
        <v>0</v>
      </c>
      <c r="I46" s="9">
        <f>IFERROR(I45/I41,0)</f>
        <v>0</v>
      </c>
      <c r="J46" s="45">
        <f>IFERROR(J45/J41,0)</f>
        <v>0</v>
      </c>
      <c r="K46" s="50">
        <f>IFERROR(K45/K41,0)</f>
        <v>0</v>
      </c>
    </row>
    <row r="47" spans="1:11" ht="3.75" customHeight="1" x14ac:dyDescent="0.25">
      <c r="A47" s="19"/>
      <c r="B47" s="19"/>
      <c r="C47" s="19"/>
      <c r="D47" s="19"/>
      <c r="E47" s="19"/>
      <c r="F47" s="19"/>
      <c r="G47" s="19"/>
      <c r="H47" s="19"/>
      <c r="I47" s="19"/>
      <c r="J47" s="47"/>
      <c r="K47" s="50"/>
    </row>
    <row r="48" spans="1:11" ht="15" customHeight="1" x14ac:dyDescent="0.25">
      <c r="A48" s="6" t="s">
        <v>36</v>
      </c>
      <c r="B48" s="7" t="s">
        <v>37</v>
      </c>
      <c r="C48" s="8" t="s">
        <v>94</v>
      </c>
      <c r="D48" s="9">
        <f>SUMIFS(Benefits!$S:$S,Benefits!$A:$A,$A$48,Benefits!$E:$E,"Revenue",Benefits!$F:$F,"USD",Benefits!$D:$D,"Plan Base")</f>
        <v>0.52</v>
      </c>
      <c r="E48" s="9">
        <f>SUMIFS(Benefits!$T:$T,Benefits!$A:$A,$A$48,Benefits!$E:$E,"Revenue",Benefits!$F:$F,"USD",Benefits!$D:$D,"Plan Base")</f>
        <v>1.1000000000000001</v>
      </c>
      <c r="F48" s="9">
        <f>SUMIFS(Benefits!$U:$U,Benefits!$A:$A,$A$48,Benefits!$E:$E,"Revenue",Benefits!$F:$F,"USD",Benefits!$D:$D,"Plan Base")</f>
        <v>1.1000000000000001</v>
      </c>
      <c r="G48" s="9">
        <f>SUMIFS(Benefits!$V:$V,Benefits!$A:$A,$A$48,Benefits!$E:$E,"Revenue",Benefits!$F:$F,"USD",Benefits!$D:$D,"Plan Base")</f>
        <v>1.1000000000000001</v>
      </c>
      <c r="H48" s="9">
        <f>SUMIFS(Benefits!$W:$W,Benefits!$A:$A,$A$48,Benefits!$E:$E,"Revenue",Benefits!$F:$F,"USD",Benefits!$D:$D,"Plan Base")</f>
        <v>1.1000000000000001</v>
      </c>
      <c r="I48" s="9">
        <f>H48</f>
        <v>1.1000000000000001</v>
      </c>
      <c r="J48" s="45">
        <f>SUM(D48:I48)</f>
        <v>6.02</v>
      </c>
      <c r="K48" s="49">
        <v>3.9609999999999999</v>
      </c>
    </row>
    <row r="49" spans="1:11" ht="15" customHeight="1" x14ac:dyDescent="0.25">
      <c r="A49" s="17"/>
      <c r="B49" s="7"/>
      <c r="C49" s="8" t="s">
        <v>95</v>
      </c>
      <c r="D49" s="9">
        <f>SUMIFS(Benefits!$S:$S,Benefits!$A:$A,$A$48,Benefits!$E:$E,"Revenue",Benefits!$F:$F,"USD",Benefits!$D:$D,"Plan High")</f>
        <v>0.78</v>
      </c>
      <c r="E49" s="9">
        <f>SUMIFS(Benefits!$T:$T,Benefits!$A:$A,$A$48,Benefits!$E:$E,"Revenue",Benefits!$F:$F,"USD",Benefits!$D:$D,"Plan High")</f>
        <v>1.56</v>
      </c>
      <c r="F49" s="9">
        <f>SUMIFS(Benefits!$U:$U,Benefits!$A:$A,$A$48,Benefits!$E:$E,"Revenue",Benefits!$F:$F,"USD",Benefits!$D:$D,"Plan High")</f>
        <v>1.56</v>
      </c>
      <c r="G49" s="9">
        <f>SUMIFS(Benefits!$V:$V,Benefits!$A:$A,$A$48,Benefits!$E:$E,"Revenue",Benefits!$F:$F,"USD",Benefits!$D:$D,"Plan High")</f>
        <v>1.56</v>
      </c>
      <c r="H49" s="9">
        <f>SUMIFS(Benefits!$W:$W,Benefits!$A:$A,$A$48,Benefits!$E:$E,"Revenue",Benefits!$F:$F,"USD",Benefits!$D:$D,"Plan High")</f>
        <v>1.56</v>
      </c>
      <c r="I49" s="9">
        <f>H49</f>
        <v>1.56</v>
      </c>
      <c r="J49" s="45">
        <f>SUM(D49:I49)</f>
        <v>8.58</v>
      </c>
      <c r="K49" s="50"/>
    </row>
    <row r="50" spans="1:11" ht="15" customHeight="1" x14ac:dyDescent="0.25">
      <c r="A50" s="17"/>
      <c r="B50" s="7"/>
      <c r="C50" s="8" t="s">
        <v>96</v>
      </c>
      <c r="D50" s="9">
        <f>SUMIFS(Benefits!$S:$S,Benefits!$A:$A,$A$48,Benefits!$E:$E,"Revenue",Benefits!$F:$F,"USD",Benefits!$D:$D,"Actual")</f>
        <v>0</v>
      </c>
      <c r="E50" s="9">
        <f>SUMIFS(Benefits!$T:$T,Benefits!$A:$A,$A$48,Benefits!$E:$E,"Revenue",Benefits!$F:$F,"USD",Benefits!$D:$D,"Actual")</f>
        <v>0</v>
      </c>
      <c r="F50" s="9">
        <f>SUMIFS(Benefits!$U:$U,Benefits!$A:$A,$A$48,Benefits!$E:$E,"Revenue",Benefits!$F:$F,"USD",Benefits!$D:$D,"Actual")</f>
        <v>0</v>
      </c>
      <c r="G50" s="9">
        <f>SUMIFS(Benefits!$V:$V,Benefits!$A:$A,$A$48,Benefits!$E:$E,"Revenue",Benefits!$F:$F,"USD",Benefits!$D:$D,"Actual")</f>
        <v>0</v>
      </c>
      <c r="H50" s="9">
        <f>SUMIFS(Benefits!$W:$W,Benefits!$A:$A,$A$48,Benefits!$E:$E,"Revenue",Benefits!$F:$F,"USD",Benefits!$D:$D,"Actual")</f>
        <v>0</v>
      </c>
      <c r="I50" s="9">
        <f>H50</f>
        <v>0</v>
      </c>
      <c r="J50" s="45">
        <f>SUM(D50:I50)</f>
        <v>0</v>
      </c>
      <c r="K50" s="50"/>
    </row>
    <row r="51" spans="1:11" ht="15" customHeight="1" x14ac:dyDescent="0.25">
      <c r="A51" s="17"/>
      <c r="B51" s="7"/>
      <c r="C51" s="8" t="s">
        <v>97</v>
      </c>
      <c r="D51" s="9">
        <f>SUMIFS(Benefits!$S:$S,Benefits!$A:$A,$A$48,Benefits!$E:$E,"Gross Margin",Benefits!$F:$F,"USD",Benefits!$D:$D,"Plan Base")</f>
        <v>0.28000000000000003</v>
      </c>
      <c r="E51" s="9">
        <f>SUMIFS(Benefits!$T:$T,Benefits!$A:$A,$A$48,Benefits!$E:$E,"Gross Margin",Benefits!$F:$F,"USD",Benefits!$D:$D,"Plan Base")</f>
        <v>0.72</v>
      </c>
      <c r="F51" s="9">
        <f>SUMIFS(Benefits!$U:$U,Benefits!$A:$A,$A$48,Benefits!$E:$E,"Gross Margin",Benefits!$F:$F,"USD",Benefits!$D:$D,"Plan Base")</f>
        <v>0.72</v>
      </c>
      <c r="G51" s="9">
        <f>SUMIFS(Benefits!$V:$V,Benefits!$A:$A,$A$48,Benefits!$E:$E,"Gross Margin",Benefits!$F:$F,"USD",Benefits!$D:$D,"Plan Base")</f>
        <v>0.72</v>
      </c>
      <c r="H51" s="9">
        <f>SUMIFS(Benefits!$W:$W,Benefits!$A:$A,$A$48,Benefits!$E:$E,"Gross Margin",Benefits!$F:$F,"USD",Benefits!$D:$D,"Plan Base")</f>
        <v>0.72</v>
      </c>
      <c r="I51" s="9">
        <f>H51</f>
        <v>0.72</v>
      </c>
      <c r="J51" s="45">
        <f>SUM(D51:I51)</f>
        <v>3.88</v>
      </c>
      <c r="K51" s="49">
        <v>3.016</v>
      </c>
    </row>
    <row r="52" spans="1:11" ht="15" customHeight="1" x14ac:dyDescent="0.25">
      <c r="A52" s="17"/>
      <c r="B52" s="7"/>
      <c r="C52" s="8" t="s">
        <v>98</v>
      </c>
      <c r="D52" s="9">
        <f>SUMIFS(Benefits!$S:$S,Benefits!$A:$A,$A$48,Benefits!$E:$E,"Gross Margin",Benefits!$F:$F,"USD",Benefits!$D:$D,"Plan High")</f>
        <v>0.36</v>
      </c>
      <c r="E52" s="9">
        <f>SUMIFS(Benefits!$T:$T,Benefits!$A:$A,$A$48,Benefits!$E:$E,"Gross Margin",Benefits!$F:$F,"USD",Benefits!$D:$D,"Plan High")</f>
        <v>1.02</v>
      </c>
      <c r="F52" s="9">
        <f>SUMIFS(Benefits!$U:$U,Benefits!$A:$A,$A$48,Benefits!$E:$E,"Gross Margin",Benefits!$F:$F,"USD",Benefits!$D:$D,"Plan High")</f>
        <v>1.02</v>
      </c>
      <c r="G52" s="9">
        <f>SUMIFS(Benefits!$V:$V,Benefits!$A:$A,$A$48,Benefits!$E:$E,"Gross Margin",Benefits!$F:$F,"USD",Benefits!$D:$D,"Plan High")</f>
        <v>1.02</v>
      </c>
      <c r="H52" s="9">
        <f>SUMIFS(Benefits!$W:$W,Benefits!$A:$A,$A$48,Benefits!$E:$E,"Gross Margin",Benefits!$F:$F,"USD",Benefits!$D:$D,"Plan High")</f>
        <v>1.02</v>
      </c>
      <c r="I52" s="9">
        <f>H52</f>
        <v>1.02</v>
      </c>
      <c r="J52" s="45">
        <f>SUM(D52:I52)</f>
        <v>5.4599999999999991</v>
      </c>
      <c r="K52" s="50"/>
    </row>
    <row r="53" spans="1:11" ht="15" customHeight="1" x14ac:dyDescent="0.25">
      <c r="A53" s="17"/>
      <c r="B53" s="7"/>
      <c r="C53" s="8" t="s">
        <v>99</v>
      </c>
      <c r="D53" s="9">
        <f>SUMIFS(Benefits!$S:$S,Benefits!$A:$A,$A$48,Benefits!$E:$E,"Gross Margin",Benefits!$F:$F,"USD",Benefits!$D:$D,"Actual")</f>
        <v>0</v>
      </c>
      <c r="E53" s="9">
        <f>SUMIFS(Benefits!$T:$T,Benefits!$A:$A,$A$48,Benefits!$E:$E,"Gross Margin",Benefits!$F:$F,"USD",Benefits!$D:$D,"Actual")</f>
        <v>0</v>
      </c>
      <c r="F53" s="9">
        <f>SUMIFS(Benefits!$U:$U,Benefits!$A:$A,$A$48,Benefits!$E:$E,"Gross Margin",Benefits!$F:$F,"USD",Benefits!$D:$D,"Actual")</f>
        <v>0</v>
      </c>
      <c r="G53" s="9">
        <f>SUMIFS(Benefits!$V:$V,Benefits!$A:$A,$A$48,Benefits!$E:$E,"Gross Margin",Benefits!$F:$F,"USD",Benefits!$D:$D,"Actual")</f>
        <v>0</v>
      </c>
      <c r="H53" s="9">
        <f>SUMIFS(Benefits!$W:$W,Benefits!$A:$A,$A$48,Benefits!$E:$E,"Gross Margin",Benefits!$F:$F,"USD",Benefits!$D:$D,"Actual")</f>
        <v>0</v>
      </c>
      <c r="I53" s="9">
        <f>H53</f>
        <v>0</v>
      </c>
      <c r="J53" s="45">
        <f>SUM(D53:I53)</f>
        <v>0</v>
      </c>
      <c r="K53" s="50"/>
    </row>
    <row r="54" spans="1:11" ht="15" customHeight="1" x14ac:dyDescent="0.25">
      <c r="A54" s="17"/>
      <c r="B54" s="7"/>
      <c r="C54" s="8" t="s">
        <v>100</v>
      </c>
      <c r="D54" s="9"/>
      <c r="E54" s="9"/>
      <c r="F54" s="9"/>
      <c r="G54" s="9"/>
      <c r="H54" s="9"/>
      <c r="I54" s="9"/>
      <c r="J54" s="45"/>
      <c r="K54" s="50"/>
    </row>
    <row r="55" spans="1:11" ht="15" customHeight="1" x14ac:dyDescent="0.25">
      <c r="A55" s="18"/>
      <c r="B55" s="10"/>
      <c r="C55" s="11" t="s">
        <v>101</v>
      </c>
      <c r="D55" s="12">
        <f>SUMIFS(Costs!$AB:$AB,Costs!$A:$A,$A$48,Costs!$D:$D,"Plan")</f>
        <v>0.62</v>
      </c>
      <c r="E55" s="12">
        <f>SUMIFS(Costs!$AC:$AC,Costs!$A:$A,$A$48,Costs!$D:$D,"Plan")</f>
        <v>0.64</v>
      </c>
      <c r="F55" s="12">
        <f>SUMIFS(Costs!$AD:$AD,Costs!$A:$A,$A$48,Costs!$D:$D,"Plan")</f>
        <v>0.64</v>
      </c>
      <c r="G55" s="12">
        <f>SUMIFS(Costs!$AE:$AE,Costs!$A:$A,$A$48,Costs!$D:$D,"Plan")</f>
        <v>0.64</v>
      </c>
      <c r="H55" s="12">
        <f>SUMIFS(Costs!$AF:$AF,Costs!$A:$A,$A$48,Costs!$D:$D,"Plan")</f>
        <v>0.64</v>
      </c>
      <c r="I55" s="12">
        <f>H55</f>
        <v>0.64</v>
      </c>
      <c r="J55" s="46">
        <f>SUM(D55:I55)</f>
        <v>3.8200000000000003</v>
      </c>
      <c r="K55" s="51">
        <v>1.9610000000000001</v>
      </c>
    </row>
    <row r="56" spans="1:11" ht="15" customHeight="1" x14ac:dyDescent="0.25">
      <c r="A56" s="17"/>
      <c r="B56" s="7"/>
      <c r="C56" s="8" t="s">
        <v>102</v>
      </c>
      <c r="D56" s="9">
        <f>SUMIFS(Costs!$AB:$AB,Costs!$A:$A,$A$48,Costs!$D:$D,"Actual")</f>
        <v>0</v>
      </c>
      <c r="E56" s="9">
        <f>SUMIFS(Costs!$AC:$AC,Costs!$A:$A,$A$48,Costs!$D:$D,"Actual")</f>
        <v>0</v>
      </c>
      <c r="F56" s="9">
        <f>SUMIFS(Costs!$AD:$AD,Costs!$A:$A,$A$48,Costs!$D:$D,"Actual")</f>
        <v>0</v>
      </c>
      <c r="G56" s="9">
        <f>SUMIFS(Costs!$AE:$AE,Costs!$A:$A,$A$48,Costs!$D:$D,"Actual")</f>
        <v>0</v>
      </c>
      <c r="H56" s="9">
        <f>SUMIFS(Costs!$AF:$AF,Costs!$A:$A,$A$48,Costs!$D:$D,"Actual")</f>
        <v>0</v>
      </c>
      <c r="I56" s="9">
        <f>H56</f>
        <v>0</v>
      </c>
      <c r="J56" s="45">
        <f>SUM(D56:I56)</f>
        <v>0</v>
      </c>
      <c r="K56" s="50"/>
    </row>
    <row r="57" spans="1:11" ht="15" customHeight="1" x14ac:dyDescent="0.25">
      <c r="A57" s="17"/>
      <c r="B57" s="7"/>
      <c r="C57" s="8" t="s">
        <v>103</v>
      </c>
      <c r="D57" s="9"/>
      <c r="E57" s="9"/>
      <c r="F57" s="9"/>
      <c r="G57" s="9"/>
      <c r="H57" s="9"/>
      <c r="I57" s="9"/>
      <c r="J57" s="45"/>
      <c r="K57" s="50"/>
    </row>
    <row r="58" spans="1:11" ht="15" customHeight="1" x14ac:dyDescent="0.25">
      <c r="A58" s="18"/>
      <c r="B58" s="10"/>
      <c r="C58" s="11" t="s">
        <v>104</v>
      </c>
      <c r="D58" s="12">
        <f>D51-D55</f>
        <v>-0.33999999999999997</v>
      </c>
      <c r="E58" s="12">
        <f>E51-E55</f>
        <v>7.999999999999996E-2</v>
      </c>
      <c r="F58" s="12">
        <f>F51-F55</f>
        <v>7.999999999999996E-2</v>
      </c>
      <c r="G58" s="12">
        <f>G51-G55</f>
        <v>7.999999999999996E-2</v>
      </c>
      <c r="H58" s="12">
        <f>H51-H55</f>
        <v>7.999999999999996E-2</v>
      </c>
      <c r="I58" s="12">
        <f>I51-I55</f>
        <v>7.999999999999996E-2</v>
      </c>
      <c r="J58" s="46">
        <f>J51-J55</f>
        <v>5.9999999999999609E-2</v>
      </c>
      <c r="K58" s="51">
        <f>K51-K55</f>
        <v>1.0549999999999999</v>
      </c>
    </row>
    <row r="59" spans="1:11" ht="15" customHeight="1" x14ac:dyDescent="0.25">
      <c r="A59" s="18"/>
      <c r="B59" s="10"/>
      <c r="C59" s="11" t="s">
        <v>105</v>
      </c>
      <c r="D59" s="12">
        <f>D52-D55</f>
        <v>-0.26</v>
      </c>
      <c r="E59" s="12">
        <f>E52-E55</f>
        <v>0.38</v>
      </c>
      <c r="F59" s="12">
        <f>F52-F55</f>
        <v>0.38</v>
      </c>
      <c r="G59" s="12">
        <f>G52-G55</f>
        <v>0.38</v>
      </c>
      <c r="H59" s="12">
        <f>H52-H55</f>
        <v>0.38</v>
      </c>
      <c r="I59" s="12">
        <f>I52-I55</f>
        <v>0.38</v>
      </c>
      <c r="J59" s="46">
        <f>J52-J55</f>
        <v>1.6399999999999988</v>
      </c>
      <c r="K59" s="50"/>
    </row>
    <row r="60" spans="1:11" ht="15" customHeight="1" x14ac:dyDescent="0.25">
      <c r="A60" s="18"/>
      <c r="B60" s="10"/>
      <c r="C60" s="11" t="s">
        <v>106</v>
      </c>
      <c r="D60" s="12">
        <f>D53-D56</f>
        <v>0</v>
      </c>
      <c r="E60" s="12">
        <f>E53-E56</f>
        <v>0</v>
      </c>
      <c r="F60" s="12">
        <f>F53-F56</f>
        <v>0</v>
      </c>
      <c r="G60" s="12">
        <f>G53-G56</f>
        <v>0</v>
      </c>
      <c r="H60" s="12">
        <f>H53-H56</f>
        <v>0</v>
      </c>
      <c r="I60" s="12">
        <f>I53-I56</f>
        <v>0</v>
      </c>
      <c r="J60" s="46">
        <f>J53-J56</f>
        <v>0</v>
      </c>
      <c r="K60" s="50"/>
    </row>
    <row r="61" spans="1:11" ht="15" customHeight="1" x14ac:dyDescent="0.25">
      <c r="A61" s="17"/>
      <c r="B61" s="7"/>
      <c r="C61" s="8" t="s">
        <v>107</v>
      </c>
      <c r="D61" s="9">
        <f>IFERROR(D60/D56,0)</f>
        <v>0</v>
      </c>
      <c r="E61" s="9">
        <f>IFERROR(E60/E56,0)</f>
        <v>0</v>
      </c>
      <c r="F61" s="9">
        <f>IFERROR(F60/F56,0)</f>
        <v>0</v>
      </c>
      <c r="G61" s="9">
        <f>IFERROR(G60/G56,0)</f>
        <v>0</v>
      </c>
      <c r="H61" s="9">
        <f>IFERROR(H60/H56,0)</f>
        <v>0</v>
      </c>
      <c r="I61" s="9">
        <f>IFERROR(I60/I56,0)</f>
        <v>0</v>
      </c>
      <c r="J61" s="45">
        <f>IFERROR(J60/J56,0)</f>
        <v>0</v>
      </c>
      <c r="K61" s="50">
        <f>IFERROR(K60/K56,0)</f>
        <v>0</v>
      </c>
    </row>
    <row r="62" spans="1:11" ht="3.75" customHeight="1" x14ac:dyDescent="0.25">
      <c r="A62" s="19"/>
      <c r="B62" s="19"/>
      <c r="C62" s="19"/>
      <c r="D62" s="19"/>
      <c r="E62" s="19"/>
      <c r="F62" s="19"/>
      <c r="G62" s="19"/>
      <c r="H62" s="19"/>
      <c r="I62" s="19"/>
      <c r="J62" s="47"/>
      <c r="K62" s="50"/>
    </row>
    <row r="63" spans="1:11" ht="15" customHeight="1" x14ac:dyDescent="0.25">
      <c r="A63" s="6" t="s">
        <v>42</v>
      </c>
      <c r="B63" s="7" t="s">
        <v>655</v>
      </c>
      <c r="C63" s="8" t="s">
        <v>94</v>
      </c>
      <c r="D63" s="9">
        <f>SUMIFS(Benefits!$S:$S,Benefits!$A:$A,$A$63,Benefits!$E:$E,"Revenue",Benefits!$F:$F,"USD",Benefits!$D:$D,"Plan Base")</f>
        <v>0</v>
      </c>
      <c r="E63" s="9">
        <f>SUMIFS(Benefits!$T:$T,Benefits!$A:$A,$A$63,Benefits!$E:$E,"Revenue",Benefits!$F:$F,"USD",Benefits!$D:$D,"Plan Base")</f>
        <v>0.82</v>
      </c>
      <c r="F63" s="9">
        <f>SUMIFS(Benefits!$U:$U,Benefits!$A:$A,$A$63,Benefits!$E:$E,"Revenue",Benefits!$F:$F,"USD",Benefits!$D:$D,"Plan Base")</f>
        <v>2.46</v>
      </c>
      <c r="G63" s="9">
        <f>SUMIFS(Benefits!$V:$V,Benefits!$A:$A,$A$63,Benefits!$E:$E,"Revenue",Benefits!$F:$F,"USD",Benefits!$D:$D,"Plan Base")</f>
        <v>2.46</v>
      </c>
      <c r="H63" s="9">
        <f>SUMIFS(Benefits!$W:$W,Benefits!$A:$A,$A$63,Benefits!$E:$E,"Revenue",Benefits!$F:$F,"USD",Benefits!$D:$D,"Plan Base")</f>
        <v>2.46</v>
      </c>
      <c r="I63" s="9">
        <f>H63</f>
        <v>2.46</v>
      </c>
      <c r="J63" s="45">
        <f>SUM(D63:I63)</f>
        <v>10.66</v>
      </c>
      <c r="K63" s="49">
        <v>10.967000000000001</v>
      </c>
    </row>
    <row r="64" spans="1:11" ht="15" customHeight="1" x14ac:dyDescent="0.25">
      <c r="A64" s="17"/>
      <c r="B64" s="7"/>
      <c r="C64" s="8" t="s">
        <v>95</v>
      </c>
      <c r="D64" s="9">
        <f>SUMIFS(Benefits!$S:$S,Benefits!$A:$A,$A$63,Benefits!$E:$E,"Revenue",Benefits!$F:$F,"USD",Benefits!$D:$D,"Plan High")</f>
        <v>0</v>
      </c>
      <c r="E64" s="9">
        <f>SUMIFS(Benefits!$T:$T,Benefits!$A:$A,$A$63,Benefits!$E:$E,"Revenue",Benefits!$F:$F,"USD",Benefits!$D:$D,"Plan High")</f>
        <v>1.02</v>
      </c>
      <c r="F64" s="9">
        <f>SUMIFS(Benefits!$U:$U,Benefits!$A:$A,$A$63,Benefits!$E:$E,"Revenue",Benefits!$F:$F,"USD",Benefits!$D:$D,"Plan High")</f>
        <v>3.08</v>
      </c>
      <c r="G64" s="9">
        <f>SUMIFS(Benefits!$V:$V,Benefits!$A:$A,$A$63,Benefits!$E:$E,"Revenue",Benefits!$F:$F,"USD",Benefits!$D:$D,"Plan High")</f>
        <v>3.08</v>
      </c>
      <c r="H64" s="9">
        <f>SUMIFS(Benefits!$W:$W,Benefits!$A:$A,$A$63,Benefits!$E:$E,"Revenue",Benefits!$F:$F,"USD",Benefits!$D:$D,"Plan High")</f>
        <v>3.08</v>
      </c>
      <c r="I64" s="9">
        <f>H64</f>
        <v>3.08</v>
      </c>
      <c r="J64" s="45">
        <f>SUM(D64:I64)</f>
        <v>13.34</v>
      </c>
      <c r="K64" s="50"/>
    </row>
    <row r="65" spans="1:11" ht="15" customHeight="1" x14ac:dyDescent="0.25">
      <c r="A65" s="17"/>
      <c r="B65" s="7"/>
      <c r="C65" s="8" t="s">
        <v>96</v>
      </c>
      <c r="D65" s="9">
        <f>SUMIFS(Benefits!$S:$S,Benefits!$A:$A,$A$63,Benefits!$E:$E,"Revenue",Benefits!$F:$F,"USD",Benefits!$D:$D,"Actual")</f>
        <v>0</v>
      </c>
      <c r="E65" s="9">
        <f>SUMIFS(Benefits!$T:$T,Benefits!$A:$A,$A$63,Benefits!$E:$E,"Revenue",Benefits!$F:$F,"USD",Benefits!$D:$D,"Actual")</f>
        <v>0</v>
      </c>
      <c r="F65" s="9">
        <f>SUMIFS(Benefits!$U:$U,Benefits!$A:$A,$A$63,Benefits!$E:$E,"Revenue",Benefits!$F:$F,"USD",Benefits!$D:$D,"Actual")</f>
        <v>0</v>
      </c>
      <c r="G65" s="9">
        <f>SUMIFS(Benefits!$V:$V,Benefits!$A:$A,$A$63,Benefits!$E:$E,"Revenue",Benefits!$F:$F,"USD",Benefits!$D:$D,"Actual")</f>
        <v>0</v>
      </c>
      <c r="H65" s="9">
        <f>SUMIFS(Benefits!$W:$W,Benefits!$A:$A,$A$63,Benefits!$E:$E,"Revenue",Benefits!$F:$F,"USD",Benefits!$D:$D,"Actual")</f>
        <v>0</v>
      </c>
      <c r="I65" s="9">
        <f>H65</f>
        <v>0</v>
      </c>
      <c r="J65" s="45">
        <f>SUM(D65:I65)</f>
        <v>0</v>
      </c>
      <c r="K65" s="50"/>
    </row>
    <row r="66" spans="1:11" ht="15" customHeight="1" x14ac:dyDescent="0.25">
      <c r="A66" s="17"/>
      <c r="B66" s="7"/>
      <c r="C66" s="8" t="s">
        <v>97</v>
      </c>
      <c r="D66" s="9">
        <f>SUMIFS(Benefits!$S:$S,Benefits!$A:$A,$A$63,Benefits!$E:$E,"Gross Margin",Benefits!$F:$F,"USD",Benefits!$D:$D,"Plan Base")</f>
        <v>0</v>
      </c>
      <c r="E66" s="9">
        <f>SUMIFS(Benefits!$T:$T,Benefits!$A:$A,$A$63,Benefits!$E:$E,"Gross Margin",Benefits!$F:$F,"USD",Benefits!$D:$D,"Plan Base")</f>
        <v>0.48</v>
      </c>
      <c r="F66" s="9">
        <f>SUMIFS(Benefits!$U:$U,Benefits!$A:$A,$A$63,Benefits!$E:$E,"Gross Margin",Benefits!$F:$F,"USD",Benefits!$D:$D,"Plan Base")</f>
        <v>1.42</v>
      </c>
      <c r="G66" s="9">
        <f>SUMIFS(Benefits!$V:$V,Benefits!$A:$A,$A$63,Benefits!$E:$E,"Gross Margin",Benefits!$F:$F,"USD",Benefits!$D:$D,"Plan Base")</f>
        <v>1.42</v>
      </c>
      <c r="H66" s="9">
        <f>SUMIFS(Benefits!$W:$W,Benefits!$A:$A,$A$63,Benefits!$E:$E,"Gross Margin",Benefits!$F:$F,"USD",Benefits!$D:$D,"Plan Base")</f>
        <v>1.42</v>
      </c>
      <c r="I66" s="9">
        <f>H66</f>
        <v>1.42</v>
      </c>
      <c r="J66" s="45">
        <f>SUM(D66:I66)</f>
        <v>6.16</v>
      </c>
      <c r="K66" s="49">
        <v>6.12</v>
      </c>
    </row>
    <row r="67" spans="1:11" ht="15" customHeight="1" x14ac:dyDescent="0.25">
      <c r="A67" s="17"/>
      <c r="B67" s="7"/>
      <c r="C67" s="8" t="s">
        <v>98</v>
      </c>
      <c r="D67" s="9">
        <f>SUMIFS(Benefits!$S:$S,Benefits!$A:$A,$A$63,Benefits!$E:$E,"Gross Margin",Benefits!$F:$F,"USD",Benefits!$D:$D,"Plan High")</f>
        <v>0</v>
      </c>
      <c r="E67" s="9">
        <f>SUMIFS(Benefits!$T:$T,Benefits!$A:$A,$A$63,Benefits!$E:$E,"Gross Margin",Benefits!$F:$F,"USD",Benefits!$D:$D,"Plan High")</f>
        <v>0.64</v>
      </c>
      <c r="F67" s="9">
        <f>SUMIFS(Benefits!$U:$U,Benefits!$A:$A,$A$63,Benefits!$E:$E,"Gross Margin",Benefits!$F:$F,"USD",Benefits!$D:$D,"Plan High")</f>
        <v>1.92</v>
      </c>
      <c r="G67" s="9">
        <f>SUMIFS(Benefits!$V:$V,Benefits!$A:$A,$A$63,Benefits!$E:$E,"Gross Margin",Benefits!$F:$F,"USD",Benefits!$D:$D,"Plan High")</f>
        <v>1.92</v>
      </c>
      <c r="H67" s="9">
        <f>SUMIFS(Benefits!$W:$W,Benefits!$A:$A,$A$63,Benefits!$E:$E,"Gross Margin",Benefits!$F:$F,"USD",Benefits!$D:$D,"Plan High")</f>
        <v>1.92</v>
      </c>
      <c r="I67" s="9">
        <f>H67</f>
        <v>1.92</v>
      </c>
      <c r="J67" s="45">
        <f>SUM(D67:I67)</f>
        <v>8.32</v>
      </c>
      <c r="K67" s="50"/>
    </row>
    <row r="68" spans="1:11" ht="15" customHeight="1" x14ac:dyDescent="0.25">
      <c r="A68" s="17"/>
      <c r="B68" s="7"/>
      <c r="C68" s="8" t="s">
        <v>99</v>
      </c>
      <c r="D68" s="9">
        <f>SUMIFS(Benefits!$S:$S,Benefits!$A:$A,$A$63,Benefits!$E:$E,"Gross Margin",Benefits!$F:$F,"USD",Benefits!$D:$D,"Actual")</f>
        <v>0</v>
      </c>
      <c r="E68" s="9">
        <f>SUMIFS(Benefits!$T:$T,Benefits!$A:$A,$A$63,Benefits!$E:$E,"Gross Margin",Benefits!$F:$F,"USD",Benefits!$D:$D,"Actual")</f>
        <v>0</v>
      </c>
      <c r="F68" s="9">
        <f>SUMIFS(Benefits!$U:$U,Benefits!$A:$A,$A$63,Benefits!$E:$E,"Gross Margin",Benefits!$F:$F,"USD",Benefits!$D:$D,"Actual")</f>
        <v>0</v>
      </c>
      <c r="G68" s="9">
        <f>SUMIFS(Benefits!$V:$V,Benefits!$A:$A,$A$63,Benefits!$E:$E,"Gross Margin",Benefits!$F:$F,"USD",Benefits!$D:$D,"Actual")</f>
        <v>0</v>
      </c>
      <c r="H68" s="9">
        <f>SUMIFS(Benefits!$W:$W,Benefits!$A:$A,$A$63,Benefits!$E:$E,"Gross Margin",Benefits!$F:$F,"USD",Benefits!$D:$D,"Actual")</f>
        <v>0</v>
      </c>
      <c r="I68" s="9">
        <f>H68</f>
        <v>0</v>
      </c>
      <c r="J68" s="45">
        <f>SUM(D68:I68)</f>
        <v>0</v>
      </c>
      <c r="K68" s="50"/>
    </row>
    <row r="69" spans="1:11" ht="15" customHeight="1" x14ac:dyDescent="0.25">
      <c r="A69" s="17"/>
      <c r="B69" s="7"/>
      <c r="C69" s="8" t="s">
        <v>100</v>
      </c>
      <c r="D69" s="9"/>
      <c r="E69" s="9"/>
      <c r="F69" s="9"/>
      <c r="G69" s="9"/>
      <c r="H69" s="9"/>
      <c r="I69" s="9"/>
      <c r="J69" s="45"/>
      <c r="K69" s="50"/>
    </row>
    <row r="70" spans="1:11" ht="15" customHeight="1" x14ac:dyDescent="0.25">
      <c r="A70" s="18"/>
      <c r="B70" s="10"/>
      <c r="C70" s="11" t="s">
        <v>101</v>
      </c>
      <c r="D70" s="12">
        <f>SUMIFS(Costs!$AB:$AB,Costs!$A:$A,$A$63,Costs!$D:$D,"Plan")</f>
        <v>0</v>
      </c>
      <c r="E70" s="12">
        <f>SUMIFS(Costs!$AC:$AC,Costs!$A:$A,$A$63,Costs!$D:$D,"Plan")</f>
        <v>0</v>
      </c>
      <c r="F70" s="12">
        <f>SUMIFS(Costs!$AD:$AD,Costs!$A:$A,$A$63,Costs!$D:$D,"Plan")</f>
        <v>0</v>
      </c>
      <c r="G70" s="12">
        <f>SUMIFS(Costs!$AE:$AE,Costs!$A:$A,$A$63,Costs!$D:$D,"Plan")</f>
        <v>0</v>
      </c>
      <c r="H70" s="12">
        <f>SUMIFS(Costs!$AF:$AF,Costs!$A:$A,$A$63,Costs!$D:$D,"Plan")</f>
        <v>0</v>
      </c>
      <c r="I70" s="12">
        <f>H70</f>
        <v>0</v>
      </c>
      <c r="J70" s="46">
        <f>SUM(D70:I70)</f>
        <v>0</v>
      </c>
      <c r="K70" s="51">
        <v>0</v>
      </c>
    </row>
    <row r="71" spans="1:11" ht="15" customHeight="1" x14ac:dyDescent="0.25">
      <c r="A71" s="17"/>
      <c r="B71" s="7"/>
      <c r="C71" s="8" t="s">
        <v>102</v>
      </c>
      <c r="D71" s="9">
        <f>SUMIFS(Costs!$AB:$AB,Costs!$A:$A,$A$63,Costs!$D:$D,"Actual")</f>
        <v>0</v>
      </c>
      <c r="E71" s="9">
        <f>SUMIFS(Costs!$AC:$AC,Costs!$A:$A,$A$63,Costs!$D:$D,"Actual")</f>
        <v>0</v>
      </c>
      <c r="F71" s="9">
        <f>SUMIFS(Costs!$AD:$AD,Costs!$A:$A,$A$63,Costs!$D:$D,"Actual")</f>
        <v>0</v>
      </c>
      <c r="G71" s="9">
        <f>SUMIFS(Costs!$AE:$AE,Costs!$A:$A,$A$63,Costs!$D:$D,"Actual")</f>
        <v>0</v>
      </c>
      <c r="H71" s="9">
        <f>SUMIFS(Costs!$AF:$AF,Costs!$A:$A,$A$63,Costs!$D:$D,"Actual")</f>
        <v>0</v>
      </c>
      <c r="I71" s="9">
        <f>H71</f>
        <v>0</v>
      </c>
      <c r="J71" s="45">
        <f>SUM(D71:I71)</f>
        <v>0</v>
      </c>
      <c r="K71" s="50"/>
    </row>
    <row r="72" spans="1:11" ht="15" customHeight="1" x14ac:dyDescent="0.25">
      <c r="A72" s="17"/>
      <c r="B72" s="7"/>
      <c r="C72" s="8" t="s">
        <v>103</v>
      </c>
      <c r="D72" s="9"/>
      <c r="E72" s="9"/>
      <c r="F72" s="9"/>
      <c r="G72" s="9"/>
      <c r="H72" s="9"/>
      <c r="I72" s="9"/>
      <c r="J72" s="45"/>
      <c r="K72" s="50"/>
    </row>
    <row r="73" spans="1:11" ht="15" customHeight="1" x14ac:dyDescent="0.25">
      <c r="A73" s="18"/>
      <c r="B73" s="10"/>
      <c r="C73" s="11" t="s">
        <v>104</v>
      </c>
      <c r="D73" s="12">
        <f>D66-D70</f>
        <v>0</v>
      </c>
      <c r="E73" s="12">
        <f>E66-E70</f>
        <v>0.48</v>
      </c>
      <c r="F73" s="12">
        <f>F66-F70</f>
        <v>1.42</v>
      </c>
      <c r="G73" s="12">
        <f>G66-G70</f>
        <v>1.42</v>
      </c>
      <c r="H73" s="12">
        <f>H66-H70</f>
        <v>1.42</v>
      </c>
      <c r="I73" s="12">
        <f>I66-I70</f>
        <v>1.42</v>
      </c>
      <c r="J73" s="46">
        <f>J66-J70</f>
        <v>6.16</v>
      </c>
      <c r="K73" s="51">
        <f>K66-K70</f>
        <v>6.12</v>
      </c>
    </row>
    <row r="74" spans="1:11" ht="15" customHeight="1" x14ac:dyDescent="0.25">
      <c r="A74" s="18"/>
      <c r="B74" s="10"/>
      <c r="C74" s="11" t="s">
        <v>105</v>
      </c>
      <c r="D74" s="12">
        <f>D67-D70</f>
        <v>0</v>
      </c>
      <c r="E74" s="12">
        <f>E67-E70</f>
        <v>0.64</v>
      </c>
      <c r="F74" s="12">
        <f>F67-F70</f>
        <v>1.92</v>
      </c>
      <c r="G74" s="12">
        <f>G67-G70</f>
        <v>1.92</v>
      </c>
      <c r="H74" s="12">
        <f>H67-H70</f>
        <v>1.92</v>
      </c>
      <c r="I74" s="12">
        <f>I67-I70</f>
        <v>1.92</v>
      </c>
      <c r="J74" s="46">
        <f>J67-J70</f>
        <v>8.32</v>
      </c>
      <c r="K74" s="50"/>
    </row>
    <row r="75" spans="1:11" ht="15" customHeight="1" x14ac:dyDescent="0.25">
      <c r="A75" s="18"/>
      <c r="B75" s="10"/>
      <c r="C75" s="11" t="s">
        <v>106</v>
      </c>
      <c r="D75" s="12">
        <f>D68-D71</f>
        <v>0</v>
      </c>
      <c r="E75" s="12">
        <f>E68-E71</f>
        <v>0</v>
      </c>
      <c r="F75" s="12">
        <f>F68-F71</f>
        <v>0</v>
      </c>
      <c r="G75" s="12">
        <f>G68-G71</f>
        <v>0</v>
      </c>
      <c r="H75" s="12">
        <f>H68-H71</f>
        <v>0</v>
      </c>
      <c r="I75" s="12">
        <f>I68-I71</f>
        <v>0</v>
      </c>
      <c r="J75" s="46">
        <f>J68-J71</f>
        <v>0</v>
      </c>
      <c r="K75" s="50"/>
    </row>
    <row r="76" spans="1:11" ht="15" customHeight="1" x14ac:dyDescent="0.25">
      <c r="A76" s="17"/>
      <c r="B76" s="7"/>
      <c r="C76" s="8" t="s">
        <v>107</v>
      </c>
      <c r="D76" s="9">
        <f>IFERROR(D75/D71,0)</f>
        <v>0</v>
      </c>
      <c r="E76" s="9">
        <f>IFERROR(E75/E71,0)</f>
        <v>0</v>
      </c>
      <c r="F76" s="9">
        <f>IFERROR(F75/F71,0)</f>
        <v>0</v>
      </c>
      <c r="G76" s="9">
        <f>IFERROR(G75/G71,0)</f>
        <v>0</v>
      </c>
      <c r="H76" s="9">
        <f>IFERROR(H75/H71,0)</f>
        <v>0</v>
      </c>
      <c r="I76" s="9">
        <f>IFERROR(I75/I71,0)</f>
        <v>0</v>
      </c>
      <c r="J76" s="45">
        <f>IFERROR(J75/J71,0)</f>
        <v>0</v>
      </c>
      <c r="K76" s="50">
        <f>IFERROR(K75/K71,0)</f>
        <v>0</v>
      </c>
    </row>
    <row r="77" spans="1:11" ht="3.75" customHeight="1" x14ac:dyDescent="0.25">
      <c r="A77" s="19"/>
      <c r="B77" s="19"/>
      <c r="C77" s="19"/>
      <c r="D77" s="19"/>
      <c r="E77" s="19"/>
      <c r="F77" s="19"/>
      <c r="G77" s="19"/>
      <c r="H77" s="19"/>
      <c r="I77" s="19"/>
      <c r="J77" s="47"/>
      <c r="K77" s="50"/>
    </row>
    <row r="78" spans="1:11" ht="32.25" customHeight="1" x14ac:dyDescent="0.25">
      <c r="A78" s="6" t="s">
        <v>43</v>
      </c>
      <c r="B78" s="7" t="s">
        <v>44</v>
      </c>
      <c r="C78" s="8" t="s">
        <v>94</v>
      </c>
      <c r="D78" s="9">
        <f>SUMIFS(Benefits!$S:$S,Benefits!$A:$A,$A$78,Benefits!$E:$E,"Revenue",Benefits!$F:$F,"USD",Benefits!$D:$D,"Plan Base")</f>
        <v>0</v>
      </c>
      <c r="E78" s="9">
        <f>SUMIFS(Benefits!$T:$T,Benefits!$A:$A,$A$78,Benefits!$E:$E,"Revenue",Benefits!$F:$F,"USD",Benefits!$D:$D,"Plan Base")</f>
        <v>0.4</v>
      </c>
      <c r="F78" s="9">
        <f>SUMIFS(Benefits!$U:$U,Benefits!$A:$A,$A$78,Benefits!$E:$E,"Revenue",Benefits!$F:$F,"USD",Benefits!$D:$D,"Plan Base")</f>
        <v>0.4</v>
      </c>
      <c r="G78" s="9">
        <f>SUMIFS(Benefits!$V:$V,Benefits!$A:$A,$A$78,Benefits!$E:$E,"Revenue",Benefits!$F:$F,"USD",Benefits!$D:$D,"Plan Base")</f>
        <v>0.4</v>
      </c>
      <c r="H78" s="9">
        <f>SUMIFS(Benefits!$W:$W,Benefits!$A:$A,$A$78,Benefits!$E:$E,"Revenue",Benefits!$F:$F,"USD",Benefits!$D:$D,"Plan Base")</f>
        <v>0.4</v>
      </c>
      <c r="I78" s="9">
        <f>H78</f>
        <v>0.4</v>
      </c>
      <c r="J78" s="45">
        <f>SUM(D78:I78)</f>
        <v>2</v>
      </c>
      <c r="K78" s="49">
        <v>1.5449999999999999</v>
      </c>
    </row>
    <row r="79" spans="1:11" ht="15" customHeight="1" x14ac:dyDescent="0.25">
      <c r="A79" s="17"/>
      <c r="B79" s="7"/>
      <c r="C79" s="8" t="s">
        <v>95</v>
      </c>
      <c r="D79" s="9">
        <f>SUMIFS(Benefits!$S:$S,Benefits!$A:$A,$A$78,Benefits!$E:$E,"Revenue",Benefits!$F:$F,"USD",Benefits!$D:$D,"Plan High")</f>
        <v>0</v>
      </c>
      <c r="E79" s="9">
        <f>SUMIFS(Benefits!$T:$T,Benefits!$A:$A,$A$78,Benefits!$E:$E,"Revenue",Benefits!$F:$F,"USD",Benefits!$D:$D,"Plan High")</f>
        <v>0.8</v>
      </c>
      <c r="F79" s="9">
        <f>SUMIFS(Benefits!$U:$U,Benefits!$A:$A,$A$78,Benefits!$E:$E,"Revenue",Benefits!$F:$F,"USD",Benefits!$D:$D,"Plan High")</f>
        <v>0.8</v>
      </c>
      <c r="G79" s="9">
        <f>SUMIFS(Benefits!$V:$V,Benefits!$A:$A,$A$78,Benefits!$E:$E,"Revenue",Benefits!$F:$F,"USD",Benefits!$D:$D,"Plan High")</f>
        <v>0.8</v>
      </c>
      <c r="H79" s="9">
        <f>SUMIFS(Benefits!$W:$W,Benefits!$A:$A,$A$78,Benefits!$E:$E,"Revenue",Benefits!$F:$F,"USD",Benefits!$D:$D,"Plan High")</f>
        <v>0.8</v>
      </c>
      <c r="I79" s="9">
        <f>H79</f>
        <v>0.8</v>
      </c>
      <c r="J79" s="45">
        <f>SUM(D79:I79)</f>
        <v>4</v>
      </c>
      <c r="K79" s="50"/>
    </row>
    <row r="80" spans="1:11" ht="15" customHeight="1" x14ac:dyDescent="0.25">
      <c r="A80" s="17"/>
      <c r="B80" s="7"/>
      <c r="C80" s="8" t="s">
        <v>96</v>
      </c>
      <c r="D80" s="9">
        <f>SUMIFS(Benefits!$S:$S,Benefits!$A:$A,$A$78,Benefits!$E:$E,"Revenue",Benefits!$F:$F,"USD",Benefits!$D:$D,"Actual")</f>
        <v>0</v>
      </c>
      <c r="E80" s="9">
        <f>SUMIFS(Benefits!$T:$T,Benefits!$A:$A,$A$78,Benefits!$E:$E,"Revenue",Benefits!$F:$F,"USD",Benefits!$D:$D,"Actual")</f>
        <v>0</v>
      </c>
      <c r="F80" s="9">
        <f>SUMIFS(Benefits!$U:$U,Benefits!$A:$A,$A$78,Benefits!$E:$E,"Revenue",Benefits!$F:$F,"USD",Benefits!$D:$D,"Actual")</f>
        <v>0</v>
      </c>
      <c r="G80" s="9">
        <f>SUMIFS(Benefits!$V:$V,Benefits!$A:$A,$A$78,Benefits!$E:$E,"Revenue",Benefits!$F:$F,"USD",Benefits!$D:$D,"Actual")</f>
        <v>0</v>
      </c>
      <c r="H80" s="9">
        <f>SUMIFS(Benefits!$W:$W,Benefits!$A:$A,$A$78,Benefits!$E:$E,"Revenue",Benefits!$F:$F,"USD",Benefits!$D:$D,"Actual")</f>
        <v>0</v>
      </c>
      <c r="I80" s="9">
        <f>H80</f>
        <v>0</v>
      </c>
      <c r="J80" s="45">
        <f>SUM(D80:I80)</f>
        <v>0</v>
      </c>
      <c r="K80" s="50"/>
    </row>
    <row r="81" spans="1:11" ht="15" customHeight="1" x14ac:dyDescent="0.25">
      <c r="A81" s="17"/>
      <c r="B81" s="7"/>
      <c r="C81" s="8" t="s">
        <v>97</v>
      </c>
      <c r="D81" s="9">
        <f>SUMIFS(Benefits!$S:$S,Benefits!$A:$A,$A$78,Benefits!$E:$E,"Gross Margin",Benefits!$F:$F,"USD",Benefits!$D:$D,"Plan Base")</f>
        <v>0</v>
      </c>
      <c r="E81" s="9">
        <f>SUMIFS(Benefits!$T:$T,Benefits!$A:$A,$A$78,Benefits!$E:$E,"Gross Margin",Benefits!$F:$F,"USD",Benefits!$D:$D,"Plan Base")</f>
        <v>0.24</v>
      </c>
      <c r="F81" s="9">
        <f>SUMIFS(Benefits!$U:$U,Benefits!$A:$A,$A$78,Benefits!$E:$E,"Gross Margin",Benefits!$F:$F,"USD",Benefits!$D:$D,"Plan Base")</f>
        <v>0.24</v>
      </c>
      <c r="G81" s="9">
        <f>SUMIFS(Benefits!$V:$V,Benefits!$A:$A,$A$78,Benefits!$E:$E,"Gross Margin",Benefits!$F:$F,"USD",Benefits!$D:$D,"Plan Base")</f>
        <v>0.24</v>
      </c>
      <c r="H81" s="9">
        <f>SUMIFS(Benefits!$W:$W,Benefits!$A:$A,$A$78,Benefits!$E:$E,"Gross Margin",Benefits!$F:$F,"USD",Benefits!$D:$D,"Plan Base")</f>
        <v>0.24</v>
      </c>
      <c r="I81" s="9">
        <f>H81</f>
        <v>0.24</v>
      </c>
      <c r="J81" s="45">
        <f>SUM(D81:I81)</f>
        <v>1.2</v>
      </c>
      <c r="K81" s="49">
        <v>1.024</v>
      </c>
    </row>
    <row r="82" spans="1:11" ht="15" customHeight="1" x14ac:dyDescent="0.25">
      <c r="A82" s="17"/>
      <c r="B82" s="7"/>
      <c r="C82" s="8" t="s">
        <v>98</v>
      </c>
      <c r="D82" s="9">
        <f>SUMIFS(Benefits!$S:$S,Benefits!$A:$A,$A$78,Benefits!$E:$E,"Gross Margin",Benefits!$F:$F,"USD",Benefits!$D:$D,"Plan High")</f>
        <v>0</v>
      </c>
      <c r="E82" s="9">
        <f>SUMIFS(Benefits!$T:$T,Benefits!$A:$A,$A$78,Benefits!$E:$E,"Gross Margin",Benefits!$F:$F,"USD",Benefits!$D:$D,"Plan High")</f>
        <v>0.5</v>
      </c>
      <c r="F82" s="9">
        <f>SUMIFS(Benefits!$U:$U,Benefits!$A:$A,$A$78,Benefits!$E:$E,"Gross Margin",Benefits!$F:$F,"USD",Benefits!$D:$D,"Plan High")</f>
        <v>0.5</v>
      </c>
      <c r="G82" s="9">
        <f>SUMIFS(Benefits!$V:$V,Benefits!$A:$A,$A$78,Benefits!$E:$E,"Gross Margin",Benefits!$F:$F,"USD",Benefits!$D:$D,"Plan High")</f>
        <v>0.5</v>
      </c>
      <c r="H82" s="9">
        <f>SUMIFS(Benefits!$W:$W,Benefits!$A:$A,$A$78,Benefits!$E:$E,"Gross Margin",Benefits!$F:$F,"USD",Benefits!$D:$D,"Plan High")</f>
        <v>0.5</v>
      </c>
      <c r="I82" s="9">
        <f>H82</f>
        <v>0.5</v>
      </c>
      <c r="J82" s="45">
        <f>SUM(D82:I82)</f>
        <v>2.5</v>
      </c>
      <c r="K82" s="50"/>
    </row>
    <row r="83" spans="1:11" ht="15" customHeight="1" x14ac:dyDescent="0.25">
      <c r="A83" s="17"/>
      <c r="B83" s="7"/>
      <c r="C83" s="8" t="s">
        <v>99</v>
      </c>
      <c r="D83" s="9">
        <f>SUMIFS(Benefits!$S:$S,Benefits!$A:$A,$A$78,Benefits!$E:$E,"Gross Margin",Benefits!$F:$F,"USD",Benefits!$D:$D,"Actual")</f>
        <v>0</v>
      </c>
      <c r="E83" s="9">
        <f>SUMIFS(Benefits!$T:$T,Benefits!$A:$A,$A$78,Benefits!$E:$E,"Gross Margin",Benefits!$F:$F,"USD",Benefits!$D:$D,"Actual")</f>
        <v>0</v>
      </c>
      <c r="F83" s="9">
        <f>SUMIFS(Benefits!$U:$U,Benefits!$A:$A,$A$78,Benefits!$E:$E,"Gross Margin",Benefits!$F:$F,"USD",Benefits!$D:$D,"Actual")</f>
        <v>0</v>
      </c>
      <c r="G83" s="9">
        <f>SUMIFS(Benefits!$V:$V,Benefits!$A:$A,$A$78,Benefits!$E:$E,"Gross Margin",Benefits!$F:$F,"USD",Benefits!$D:$D,"Actual")</f>
        <v>0</v>
      </c>
      <c r="H83" s="9">
        <f>SUMIFS(Benefits!$W:$W,Benefits!$A:$A,$A$78,Benefits!$E:$E,"Gross Margin",Benefits!$F:$F,"USD",Benefits!$D:$D,"Actual")</f>
        <v>0</v>
      </c>
      <c r="I83" s="9">
        <f>H83</f>
        <v>0</v>
      </c>
      <c r="J83" s="45">
        <f>SUM(D83:I83)</f>
        <v>0</v>
      </c>
      <c r="K83" s="50"/>
    </row>
    <row r="84" spans="1:11" ht="15" customHeight="1" x14ac:dyDescent="0.25">
      <c r="A84" s="17"/>
      <c r="B84" s="7"/>
      <c r="C84" s="8" t="s">
        <v>100</v>
      </c>
      <c r="D84" s="9"/>
      <c r="E84" s="9"/>
      <c r="F84" s="9"/>
      <c r="G84" s="9"/>
      <c r="H84" s="9"/>
      <c r="I84" s="9"/>
      <c r="J84" s="45"/>
      <c r="K84" s="50"/>
    </row>
    <row r="85" spans="1:11" ht="15" customHeight="1" x14ac:dyDescent="0.25">
      <c r="A85" s="18"/>
      <c r="B85" s="10"/>
      <c r="C85" s="11" t="s">
        <v>101</v>
      </c>
      <c r="D85" s="12">
        <f>SUMIFS(Costs!$AB:$AB,Costs!$A:$A,$A$78,Costs!$D:$D,"Plan")</f>
        <v>0</v>
      </c>
      <c r="E85" s="12">
        <f>SUMIFS(Costs!$AC:$AC,Costs!$A:$A,$A$78,Costs!$D:$D,"Plan")</f>
        <v>0</v>
      </c>
      <c r="F85" s="12">
        <f>SUMIFS(Costs!$AD:$AD,Costs!$A:$A,$A$78,Costs!$D:$D,"Plan")</f>
        <v>0</v>
      </c>
      <c r="G85" s="12">
        <f>SUMIFS(Costs!$AE:$AE,Costs!$A:$A,$A$78,Costs!$D:$D,"Plan")</f>
        <v>0</v>
      </c>
      <c r="H85" s="12">
        <f>SUMIFS(Costs!$AF:$AF,Costs!$A:$A,$A$78,Costs!$D:$D,"Plan")</f>
        <v>0</v>
      </c>
      <c r="I85" s="12">
        <f>H85</f>
        <v>0</v>
      </c>
      <c r="J85" s="46">
        <f>SUM(D85:I85)</f>
        <v>0</v>
      </c>
      <c r="K85" s="51">
        <v>0</v>
      </c>
    </row>
    <row r="86" spans="1:11" ht="15" customHeight="1" x14ac:dyDescent="0.25">
      <c r="A86" s="17"/>
      <c r="B86" s="7"/>
      <c r="C86" s="8" t="s">
        <v>102</v>
      </c>
      <c r="D86" s="9">
        <f>SUMIFS(Costs!$AB:$AB,Costs!$A:$A,$A$78,Costs!$D:$D,"Actual")</f>
        <v>0</v>
      </c>
      <c r="E86" s="9">
        <f>SUMIFS(Costs!$AC:$AC,Costs!$A:$A,$A$78,Costs!$D:$D,"Actual")</f>
        <v>0</v>
      </c>
      <c r="F86" s="9">
        <f>SUMIFS(Costs!$AD:$AD,Costs!$A:$A,$A$78,Costs!$D:$D,"Actual")</f>
        <v>0</v>
      </c>
      <c r="G86" s="9">
        <f>SUMIFS(Costs!$AE:$AE,Costs!$A:$A,$A$78,Costs!$D:$D,"Actual")</f>
        <v>0</v>
      </c>
      <c r="H86" s="9">
        <f>SUMIFS(Costs!$AF:$AF,Costs!$A:$A,$A$78,Costs!$D:$D,"Actual")</f>
        <v>0</v>
      </c>
      <c r="I86" s="9">
        <f>H86</f>
        <v>0</v>
      </c>
      <c r="J86" s="45">
        <f>SUM(D86:I86)</f>
        <v>0</v>
      </c>
      <c r="K86" s="50"/>
    </row>
    <row r="87" spans="1:11" ht="15" customHeight="1" x14ac:dyDescent="0.25">
      <c r="A87" s="17"/>
      <c r="B87" s="7"/>
      <c r="C87" s="8" t="s">
        <v>103</v>
      </c>
      <c r="D87" s="9"/>
      <c r="E87" s="9"/>
      <c r="F87" s="9"/>
      <c r="G87" s="9"/>
      <c r="H87" s="9"/>
      <c r="I87" s="9"/>
      <c r="J87" s="45"/>
      <c r="K87" s="50"/>
    </row>
    <row r="88" spans="1:11" ht="15" customHeight="1" x14ac:dyDescent="0.25">
      <c r="A88" s="18"/>
      <c r="B88" s="10"/>
      <c r="C88" s="11" t="s">
        <v>104</v>
      </c>
      <c r="D88" s="12">
        <f>D81-D85</f>
        <v>0</v>
      </c>
      <c r="E88" s="12">
        <f>E81-E85</f>
        <v>0.24</v>
      </c>
      <c r="F88" s="12">
        <f>F81-F85</f>
        <v>0.24</v>
      </c>
      <c r="G88" s="12">
        <f>G81-G85</f>
        <v>0.24</v>
      </c>
      <c r="H88" s="12">
        <f>H81-H85</f>
        <v>0.24</v>
      </c>
      <c r="I88" s="12">
        <f>I81-I85</f>
        <v>0.24</v>
      </c>
      <c r="J88" s="46">
        <f>J81-J85</f>
        <v>1.2</v>
      </c>
      <c r="K88" s="51">
        <f>K81-K85</f>
        <v>1.024</v>
      </c>
    </row>
    <row r="89" spans="1:11" ht="15" customHeight="1" x14ac:dyDescent="0.25">
      <c r="A89" s="18"/>
      <c r="B89" s="10"/>
      <c r="C89" s="11" t="s">
        <v>105</v>
      </c>
      <c r="D89" s="12">
        <f>D82-D85</f>
        <v>0</v>
      </c>
      <c r="E89" s="12">
        <f>E82-E85</f>
        <v>0.5</v>
      </c>
      <c r="F89" s="12">
        <f>F82-F85</f>
        <v>0.5</v>
      </c>
      <c r="G89" s="12">
        <f>G82-G85</f>
        <v>0.5</v>
      </c>
      <c r="H89" s="12">
        <f>H82-H85</f>
        <v>0.5</v>
      </c>
      <c r="I89" s="12">
        <f>I82-I85</f>
        <v>0.5</v>
      </c>
      <c r="J89" s="46">
        <f>J82-J85</f>
        <v>2.5</v>
      </c>
      <c r="K89" s="50"/>
    </row>
    <row r="90" spans="1:11" ht="15" customHeight="1" x14ac:dyDescent="0.25">
      <c r="A90" s="18"/>
      <c r="B90" s="10"/>
      <c r="C90" s="11" t="s">
        <v>106</v>
      </c>
      <c r="D90" s="12">
        <f>D83-D86</f>
        <v>0</v>
      </c>
      <c r="E90" s="12">
        <f>E83-E86</f>
        <v>0</v>
      </c>
      <c r="F90" s="12">
        <f>F83-F86</f>
        <v>0</v>
      </c>
      <c r="G90" s="12">
        <f>G83-G86</f>
        <v>0</v>
      </c>
      <c r="H90" s="12">
        <f>H83-H86</f>
        <v>0</v>
      </c>
      <c r="I90" s="12">
        <f>I83-I86</f>
        <v>0</v>
      </c>
      <c r="J90" s="46">
        <f>J83-J86</f>
        <v>0</v>
      </c>
      <c r="K90" s="50"/>
    </row>
    <row r="91" spans="1:11" ht="15" customHeight="1" x14ac:dyDescent="0.25">
      <c r="A91" s="17"/>
      <c r="B91" s="7"/>
      <c r="C91" s="8" t="s">
        <v>107</v>
      </c>
      <c r="D91" s="9">
        <f>IFERROR(D90/D86,0)</f>
        <v>0</v>
      </c>
      <c r="E91" s="9">
        <f>IFERROR(E90/E86,0)</f>
        <v>0</v>
      </c>
      <c r="F91" s="9">
        <f>IFERROR(F90/F86,0)</f>
        <v>0</v>
      </c>
      <c r="G91" s="9">
        <f>IFERROR(G90/G86,0)</f>
        <v>0</v>
      </c>
      <c r="H91" s="9">
        <f>IFERROR(H90/H86,0)</f>
        <v>0</v>
      </c>
      <c r="I91" s="9">
        <f>IFERROR(I90/I86,0)</f>
        <v>0</v>
      </c>
      <c r="J91" s="45">
        <f>IFERROR(J90/J86,0)</f>
        <v>0</v>
      </c>
      <c r="K91" s="50">
        <f>IFERROR(K90/K86,0)</f>
        <v>0</v>
      </c>
    </row>
    <row r="92" spans="1:11" ht="3.75" customHeight="1" x14ac:dyDescent="0.25">
      <c r="A92" s="19"/>
      <c r="B92" s="19"/>
      <c r="C92" s="19"/>
      <c r="D92" s="19"/>
      <c r="E92" s="19"/>
      <c r="F92" s="19"/>
      <c r="G92" s="19"/>
      <c r="H92" s="19"/>
      <c r="I92" s="19"/>
      <c r="J92" s="47"/>
      <c r="K92" s="50"/>
    </row>
    <row r="93" spans="1:11" ht="24" x14ac:dyDescent="0.25">
      <c r="A93" s="6" t="s">
        <v>664</v>
      </c>
      <c r="B93" s="7" t="s">
        <v>663</v>
      </c>
      <c r="C93" s="8" t="s">
        <v>94</v>
      </c>
      <c r="D93" s="9">
        <f>SUMIFS(Benefits!$S:$S,Benefits!$A:$A,$A$93,Benefits!$E:$E,"Revenue",Benefits!$F:$F,"USD",Benefits!$D:$D,"Plan Base")</f>
        <v>0</v>
      </c>
      <c r="E93" s="9">
        <f>SUMIFS(Benefits!$T:$T,Benefits!$A:$A,$A$93,Benefits!$E:$E,"Revenue",Benefits!$F:$F,"USD",Benefits!$D:$D,"Plan Base")</f>
        <v>0</v>
      </c>
      <c r="F93" s="9">
        <f>SUMIFS(Benefits!$U:$U,Benefits!$A:$A,$A$93,Benefits!$E:$E,"Revenue",Benefits!$F:$F,"USD",Benefits!$D:$D,"Plan Base")</f>
        <v>0</v>
      </c>
      <c r="G93" s="9">
        <f>SUMIFS(Benefits!$V:$V,Benefits!$A:$A,$A$93,Benefits!$E:$E,"Revenue",Benefits!$F:$F,"USD",Benefits!$D:$D,"Plan Base")</f>
        <v>0</v>
      </c>
      <c r="H93" s="9">
        <f>SUMIFS(Benefits!$W:$W,Benefits!$A:$A,$A$93,Benefits!$E:$E,"Revenue",Benefits!$F:$F,"USD",Benefits!$D:$D,"Plan Base")</f>
        <v>0</v>
      </c>
      <c r="I93" s="9">
        <f>H93</f>
        <v>0</v>
      </c>
      <c r="J93" s="45">
        <f>SUM(D93:I93)</f>
        <v>0</v>
      </c>
      <c r="K93" s="49">
        <v>0</v>
      </c>
    </row>
    <row r="94" spans="1:11" x14ac:dyDescent="0.25">
      <c r="A94" s="17"/>
      <c r="B94" s="7"/>
      <c r="C94" s="8" t="s">
        <v>95</v>
      </c>
      <c r="D94" s="9">
        <f>SUMIFS(Benefits!$S:$S,Benefits!$A:$A,$A$93,Benefits!$E:$E,"Revenue",Benefits!$F:$F,"USD",Benefits!$D:$D,"Plan High")</f>
        <v>0</v>
      </c>
      <c r="E94" s="9">
        <f>SUMIFS(Benefits!$T:$T,Benefits!$A:$A,$A$93,Benefits!$E:$E,"Revenue",Benefits!$F:$F,"USD",Benefits!$D:$D,"Plan High")</f>
        <v>0</v>
      </c>
      <c r="F94" s="9">
        <f>SUMIFS(Benefits!$U:$U,Benefits!$A:$A,$A$93,Benefits!$E:$E,"Revenue",Benefits!$F:$F,"USD",Benefits!$D:$D,"Plan High")</f>
        <v>0</v>
      </c>
      <c r="G94" s="9">
        <f>SUMIFS(Benefits!$V:$V,Benefits!$A:$A,$A$93,Benefits!$E:$E,"Revenue",Benefits!$F:$F,"USD",Benefits!$D:$D,"Plan High")</f>
        <v>0</v>
      </c>
      <c r="H94" s="9">
        <f>SUMIFS(Benefits!$W:$W,Benefits!$A:$A,$A$93,Benefits!$E:$E,"Revenue",Benefits!$F:$F,"USD",Benefits!$D:$D,"Plan High")</f>
        <v>0</v>
      </c>
      <c r="I94" s="9">
        <f>H94</f>
        <v>0</v>
      </c>
      <c r="J94" s="45">
        <f>SUM(D94:I94)</f>
        <v>0</v>
      </c>
      <c r="K94" s="50">
        <v>0</v>
      </c>
    </row>
    <row r="95" spans="1:11" x14ac:dyDescent="0.25">
      <c r="A95" s="17"/>
      <c r="B95" s="7"/>
      <c r="C95" s="8" t="s">
        <v>96</v>
      </c>
      <c r="D95" s="9">
        <f>SUMIFS(Benefits!$S:$S,Benefits!$A:$A,$A$93,Benefits!$E:$E,"Revenue",Benefits!$F:$F,"USD",Benefits!$D:$D,"Actual")</f>
        <v>0</v>
      </c>
      <c r="E95" s="9">
        <f>SUMIFS(Benefits!$T:$T,Benefits!$A:$A,$A$93,Benefits!$E:$E,"Revenue",Benefits!$F:$F,"USD",Benefits!$D:$D,"Actual")</f>
        <v>0</v>
      </c>
      <c r="F95" s="9">
        <f>SUMIFS(Benefits!$U:$U,Benefits!$A:$A,$A$93,Benefits!$E:$E,"Revenue",Benefits!$F:$F,"USD",Benefits!$D:$D,"Actual")</f>
        <v>0</v>
      </c>
      <c r="G95" s="9">
        <f>SUMIFS(Benefits!$V:$V,Benefits!$A:$A,$A$93,Benefits!$E:$E,"Revenue",Benefits!$F:$F,"USD",Benefits!$D:$D,"Actual")</f>
        <v>0</v>
      </c>
      <c r="H95" s="9">
        <f>SUMIFS(Benefits!$W:$W,Benefits!$A:$A,$A$93,Benefits!$E:$E,"Revenue",Benefits!$F:$F,"USD",Benefits!$D:$D,"Actual")</f>
        <v>0</v>
      </c>
      <c r="I95" s="9">
        <f>H95</f>
        <v>0</v>
      </c>
      <c r="J95" s="45">
        <f>SUM(D95:I95)</f>
        <v>0</v>
      </c>
      <c r="K95" s="50">
        <v>0</v>
      </c>
    </row>
    <row r="96" spans="1:11" x14ac:dyDescent="0.25">
      <c r="A96" s="17"/>
      <c r="B96" s="7"/>
      <c r="C96" s="8" t="s">
        <v>97</v>
      </c>
      <c r="D96" s="9">
        <f>SUMIFS(Benefits!$S:$S,Benefits!$A:$A,$A$93,Benefits!$E:$E,"Gross Margin",Benefits!$F:$F,"USD",Benefits!$D:$D,"Plan Base")</f>
        <v>0</v>
      </c>
      <c r="E96" s="9">
        <f>SUMIFS(Benefits!$T:$T,Benefits!$A:$A,$A$93,Benefits!$E:$E,"Gross Margin",Benefits!$F:$F,"USD",Benefits!$D:$D,"Plan Base")</f>
        <v>0.46200000000000002</v>
      </c>
      <c r="F96" s="9">
        <f>SUMIFS(Benefits!$U:$U,Benefits!$A:$A,$A$93,Benefits!$E:$E,"Gross Margin",Benefits!$F:$F,"USD",Benefits!$D:$D,"Plan Base")</f>
        <v>0.68200000000000005</v>
      </c>
      <c r="G96" s="9">
        <f>SUMIFS(Benefits!$V:$V,Benefits!$A:$A,$A$93,Benefits!$E:$E,"Gross Margin",Benefits!$F:$F,"USD",Benefits!$D:$D,"Plan Base")</f>
        <v>0.68200000000000005</v>
      </c>
      <c r="H96" s="9">
        <f>SUMIFS(Benefits!$W:$W,Benefits!$A:$A,$A$93,Benefits!$E:$E,"Gross Margin",Benefits!$F:$F,"USD",Benefits!$D:$D,"Plan Base")</f>
        <v>0.68200000000000005</v>
      </c>
      <c r="I96" s="9">
        <f>H96</f>
        <v>0.68200000000000005</v>
      </c>
      <c r="J96" s="45">
        <f>SUM(D96:I96)</f>
        <v>3.19</v>
      </c>
      <c r="K96" s="49">
        <v>3.2</v>
      </c>
    </row>
    <row r="97" spans="1:11" x14ac:dyDescent="0.25">
      <c r="A97" s="17"/>
      <c r="B97" s="7"/>
      <c r="C97" s="8" t="s">
        <v>98</v>
      </c>
      <c r="D97" s="9">
        <f>SUMIFS(Benefits!$S:$S,Benefits!$A:$A,$A$93,Benefits!$E:$E,"Gross Margin",Benefits!$F:$F,"USD",Benefits!$D:$D,"Plan High")</f>
        <v>0</v>
      </c>
      <c r="E97" s="9">
        <f>SUMIFS(Benefits!$T:$T,Benefits!$A:$A,$A$93,Benefits!$E:$E,"Gross Margin",Benefits!$F:$F,"USD",Benefits!$D:$D,"Plan High")</f>
        <v>0.57199999999999995</v>
      </c>
      <c r="F97" s="9">
        <f>SUMIFS(Benefits!$U:$U,Benefits!$A:$A,$A$93,Benefits!$E:$E,"Gross Margin",Benefits!$F:$F,"USD",Benefits!$D:$D,"Plan High")</f>
        <v>0.81399999999999995</v>
      </c>
      <c r="G97" s="9">
        <f>SUMIFS(Benefits!$V:$V,Benefits!$A:$A,$A$93,Benefits!$E:$E,"Gross Margin",Benefits!$F:$F,"USD",Benefits!$D:$D,"Plan High")</f>
        <v>0.81399999999999995</v>
      </c>
      <c r="H97" s="9">
        <f>SUMIFS(Benefits!$W:$W,Benefits!$A:$A,$A$93,Benefits!$E:$E,"Gross Margin",Benefits!$F:$F,"USD",Benefits!$D:$D,"Plan High")</f>
        <v>0.81399999999999995</v>
      </c>
      <c r="I97" s="9">
        <f>H97</f>
        <v>0.81399999999999995</v>
      </c>
      <c r="J97" s="45">
        <f>SUM(D97:I97)</f>
        <v>3.8279999999999998</v>
      </c>
      <c r="K97" s="50"/>
    </row>
    <row r="98" spans="1:11" x14ac:dyDescent="0.25">
      <c r="A98" s="17"/>
      <c r="B98" s="7"/>
      <c r="C98" s="8" t="s">
        <v>99</v>
      </c>
      <c r="D98" s="9">
        <f>SUMIFS(Benefits!$S:$S,Benefits!$A:$A,$A$93,Benefits!$E:$E,"Gross Margin",Benefits!$F:$F,"USD",Benefits!$D:$D,"Actual")</f>
        <v>0</v>
      </c>
      <c r="E98" s="9">
        <f>SUMIFS(Benefits!$T:$T,Benefits!$A:$A,$A$93,Benefits!$E:$E,"Gross Margin",Benefits!$F:$F,"USD",Benefits!$D:$D,"Actual")</f>
        <v>0</v>
      </c>
      <c r="F98" s="9">
        <f>SUMIFS(Benefits!$U:$U,Benefits!$A:$A,$A$93,Benefits!$E:$E,"Gross Margin",Benefits!$F:$F,"USD",Benefits!$D:$D,"Actual")</f>
        <v>0</v>
      </c>
      <c r="G98" s="9">
        <f>SUMIFS(Benefits!$V:$V,Benefits!$A:$A,$A$93,Benefits!$E:$E,"Gross Margin",Benefits!$F:$F,"USD",Benefits!$D:$D,"Actual")</f>
        <v>0</v>
      </c>
      <c r="H98" s="9">
        <f>SUMIFS(Benefits!$W:$W,Benefits!$A:$A,$A$93,Benefits!$E:$E,"Gross Margin",Benefits!$F:$F,"USD",Benefits!$D:$D,"Actual")</f>
        <v>0</v>
      </c>
      <c r="I98" s="9">
        <f>H98</f>
        <v>0</v>
      </c>
      <c r="J98" s="45">
        <f>SUM(D98:I98)</f>
        <v>0</v>
      </c>
      <c r="K98" s="50"/>
    </row>
    <row r="99" spans="1:11" x14ac:dyDescent="0.25">
      <c r="A99" s="17"/>
      <c r="B99" s="7"/>
      <c r="C99" s="8" t="s">
        <v>100</v>
      </c>
      <c r="D99" s="9"/>
      <c r="E99" s="9"/>
      <c r="F99" s="9"/>
      <c r="G99" s="9"/>
      <c r="H99" s="9"/>
      <c r="I99" s="9"/>
      <c r="J99" s="45"/>
      <c r="K99" s="50"/>
    </row>
    <row r="100" spans="1:11" x14ac:dyDescent="0.25">
      <c r="A100" s="18"/>
      <c r="B100" s="10"/>
      <c r="C100" s="11" t="s">
        <v>101</v>
      </c>
      <c r="D100" s="12">
        <f>SUMIFS(Costs!$AB:$AB,Costs!$A:$A,$A$93,Costs!$D:$D,"Plan")</f>
        <v>0</v>
      </c>
      <c r="E100" s="12">
        <f>SUMIFS(Costs!$AC:$AC,Costs!$A:$A,$A$93,Costs!$D:$D,"Plan")</f>
        <v>6.6000000000000003E-2</v>
      </c>
      <c r="F100" s="12">
        <f>SUMIFS(Costs!$AD:$AD,Costs!$A:$A,$A$93,Costs!$D:$D,"Plan")</f>
        <v>6.6000000000000003E-2</v>
      </c>
      <c r="G100" s="12">
        <f>SUMIFS(Costs!$AE:$AE,Costs!$A:$A,$A$93,Costs!$D:$D,"Plan")</f>
        <v>6.6000000000000003E-2</v>
      </c>
      <c r="H100" s="12">
        <f>SUMIFS(Costs!$AF:$AF,Costs!$A:$A,$A$93,Costs!$D:$D,"Plan")</f>
        <v>6.6000000000000003E-2</v>
      </c>
      <c r="I100" s="12">
        <f>H100</f>
        <v>6.6000000000000003E-2</v>
      </c>
      <c r="J100" s="46">
        <f>SUM(D100:I100)</f>
        <v>0.33</v>
      </c>
      <c r="K100" s="51">
        <v>0.26100000000000001</v>
      </c>
    </row>
    <row r="101" spans="1:11" x14ac:dyDescent="0.25">
      <c r="A101" s="17"/>
      <c r="B101" s="7"/>
      <c r="C101" s="8" t="s">
        <v>102</v>
      </c>
      <c r="D101" s="9">
        <f>SUMIFS(Costs!$AB:$AB,Costs!$A:$A,$A$93,Costs!$D:$D,"Actual")</f>
        <v>0</v>
      </c>
      <c r="E101" s="9">
        <f>SUMIFS(Costs!$AC:$AC,Costs!$A:$A,$A$93,Costs!$D:$D,"Actual")</f>
        <v>0</v>
      </c>
      <c r="F101" s="9">
        <f>SUMIFS(Costs!$AD:$AD,Costs!$A:$A,$A$93,Costs!$D:$D,"Actual")</f>
        <v>0</v>
      </c>
      <c r="G101" s="9">
        <f>SUMIFS(Costs!$AE:$AE,Costs!$A:$A,$A$93,Costs!$D:$D,"Actual")</f>
        <v>0</v>
      </c>
      <c r="H101" s="9">
        <f>SUMIFS(Costs!$AF:$AF,Costs!$A:$A,$A$93,Costs!$D:$D,"Actual")</f>
        <v>0</v>
      </c>
      <c r="I101" s="9">
        <f>H101</f>
        <v>0</v>
      </c>
      <c r="J101" s="45">
        <f>SUM(D101:I101)</f>
        <v>0</v>
      </c>
      <c r="K101" s="50"/>
    </row>
    <row r="102" spans="1:11" x14ac:dyDescent="0.25">
      <c r="A102" s="17"/>
      <c r="B102" s="7"/>
      <c r="C102" s="8" t="s">
        <v>103</v>
      </c>
      <c r="D102" s="9"/>
      <c r="E102" s="9"/>
      <c r="F102" s="9"/>
      <c r="G102" s="9"/>
      <c r="H102" s="9"/>
      <c r="I102" s="9"/>
      <c r="J102" s="45"/>
      <c r="K102" s="50"/>
    </row>
    <row r="103" spans="1:11" x14ac:dyDescent="0.25">
      <c r="A103" s="18"/>
      <c r="B103" s="10"/>
      <c r="C103" s="11" t="s">
        <v>104</v>
      </c>
      <c r="D103" s="12">
        <f>D96-D100</f>
        <v>0</v>
      </c>
      <c r="E103" s="12">
        <f>E96-E100</f>
        <v>0.39600000000000002</v>
      </c>
      <c r="F103" s="12">
        <f>F96-F100</f>
        <v>0.6160000000000001</v>
      </c>
      <c r="G103" s="12">
        <f>G96-G100</f>
        <v>0.6160000000000001</v>
      </c>
      <c r="H103" s="12">
        <f>H96-H100</f>
        <v>0.6160000000000001</v>
      </c>
      <c r="I103" s="12">
        <f>I96-I100</f>
        <v>0.6160000000000001</v>
      </c>
      <c r="J103" s="46">
        <f>J96-J100</f>
        <v>2.86</v>
      </c>
      <c r="K103" s="51">
        <f>K96-K100</f>
        <v>2.9390000000000001</v>
      </c>
    </row>
    <row r="104" spans="1:11" x14ac:dyDescent="0.25">
      <c r="A104" s="18"/>
      <c r="B104" s="10"/>
      <c r="C104" s="11" t="s">
        <v>105</v>
      </c>
      <c r="D104" s="12">
        <f>D97-D100</f>
        <v>0</v>
      </c>
      <c r="E104" s="12">
        <f>E97-E100</f>
        <v>0.50600000000000001</v>
      </c>
      <c r="F104" s="12">
        <f>F97-F100</f>
        <v>0.748</v>
      </c>
      <c r="G104" s="12">
        <f>G97-G100</f>
        <v>0.748</v>
      </c>
      <c r="H104" s="12">
        <f>H97-H100</f>
        <v>0.748</v>
      </c>
      <c r="I104" s="12">
        <f>I97-I100</f>
        <v>0.748</v>
      </c>
      <c r="J104" s="46">
        <f>J97-J100</f>
        <v>3.4979999999999998</v>
      </c>
      <c r="K104" s="50"/>
    </row>
    <row r="105" spans="1:11" x14ac:dyDescent="0.25">
      <c r="A105" s="18"/>
      <c r="B105" s="10"/>
      <c r="C105" s="11" t="s">
        <v>106</v>
      </c>
      <c r="D105" s="12">
        <f>D98-D101</f>
        <v>0</v>
      </c>
      <c r="E105" s="12">
        <f>E98-E101</f>
        <v>0</v>
      </c>
      <c r="F105" s="12">
        <f>F98-F101</f>
        <v>0</v>
      </c>
      <c r="G105" s="12">
        <f>G98-G101</f>
        <v>0</v>
      </c>
      <c r="H105" s="12">
        <f>H98-H101</f>
        <v>0</v>
      </c>
      <c r="I105" s="12">
        <f>I98-I101</f>
        <v>0</v>
      </c>
      <c r="J105" s="46">
        <f>J98-J101</f>
        <v>0</v>
      </c>
      <c r="K105" s="50"/>
    </row>
    <row r="106" spans="1:11" x14ac:dyDescent="0.25">
      <c r="A106" s="17"/>
      <c r="B106" s="7"/>
      <c r="C106" s="8" t="s">
        <v>107</v>
      </c>
      <c r="D106" s="9">
        <f>IFERROR(D105/D101,0)</f>
        <v>0</v>
      </c>
      <c r="E106" s="9">
        <f>IFERROR(E105/E101,0)</f>
        <v>0</v>
      </c>
      <c r="F106" s="9">
        <f>IFERROR(F105/F101,0)</f>
        <v>0</v>
      </c>
      <c r="G106" s="9">
        <f>IFERROR(G105/G101,0)</f>
        <v>0</v>
      </c>
      <c r="H106" s="9">
        <f>IFERROR(H105/H101,0)</f>
        <v>0</v>
      </c>
      <c r="I106" s="9">
        <f>IFERROR(I105/I101,0)</f>
        <v>0</v>
      </c>
      <c r="J106" s="45">
        <f>IFERROR(J105/J101,0)</f>
        <v>0</v>
      </c>
      <c r="K106" s="50">
        <f>IFERROR(K105/K101,0)</f>
        <v>0</v>
      </c>
    </row>
    <row r="107" spans="1:11" x14ac:dyDescent="0.25">
      <c r="A107" s="19"/>
      <c r="B107" s="19"/>
      <c r="C107" s="19"/>
      <c r="D107" s="19"/>
      <c r="E107" s="19"/>
      <c r="F107" s="19"/>
      <c r="G107" s="19"/>
      <c r="H107" s="19"/>
      <c r="I107" s="19"/>
      <c r="J107" s="47"/>
      <c r="K107" s="50"/>
    </row>
    <row r="108" spans="1:11" ht="24" x14ac:dyDescent="0.25">
      <c r="A108" s="6" t="s">
        <v>668</v>
      </c>
      <c r="B108" s="7" t="s">
        <v>667</v>
      </c>
      <c r="C108" s="8" t="s">
        <v>94</v>
      </c>
      <c r="D108" s="9">
        <f>SUMIFS(Benefits!$S:$S,Benefits!$A:$A,$A$108,Benefits!$E:$E,"Revenue",Benefits!$F:$F,"USD",Benefits!$D:$D,"Plan Base")</f>
        <v>0</v>
      </c>
      <c r="E108" s="9">
        <f>SUMIFS(Benefits!$T:$T,Benefits!$A:$A,$A$108,Benefits!$E:$E,"Revenue",Benefits!$F:$F,"USD",Benefits!$D:$D,"Plan Base")</f>
        <v>0</v>
      </c>
      <c r="F108" s="9">
        <f>SUMIFS(Benefits!$U:$U,Benefits!$A:$A,$A$108,Benefits!$E:$E,"Revenue",Benefits!$F:$F,"USD",Benefits!$D:$D,"Plan Base")</f>
        <v>0</v>
      </c>
      <c r="G108" s="9">
        <f>SUMIFS(Benefits!$V:$V,Benefits!$A:$A,$A$108,Benefits!$E:$E,"Revenue",Benefits!$F:$F,"USD",Benefits!$D:$D,"Plan Base")</f>
        <v>0</v>
      </c>
      <c r="H108" s="9">
        <f>SUMIFS(Benefits!$W:$W,Benefits!$A:$A,$A$108,Benefits!$E:$E,"Revenue",Benefits!$F:$F,"USD",Benefits!$D:$D,"Plan Base")</f>
        <v>0</v>
      </c>
      <c r="I108" s="9">
        <f>H108</f>
        <v>0</v>
      </c>
      <c r="J108" s="45">
        <f>SUM(D108:I108)</f>
        <v>0</v>
      </c>
      <c r="K108" s="49">
        <v>0</v>
      </c>
    </row>
    <row r="109" spans="1:11" x14ac:dyDescent="0.25">
      <c r="A109" s="17"/>
      <c r="B109" s="7"/>
      <c r="C109" s="8" t="s">
        <v>95</v>
      </c>
      <c r="D109" s="9">
        <f>SUMIFS(Benefits!$S:$S,Benefits!$A:$A,$A$108,Benefits!$E:$E,"Revenue",Benefits!$F:$F,"USD",Benefits!$D:$D,"Plan High")</f>
        <v>0</v>
      </c>
      <c r="E109" s="9">
        <f>SUMIFS(Benefits!$T:$T,Benefits!$A:$A,$A$108,Benefits!$E:$E,"Revenue",Benefits!$F:$F,"USD",Benefits!$D:$D,"Plan High")</f>
        <v>0</v>
      </c>
      <c r="F109" s="9">
        <f>SUMIFS(Benefits!$U:$U,Benefits!$A:$A,$A$108,Benefits!$E:$E,"Revenue",Benefits!$F:$F,"USD",Benefits!$D:$D,"Plan High")</f>
        <v>0</v>
      </c>
      <c r="G109" s="9">
        <f>SUMIFS(Benefits!$V:$V,Benefits!$A:$A,$A$108,Benefits!$E:$E,"Revenue",Benefits!$F:$F,"USD",Benefits!$D:$D,"Plan High")</f>
        <v>0</v>
      </c>
      <c r="H109" s="9">
        <f>SUMIFS(Benefits!$W:$W,Benefits!$A:$A,$A$108,Benefits!$E:$E,"Revenue",Benefits!$F:$F,"USD",Benefits!$D:$D,"Plan High")</f>
        <v>0</v>
      </c>
      <c r="I109" s="9">
        <f>H109</f>
        <v>0</v>
      </c>
      <c r="J109" s="45">
        <f>SUM(D109:I109)</f>
        <v>0</v>
      </c>
      <c r="K109" s="50">
        <v>0</v>
      </c>
    </row>
    <row r="110" spans="1:11" x14ac:dyDescent="0.25">
      <c r="A110" s="17"/>
      <c r="B110" s="7"/>
      <c r="C110" s="8" t="s">
        <v>96</v>
      </c>
      <c r="D110" s="9">
        <f>SUMIFS(Benefits!$S:$S,Benefits!$A:$A,$A$108,Benefits!$E:$E,"Revenue",Benefits!$F:$F,"USD",Benefits!$D:$D,"Actual")</f>
        <v>0</v>
      </c>
      <c r="E110" s="9">
        <f>SUMIFS(Benefits!$T:$T,Benefits!$A:$A,$A$108,Benefits!$E:$E,"Revenue",Benefits!$F:$F,"USD",Benefits!$D:$D,"Actual")</f>
        <v>0</v>
      </c>
      <c r="F110" s="9">
        <f>SUMIFS(Benefits!$U:$U,Benefits!$A:$A,$A$108,Benefits!$E:$E,"Revenue",Benefits!$F:$F,"USD",Benefits!$D:$D,"Actual")</f>
        <v>0</v>
      </c>
      <c r="G110" s="9">
        <f>SUMIFS(Benefits!$V:$V,Benefits!$A:$A,$A$108,Benefits!$E:$E,"Revenue",Benefits!$F:$F,"USD",Benefits!$D:$D,"Actual")</f>
        <v>0</v>
      </c>
      <c r="H110" s="9">
        <f>SUMIFS(Benefits!$W:$W,Benefits!$A:$A,$A$108,Benefits!$E:$E,"Revenue",Benefits!$F:$F,"USD",Benefits!$D:$D,"Actual")</f>
        <v>0</v>
      </c>
      <c r="I110" s="9">
        <f>H110</f>
        <v>0</v>
      </c>
      <c r="J110" s="45">
        <f>SUM(D110:I110)</f>
        <v>0</v>
      </c>
      <c r="K110" s="50">
        <v>0</v>
      </c>
    </row>
    <row r="111" spans="1:11" x14ac:dyDescent="0.25">
      <c r="A111" s="17"/>
      <c r="B111" s="7"/>
      <c r="C111" s="8" t="s">
        <v>97</v>
      </c>
      <c r="D111" s="9">
        <f>SUMIFS(Benefits!$S:$S,Benefits!$A:$A,$A$108,Benefits!$E:$E,"Gross Margin",Benefits!$F:$F,"USD",Benefits!$D:$D,"Plan Base")</f>
        <v>1.1160000000000001</v>
      </c>
      <c r="E111" s="9">
        <f>SUMIFS(Benefits!$T:$T,Benefits!$A:$A,$A$108,Benefits!$E:$E,"Gross Margin",Benefits!$F:$F,"USD",Benefits!$D:$D,"Plan Base")</f>
        <v>1.6739999999999999</v>
      </c>
      <c r="F111" s="9">
        <f>SUMIFS(Benefits!$U:$U,Benefits!$A:$A,$A$108,Benefits!$E:$E,"Gross Margin",Benefits!$F:$F,"USD",Benefits!$D:$D,"Plan Base")</f>
        <v>1.6739999999999999</v>
      </c>
      <c r="G111" s="9">
        <f>SUMIFS(Benefits!$V:$V,Benefits!$A:$A,$A$108,Benefits!$E:$E,"Gross Margin",Benefits!$F:$F,"USD",Benefits!$D:$D,"Plan Base")</f>
        <v>1.6739999999999999</v>
      </c>
      <c r="H111" s="9">
        <f>SUMIFS(Benefits!$W:$W,Benefits!$A:$A,$A$108,Benefits!$E:$E,"Gross Margin",Benefits!$F:$F,"USD",Benefits!$D:$D,"Plan Base")</f>
        <v>1.6739999999999999</v>
      </c>
      <c r="I111" s="9">
        <f>H111</f>
        <v>1.6739999999999999</v>
      </c>
      <c r="J111" s="45">
        <f>SUM(D111:I111)</f>
        <v>9.4859999999999989</v>
      </c>
      <c r="K111" s="49">
        <v>7.3390000000000004</v>
      </c>
    </row>
    <row r="112" spans="1:11" x14ac:dyDescent="0.25">
      <c r="A112" s="17"/>
      <c r="B112" s="7"/>
      <c r="C112" s="8" t="s">
        <v>98</v>
      </c>
      <c r="D112" s="9">
        <f>SUMIFS(Benefits!$S:$S,Benefits!$A:$A,$A$108,Benefits!$E:$E,"Gross Margin",Benefits!$F:$F,"USD",Benefits!$D:$D,"Plan High")</f>
        <v>1.494</v>
      </c>
      <c r="E112" s="9">
        <f>SUMIFS(Benefits!$T:$T,Benefits!$A:$A,$A$108,Benefits!$E:$E,"Gross Margin",Benefits!$F:$F,"USD",Benefits!$D:$D,"Plan High")</f>
        <v>2.2320000000000002</v>
      </c>
      <c r="F112" s="9">
        <f>SUMIFS(Benefits!$U:$U,Benefits!$A:$A,$A$108,Benefits!$E:$E,"Gross Margin",Benefits!$F:$F,"USD",Benefits!$D:$D,"Plan High")</f>
        <v>2.2320000000000002</v>
      </c>
      <c r="G112" s="9">
        <f>SUMIFS(Benefits!$V:$V,Benefits!$A:$A,$A$108,Benefits!$E:$E,"Gross Margin",Benefits!$F:$F,"USD",Benefits!$D:$D,"Plan High")</f>
        <v>2.2320000000000002</v>
      </c>
      <c r="H112" s="9">
        <f>SUMIFS(Benefits!$W:$W,Benefits!$A:$A,$A$108,Benefits!$E:$E,"Gross Margin",Benefits!$F:$F,"USD",Benefits!$D:$D,"Plan High")</f>
        <v>2.2320000000000002</v>
      </c>
      <c r="I112" s="9">
        <f>H112</f>
        <v>2.2320000000000002</v>
      </c>
      <c r="J112" s="45">
        <f>SUM(D112:I112)</f>
        <v>12.654</v>
      </c>
      <c r="K112" s="50"/>
    </row>
    <row r="113" spans="1:11" x14ac:dyDescent="0.25">
      <c r="A113" s="17"/>
      <c r="B113" s="7"/>
      <c r="C113" s="8" t="s">
        <v>99</v>
      </c>
      <c r="D113" s="9">
        <f>SUMIFS(Benefits!$S:$S,Benefits!$A:$A,$A$108,Benefits!$E:$E,"Gross Margin",Benefits!$F:$F,"USD",Benefits!$D:$D,"Actual")</f>
        <v>0</v>
      </c>
      <c r="E113" s="9">
        <f>SUMIFS(Benefits!$T:$T,Benefits!$A:$A,$A$108,Benefits!$E:$E,"Gross Margin",Benefits!$F:$F,"USD",Benefits!$D:$D,"Actual")</f>
        <v>0</v>
      </c>
      <c r="F113" s="9">
        <f>SUMIFS(Benefits!$U:$U,Benefits!$A:$A,$A$108,Benefits!$E:$E,"Gross Margin",Benefits!$F:$F,"USD",Benefits!$D:$D,"Actual")</f>
        <v>0</v>
      </c>
      <c r="G113" s="9">
        <f>SUMIFS(Benefits!$V:$V,Benefits!$A:$A,$A$108,Benefits!$E:$E,"Gross Margin",Benefits!$F:$F,"USD",Benefits!$D:$D,"Actual")</f>
        <v>0</v>
      </c>
      <c r="H113" s="9">
        <f>SUMIFS(Benefits!$W:$W,Benefits!$A:$A,$A$108,Benefits!$E:$E,"Gross Margin",Benefits!$F:$F,"USD",Benefits!$D:$D,"Actual")</f>
        <v>0</v>
      </c>
      <c r="I113" s="9">
        <f>H113</f>
        <v>0</v>
      </c>
      <c r="J113" s="45">
        <f>SUM(D113:I113)</f>
        <v>0</v>
      </c>
      <c r="K113" s="50"/>
    </row>
    <row r="114" spans="1:11" x14ac:dyDescent="0.25">
      <c r="A114" s="17"/>
      <c r="B114" s="7"/>
      <c r="C114" s="8" t="s">
        <v>100</v>
      </c>
      <c r="D114" s="9"/>
      <c r="E114" s="9"/>
      <c r="F114" s="9"/>
      <c r="G114" s="9"/>
      <c r="H114" s="9"/>
      <c r="I114" s="9"/>
      <c r="J114" s="45"/>
      <c r="K114" s="50"/>
    </row>
    <row r="115" spans="1:11" x14ac:dyDescent="0.25">
      <c r="A115" s="18"/>
      <c r="B115" s="10"/>
      <c r="C115" s="11" t="s">
        <v>101</v>
      </c>
      <c r="D115" s="12">
        <f>SUMIFS(Costs!$AB:$AB,Costs!$A:$A,$A$108,Costs!$D:$D,"Plan")</f>
        <v>0.09</v>
      </c>
      <c r="E115" s="12">
        <f>SUMIFS(Costs!$AC:$AC,Costs!$A:$A,$A$108,Costs!$D:$D,"Plan")</f>
        <v>0.09</v>
      </c>
      <c r="F115" s="12">
        <f>SUMIFS(Costs!$AD:$AD,Costs!$A:$A,$A$108,Costs!$D:$D,"Plan")</f>
        <v>0.09</v>
      </c>
      <c r="G115" s="12">
        <f>SUMIFS(Costs!$AE:$AE,Costs!$A:$A,$A$108,Costs!$D:$D,"Plan")</f>
        <v>0.09</v>
      </c>
      <c r="H115" s="12">
        <f>SUMIFS(Costs!$AF:$AF,Costs!$A:$A,$A$108,Costs!$D:$D,"Plan")</f>
        <v>0.09</v>
      </c>
      <c r="I115" s="12">
        <f>H115</f>
        <v>0.09</v>
      </c>
      <c r="J115" s="46">
        <f>SUM(D115:I115)</f>
        <v>0.53999999999999992</v>
      </c>
      <c r="K115" s="51">
        <v>0.32200000000000001</v>
      </c>
    </row>
    <row r="116" spans="1:11" x14ac:dyDescent="0.25">
      <c r="A116" s="17"/>
      <c r="B116" s="7"/>
      <c r="C116" s="8" t="s">
        <v>102</v>
      </c>
      <c r="D116" s="9">
        <f>SUMIFS(Costs!$AB:$AB,Costs!$A:$A,$A$108,Costs!$D:$D,"Actual")</f>
        <v>0</v>
      </c>
      <c r="E116" s="9">
        <f>SUMIFS(Costs!$AC:$AC,Costs!$A:$A,$A$108,Costs!$D:$D,"Actual")</f>
        <v>0</v>
      </c>
      <c r="F116" s="9">
        <f>SUMIFS(Costs!$AD:$AD,Costs!$A:$A,$A$108,Costs!$D:$D,"Actual")</f>
        <v>0</v>
      </c>
      <c r="G116" s="9">
        <f>SUMIFS(Costs!$AE:$AE,Costs!$A:$A,$A$108,Costs!$D:$D,"Actual")</f>
        <v>0</v>
      </c>
      <c r="H116" s="9">
        <f>SUMIFS(Costs!$AF:$AF,Costs!$A:$A,$A$108,Costs!$D:$D,"Actual")</f>
        <v>0</v>
      </c>
      <c r="I116" s="9">
        <f>H116</f>
        <v>0</v>
      </c>
      <c r="J116" s="45">
        <f>SUM(D116:I116)</f>
        <v>0</v>
      </c>
      <c r="K116" s="50"/>
    </row>
    <row r="117" spans="1:11" x14ac:dyDescent="0.25">
      <c r="A117" s="17"/>
      <c r="B117" s="7"/>
      <c r="C117" s="8" t="s">
        <v>103</v>
      </c>
      <c r="D117" s="9"/>
      <c r="E117" s="9"/>
      <c r="F117" s="9"/>
      <c r="G117" s="9"/>
      <c r="H117" s="9"/>
      <c r="I117" s="9"/>
      <c r="J117" s="45"/>
      <c r="K117" s="50"/>
    </row>
    <row r="118" spans="1:11" x14ac:dyDescent="0.25">
      <c r="A118" s="18"/>
      <c r="B118" s="10"/>
      <c r="C118" s="11" t="s">
        <v>104</v>
      </c>
      <c r="D118" s="12">
        <f>D111-D115</f>
        <v>1.026</v>
      </c>
      <c r="E118" s="12">
        <f>E111-E115</f>
        <v>1.5839999999999999</v>
      </c>
      <c r="F118" s="12">
        <f>F111-F115</f>
        <v>1.5839999999999999</v>
      </c>
      <c r="G118" s="12">
        <f>G111-G115</f>
        <v>1.5839999999999999</v>
      </c>
      <c r="H118" s="12">
        <f>H111-H115</f>
        <v>1.5839999999999999</v>
      </c>
      <c r="I118" s="12">
        <f>I111-I115</f>
        <v>1.5839999999999999</v>
      </c>
      <c r="J118" s="46">
        <f>J111-J115</f>
        <v>8.9459999999999997</v>
      </c>
      <c r="K118" s="51">
        <f>K111-K115</f>
        <v>7.0170000000000003</v>
      </c>
    </row>
    <row r="119" spans="1:11" x14ac:dyDescent="0.25">
      <c r="A119" s="18"/>
      <c r="B119" s="10"/>
      <c r="C119" s="11" t="s">
        <v>105</v>
      </c>
      <c r="D119" s="12">
        <f>D112-D115</f>
        <v>1.4039999999999999</v>
      </c>
      <c r="E119" s="12">
        <f>E112-E115</f>
        <v>2.1420000000000003</v>
      </c>
      <c r="F119" s="12">
        <f>F112-F115</f>
        <v>2.1420000000000003</v>
      </c>
      <c r="G119" s="12">
        <f>G112-G115</f>
        <v>2.1420000000000003</v>
      </c>
      <c r="H119" s="12">
        <f>H112-H115</f>
        <v>2.1420000000000003</v>
      </c>
      <c r="I119" s="12">
        <f>I112-I115</f>
        <v>2.1420000000000003</v>
      </c>
      <c r="J119" s="46">
        <f>J112-J115</f>
        <v>12.114000000000001</v>
      </c>
      <c r="K119" s="50"/>
    </row>
    <row r="120" spans="1:11" x14ac:dyDescent="0.25">
      <c r="A120" s="18"/>
      <c r="B120" s="10"/>
      <c r="C120" s="11" t="s">
        <v>106</v>
      </c>
      <c r="D120" s="12">
        <f>D113-D116</f>
        <v>0</v>
      </c>
      <c r="E120" s="12">
        <f>E113-E116</f>
        <v>0</v>
      </c>
      <c r="F120" s="12">
        <f>F113-F116</f>
        <v>0</v>
      </c>
      <c r="G120" s="12">
        <f>G113-G116</f>
        <v>0</v>
      </c>
      <c r="H120" s="12">
        <f>H113-H116</f>
        <v>0</v>
      </c>
      <c r="I120" s="12">
        <f>I113-I116</f>
        <v>0</v>
      </c>
      <c r="J120" s="46">
        <f>J113-J116</f>
        <v>0</v>
      </c>
      <c r="K120" s="50"/>
    </row>
    <row r="121" spans="1:11" x14ac:dyDescent="0.25">
      <c r="A121" s="17"/>
      <c r="B121" s="7"/>
      <c r="C121" s="8" t="s">
        <v>107</v>
      </c>
      <c r="D121" s="9">
        <f>IFERROR(D120/D116,0)</f>
        <v>0</v>
      </c>
      <c r="E121" s="9">
        <f>IFERROR(E120/E116,0)</f>
        <v>0</v>
      </c>
      <c r="F121" s="9">
        <f>IFERROR(F120/F116,0)</f>
        <v>0</v>
      </c>
      <c r="G121" s="9">
        <f>IFERROR(G120/G116,0)</f>
        <v>0</v>
      </c>
      <c r="H121" s="9">
        <f>IFERROR(H120/H116,0)</f>
        <v>0</v>
      </c>
      <c r="I121" s="9">
        <f>IFERROR(I120/I116,0)</f>
        <v>0</v>
      </c>
      <c r="J121" s="45">
        <f>IFERROR(J120/J116,0)</f>
        <v>0</v>
      </c>
      <c r="K121" s="50">
        <f>IFERROR(K120/K116,0)</f>
        <v>0</v>
      </c>
    </row>
    <row r="122" spans="1:11" x14ac:dyDescent="0.25">
      <c r="A122" s="19"/>
      <c r="B122" s="19"/>
      <c r="C122" s="19"/>
      <c r="D122" s="19"/>
      <c r="E122" s="19"/>
      <c r="F122" s="19"/>
      <c r="G122" s="19"/>
      <c r="H122" s="19"/>
      <c r="I122" s="19"/>
      <c r="J122" s="47"/>
      <c r="K122" s="50"/>
    </row>
    <row r="123" spans="1:11" ht="24" x14ac:dyDescent="0.25">
      <c r="A123" s="6" t="s">
        <v>671</v>
      </c>
      <c r="B123" s="7" t="s">
        <v>670</v>
      </c>
      <c r="C123" s="8" t="s">
        <v>94</v>
      </c>
      <c r="D123" s="9">
        <f>SUMIFS(Benefits!$S:$S,Benefits!$A:$A,$A$123,Benefits!$E:$E,"Revenue",Benefits!$F:$F,"USD",Benefits!$D:$D,"Plan Base")</f>
        <v>0</v>
      </c>
      <c r="E123" s="9">
        <f>SUMIFS(Benefits!$T:$T,Benefits!$A:$A,$A$123,Benefits!$E:$E,"Revenue",Benefits!$F:$F,"USD",Benefits!$D:$D,"Plan Base")</f>
        <v>0.94299999999999995</v>
      </c>
      <c r="F123" s="9">
        <f>SUMIFS(Benefits!$U:$U,Benefits!$A:$A,$A$123,Benefits!$E:$E,"Revenue",Benefits!$F:$F,"USD",Benefits!$D:$D,"Plan Base")</f>
        <v>2.8290000000000002</v>
      </c>
      <c r="G123" s="9">
        <f>SUMIFS(Benefits!$V:$V,Benefits!$A:$A,$A$123,Benefits!$E:$E,"Revenue",Benefits!$F:$F,"USD",Benefits!$D:$D,"Plan Base")</f>
        <v>2.8290000000000002</v>
      </c>
      <c r="H123" s="9">
        <f>SUMIFS(Benefits!$W:$W,Benefits!$A:$A,$A$123,Benefits!$E:$E,"Revenue",Benefits!$F:$F,"USD",Benefits!$D:$D,"Plan Base")</f>
        <v>2.8290000000000002</v>
      </c>
      <c r="I123" s="9">
        <f>H123</f>
        <v>2.8290000000000002</v>
      </c>
      <c r="J123" s="45">
        <f>SUM(D123:I123)</f>
        <v>12.259000000000002</v>
      </c>
      <c r="K123" s="49">
        <v>12.722</v>
      </c>
    </row>
    <row r="124" spans="1:11" x14ac:dyDescent="0.25">
      <c r="A124" s="17"/>
      <c r="B124" s="7"/>
      <c r="C124" s="8" t="s">
        <v>95</v>
      </c>
      <c r="D124" s="9">
        <f>SUMIFS(Benefits!$S:$S,Benefits!$A:$A,$A$123,Benefits!$E:$E,"Revenue",Benefits!$F:$F,"USD",Benefits!$D:$D,"Plan High")</f>
        <v>0</v>
      </c>
      <c r="E124" s="9">
        <f>SUMIFS(Benefits!$T:$T,Benefits!$A:$A,$A$123,Benefits!$E:$E,"Revenue",Benefits!$F:$F,"USD",Benefits!$D:$D,"Plan High")</f>
        <v>1.173</v>
      </c>
      <c r="F124" s="9">
        <f>SUMIFS(Benefits!$U:$U,Benefits!$A:$A,$A$123,Benefits!$E:$E,"Revenue",Benefits!$F:$F,"USD",Benefits!$D:$D,"Plan High")</f>
        <v>3.5419999999999998</v>
      </c>
      <c r="G124" s="9">
        <f>SUMIFS(Benefits!$V:$V,Benefits!$A:$A,$A$123,Benefits!$E:$E,"Revenue",Benefits!$F:$F,"USD",Benefits!$D:$D,"Plan High")</f>
        <v>3.5419999999999998</v>
      </c>
      <c r="H124" s="9">
        <f>SUMIFS(Benefits!$W:$W,Benefits!$A:$A,$A$123,Benefits!$E:$E,"Revenue",Benefits!$F:$F,"USD",Benefits!$D:$D,"Plan High")</f>
        <v>3.5419999999999998</v>
      </c>
      <c r="I124" s="9">
        <f>H124</f>
        <v>3.5419999999999998</v>
      </c>
      <c r="J124" s="45">
        <f>SUM(D124:I124)</f>
        <v>15.340999999999999</v>
      </c>
      <c r="K124" s="50"/>
    </row>
    <row r="125" spans="1:11" x14ac:dyDescent="0.25">
      <c r="A125" s="17"/>
      <c r="B125" s="7"/>
      <c r="C125" s="8" t="s">
        <v>96</v>
      </c>
      <c r="D125" s="9">
        <f>SUMIFS(Benefits!$S:$S,Benefits!$A:$A,$A$123,Benefits!$E:$E,"Revenue",Benefits!$F:$F,"USD",Benefits!$D:$D,"Actual")</f>
        <v>0</v>
      </c>
      <c r="E125" s="9">
        <f>SUMIFS(Benefits!$T:$T,Benefits!$A:$A,$A$123,Benefits!$E:$E,"Revenue",Benefits!$F:$F,"USD",Benefits!$D:$D,"Actual")</f>
        <v>0</v>
      </c>
      <c r="F125" s="9">
        <f>SUMIFS(Benefits!$U:$U,Benefits!$A:$A,$A$123,Benefits!$E:$E,"Revenue",Benefits!$F:$F,"USD",Benefits!$D:$D,"Actual")</f>
        <v>0</v>
      </c>
      <c r="G125" s="9">
        <f>SUMIFS(Benefits!$V:$V,Benefits!$A:$A,$A$123,Benefits!$E:$E,"Revenue",Benefits!$F:$F,"USD",Benefits!$D:$D,"Actual")</f>
        <v>0</v>
      </c>
      <c r="H125" s="9">
        <f>SUMIFS(Benefits!$W:$W,Benefits!$A:$A,$A$123,Benefits!$E:$E,"Revenue",Benefits!$F:$F,"USD",Benefits!$D:$D,"Actual")</f>
        <v>0</v>
      </c>
      <c r="I125" s="9">
        <f>H125</f>
        <v>0</v>
      </c>
      <c r="J125" s="45">
        <f>SUM(D125:I125)</f>
        <v>0</v>
      </c>
      <c r="K125" s="50"/>
    </row>
    <row r="126" spans="1:11" x14ac:dyDescent="0.25">
      <c r="A126" s="17"/>
      <c r="B126" s="7"/>
      <c r="C126" s="8" t="s">
        <v>97</v>
      </c>
      <c r="D126" s="9">
        <f>SUMIFS(Benefits!$S:$S,Benefits!$A:$A,$A$123,Benefits!$E:$E,"Gross Margin",Benefits!$F:$F,"USD",Benefits!$D:$D,"Plan Base")</f>
        <v>0</v>
      </c>
      <c r="E126" s="9">
        <f>SUMIFS(Benefits!$T:$T,Benefits!$A:$A,$A$123,Benefits!$E:$E,"Gross Margin",Benefits!$F:$F,"USD",Benefits!$D:$D,"Plan Base")</f>
        <v>0.55200000000000005</v>
      </c>
      <c r="F126" s="9">
        <f>SUMIFS(Benefits!$U:$U,Benefits!$A:$A,$A$123,Benefits!$E:$E,"Gross Margin",Benefits!$F:$F,"USD",Benefits!$D:$D,"Plan Base")</f>
        <v>1.633</v>
      </c>
      <c r="G126" s="9">
        <f>SUMIFS(Benefits!$V:$V,Benefits!$A:$A,$A$123,Benefits!$E:$E,"Gross Margin",Benefits!$F:$F,"USD",Benefits!$D:$D,"Plan Base")</f>
        <v>1.633</v>
      </c>
      <c r="H126" s="9">
        <f>SUMIFS(Benefits!$W:$W,Benefits!$A:$A,$A$123,Benefits!$E:$E,"Gross Margin",Benefits!$F:$F,"USD",Benefits!$D:$D,"Plan Base")</f>
        <v>1.633</v>
      </c>
      <c r="I126" s="9">
        <f>H126</f>
        <v>1.633</v>
      </c>
      <c r="J126" s="45">
        <f>SUM(D126:I126)</f>
        <v>7.0840000000000005</v>
      </c>
      <c r="K126" s="49">
        <v>7.5919999999999996</v>
      </c>
    </row>
    <row r="127" spans="1:11" x14ac:dyDescent="0.25">
      <c r="A127" s="17"/>
      <c r="B127" s="7"/>
      <c r="C127" s="8" t="s">
        <v>98</v>
      </c>
      <c r="D127" s="9">
        <f>SUMIFS(Benefits!$S:$S,Benefits!$A:$A,$A$123,Benefits!$E:$E,"Gross Margin",Benefits!$F:$F,"USD",Benefits!$D:$D,"Plan High")</f>
        <v>0</v>
      </c>
      <c r="E127" s="9">
        <f>SUMIFS(Benefits!$T:$T,Benefits!$A:$A,$A$123,Benefits!$E:$E,"Gross Margin",Benefits!$F:$F,"USD",Benefits!$D:$D,"Plan High")</f>
        <v>0.73599999999999999</v>
      </c>
      <c r="F127" s="9">
        <f>SUMIFS(Benefits!$U:$U,Benefits!$A:$A,$A$123,Benefits!$E:$E,"Gross Margin",Benefits!$F:$F,"USD",Benefits!$D:$D,"Plan High")</f>
        <v>2.2080000000000002</v>
      </c>
      <c r="G127" s="9">
        <f>SUMIFS(Benefits!$V:$V,Benefits!$A:$A,$A$123,Benefits!$E:$E,"Gross Margin",Benefits!$F:$F,"USD",Benefits!$D:$D,"Plan High")</f>
        <v>2.2080000000000002</v>
      </c>
      <c r="H127" s="9">
        <f>SUMIFS(Benefits!$W:$W,Benefits!$A:$A,$A$123,Benefits!$E:$E,"Gross Margin",Benefits!$F:$F,"USD",Benefits!$D:$D,"Plan High")</f>
        <v>2.2080000000000002</v>
      </c>
      <c r="I127" s="9">
        <f>H127</f>
        <v>2.2080000000000002</v>
      </c>
      <c r="J127" s="45">
        <f>SUM(D127:I127)</f>
        <v>9.5680000000000014</v>
      </c>
      <c r="K127" s="50"/>
    </row>
    <row r="128" spans="1:11" x14ac:dyDescent="0.25">
      <c r="A128" s="17"/>
      <c r="B128" s="7"/>
      <c r="C128" s="8" t="s">
        <v>99</v>
      </c>
      <c r="D128" s="9">
        <f>SUMIFS(Benefits!$S:$S,Benefits!$A:$A,$A$123,Benefits!$E:$E,"Gross Margin",Benefits!$F:$F,"USD",Benefits!$D:$D,"Actual")</f>
        <v>0</v>
      </c>
      <c r="E128" s="9">
        <f>SUMIFS(Benefits!$T:$T,Benefits!$A:$A,$A$123,Benefits!$E:$E,"Gross Margin",Benefits!$F:$F,"USD",Benefits!$D:$D,"Actual")</f>
        <v>0</v>
      </c>
      <c r="F128" s="9">
        <f>SUMIFS(Benefits!$U:$U,Benefits!$A:$A,$A$123,Benefits!$E:$E,"Gross Margin",Benefits!$F:$F,"USD",Benefits!$D:$D,"Actual")</f>
        <v>0</v>
      </c>
      <c r="G128" s="9">
        <f>SUMIFS(Benefits!$V:$V,Benefits!$A:$A,$A$123,Benefits!$E:$E,"Gross Margin",Benefits!$F:$F,"USD",Benefits!$D:$D,"Actual")</f>
        <v>0</v>
      </c>
      <c r="H128" s="9">
        <f>SUMIFS(Benefits!$W:$W,Benefits!$A:$A,$A$123,Benefits!$E:$E,"Gross Margin",Benefits!$F:$F,"USD",Benefits!$D:$D,"Actual")</f>
        <v>0</v>
      </c>
      <c r="I128" s="9">
        <f>H128</f>
        <v>0</v>
      </c>
      <c r="J128" s="45">
        <f>SUM(D128:I128)</f>
        <v>0</v>
      </c>
      <c r="K128" s="50"/>
    </row>
    <row r="129" spans="1:11" x14ac:dyDescent="0.25">
      <c r="A129" s="17"/>
      <c r="B129" s="7"/>
      <c r="C129" s="8" t="s">
        <v>100</v>
      </c>
      <c r="D129" s="9"/>
      <c r="E129" s="9"/>
      <c r="F129" s="9"/>
      <c r="G129" s="9"/>
      <c r="H129" s="9"/>
      <c r="I129" s="9"/>
      <c r="J129" s="45"/>
      <c r="K129" s="50"/>
    </row>
    <row r="130" spans="1:11" x14ac:dyDescent="0.25">
      <c r="A130" s="18"/>
      <c r="B130" s="10"/>
      <c r="C130" s="11" t="s">
        <v>101</v>
      </c>
      <c r="D130" s="12">
        <f>SUMIFS(Costs!$AB:$AB,Costs!$A:$A,$A$123,Costs!$D:$D,"Plan")</f>
        <v>0</v>
      </c>
      <c r="E130" s="12">
        <f>SUMIFS(Costs!$AC:$AC,Costs!$A:$A,$A$123,Costs!$D:$D,"Plan")</f>
        <v>0</v>
      </c>
      <c r="F130" s="12">
        <f>SUMIFS(Costs!$AD:$AD,Costs!$A:$A,$A$123,Costs!$D:$D,"Plan")</f>
        <v>0</v>
      </c>
      <c r="G130" s="12">
        <f>SUMIFS(Costs!$AE:$AE,Costs!$A:$A,$A$123,Costs!$D:$D,"Plan")</f>
        <v>0</v>
      </c>
      <c r="H130" s="12">
        <f>SUMIFS(Costs!$AF:$AF,Costs!$A:$A,$A$123,Costs!$D:$D,"Plan")</f>
        <v>0</v>
      </c>
      <c r="I130" s="12">
        <f>H130</f>
        <v>0</v>
      </c>
      <c r="J130" s="46">
        <f>SUM(D130:I130)</f>
        <v>0</v>
      </c>
      <c r="K130" s="51">
        <v>0</v>
      </c>
    </row>
    <row r="131" spans="1:11" x14ac:dyDescent="0.25">
      <c r="A131" s="17"/>
      <c r="B131" s="7"/>
      <c r="C131" s="8" t="s">
        <v>102</v>
      </c>
      <c r="D131" s="9">
        <f>SUMIFS(Costs!$AB:$AB,Costs!$A:$A,$A$123,Costs!$D:$D,"Actual")</f>
        <v>0</v>
      </c>
      <c r="E131" s="9">
        <f>SUMIFS(Costs!$AC:$AC,Costs!$A:$A,$A$123,Costs!$D:$D,"Actual")</f>
        <v>0</v>
      </c>
      <c r="F131" s="9">
        <f>SUMIFS(Costs!$AD:$AD,Costs!$A:$A,$A$123,Costs!$D:$D,"Actual")</f>
        <v>0</v>
      </c>
      <c r="G131" s="9">
        <f>SUMIFS(Costs!$AE:$AE,Costs!$A:$A,$A$123,Costs!$D:$D,"Actual")</f>
        <v>0</v>
      </c>
      <c r="H131" s="9">
        <f>SUMIFS(Costs!$AF:$AF,Costs!$A:$A,$A$123,Costs!$D:$D,"Actual")</f>
        <v>0</v>
      </c>
      <c r="I131" s="9">
        <f>H131</f>
        <v>0</v>
      </c>
      <c r="J131" s="45">
        <f>SUM(D131:I131)</f>
        <v>0</v>
      </c>
      <c r="K131" s="50"/>
    </row>
    <row r="132" spans="1:11" x14ac:dyDescent="0.25">
      <c r="A132" s="17"/>
      <c r="B132" s="7"/>
      <c r="C132" s="8" t="s">
        <v>103</v>
      </c>
      <c r="D132" s="9"/>
      <c r="E132" s="9"/>
      <c r="F132" s="9"/>
      <c r="G132" s="9"/>
      <c r="H132" s="9"/>
      <c r="I132" s="9"/>
      <c r="J132" s="45"/>
      <c r="K132" s="50"/>
    </row>
    <row r="133" spans="1:11" x14ac:dyDescent="0.25">
      <c r="A133" s="18"/>
      <c r="B133" s="10"/>
      <c r="C133" s="11" t="s">
        <v>104</v>
      </c>
      <c r="D133" s="12">
        <f>D126-D130</f>
        <v>0</v>
      </c>
      <c r="E133" s="12">
        <f>E126-E130</f>
        <v>0.55200000000000005</v>
      </c>
      <c r="F133" s="12">
        <f>F126-F130</f>
        <v>1.633</v>
      </c>
      <c r="G133" s="12">
        <f>G126-G130</f>
        <v>1.633</v>
      </c>
      <c r="H133" s="12">
        <f>H126-H130</f>
        <v>1.633</v>
      </c>
      <c r="I133" s="12">
        <f>I126-I130</f>
        <v>1.633</v>
      </c>
      <c r="J133" s="46">
        <f>J126-J130</f>
        <v>7.0840000000000005</v>
      </c>
      <c r="K133" s="51">
        <f>K126-K130</f>
        <v>7.5919999999999996</v>
      </c>
    </row>
    <row r="134" spans="1:11" x14ac:dyDescent="0.25">
      <c r="A134" s="18"/>
      <c r="B134" s="10"/>
      <c r="C134" s="11" t="s">
        <v>105</v>
      </c>
      <c r="D134" s="12">
        <f>D127-D130</f>
        <v>0</v>
      </c>
      <c r="E134" s="12">
        <f>E127-E130</f>
        <v>0.73599999999999999</v>
      </c>
      <c r="F134" s="12">
        <f>F127-F130</f>
        <v>2.2080000000000002</v>
      </c>
      <c r="G134" s="12">
        <f>G127-G130</f>
        <v>2.2080000000000002</v>
      </c>
      <c r="H134" s="12">
        <f>H127-H130</f>
        <v>2.2080000000000002</v>
      </c>
      <c r="I134" s="12">
        <f>I127-I130</f>
        <v>2.2080000000000002</v>
      </c>
      <c r="J134" s="46">
        <f>J127-J130</f>
        <v>9.5680000000000014</v>
      </c>
      <c r="K134" s="50"/>
    </row>
    <row r="135" spans="1:11" x14ac:dyDescent="0.25">
      <c r="A135" s="18"/>
      <c r="B135" s="10"/>
      <c r="C135" s="11" t="s">
        <v>106</v>
      </c>
      <c r="D135" s="12">
        <f>D128-D131</f>
        <v>0</v>
      </c>
      <c r="E135" s="12">
        <f>E128-E131</f>
        <v>0</v>
      </c>
      <c r="F135" s="12">
        <f>F128-F131</f>
        <v>0</v>
      </c>
      <c r="G135" s="12">
        <f>G128-G131</f>
        <v>0</v>
      </c>
      <c r="H135" s="12">
        <f>H128-H131</f>
        <v>0</v>
      </c>
      <c r="I135" s="12">
        <f>I128-I131</f>
        <v>0</v>
      </c>
      <c r="J135" s="46">
        <f>J128-J131</f>
        <v>0</v>
      </c>
      <c r="K135" s="50"/>
    </row>
    <row r="136" spans="1:11" x14ac:dyDescent="0.25">
      <c r="A136" s="17"/>
      <c r="B136" s="7"/>
      <c r="C136" s="8" t="s">
        <v>107</v>
      </c>
      <c r="D136" s="9">
        <f>IFERROR(D135/D131,0)</f>
        <v>0</v>
      </c>
      <c r="E136" s="9">
        <f>IFERROR(E135/E131,0)</f>
        <v>0</v>
      </c>
      <c r="F136" s="9">
        <f>IFERROR(F135/F131,0)</f>
        <v>0</v>
      </c>
      <c r="G136" s="9">
        <f>IFERROR(G135/G131,0)</f>
        <v>0</v>
      </c>
      <c r="H136" s="9">
        <f>IFERROR(H135/H131,0)</f>
        <v>0</v>
      </c>
      <c r="I136" s="9">
        <f>IFERROR(I135/I131,0)</f>
        <v>0</v>
      </c>
      <c r="J136" s="45">
        <f>IFERROR(J135/J131,0)</f>
        <v>0</v>
      </c>
      <c r="K136" s="50">
        <f>IFERROR(K135/K131,0)</f>
        <v>0</v>
      </c>
    </row>
    <row r="137" spans="1:11" x14ac:dyDescent="0.25">
      <c r="A137" s="19"/>
      <c r="B137" s="19"/>
      <c r="C137" s="19"/>
      <c r="D137" s="19"/>
      <c r="E137" s="19"/>
      <c r="F137" s="19"/>
      <c r="G137" s="19"/>
      <c r="H137" s="19"/>
      <c r="I137" s="19"/>
      <c r="J137" s="47"/>
      <c r="K137" s="50"/>
    </row>
    <row r="138" spans="1:11" x14ac:dyDescent="0.25">
      <c r="A138" s="6" t="s">
        <v>674</v>
      </c>
      <c r="B138" s="7" t="s">
        <v>673</v>
      </c>
      <c r="C138" s="8" t="s">
        <v>94</v>
      </c>
      <c r="D138" s="9">
        <f>SUMIFS(Benefits!$S:$S,Benefits!$A:$A,$A$138,Benefits!$E:$E,"Revenue",Benefits!$F:$F,"USD",Benefits!$D:$D,"Plan Base")</f>
        <v>0</v>
      </c>
      <c r="E138" s="9">
        <f>SUMIFS(Benefits!$T:$T,Benefits!$A:$A,$A$138,Benefits!$E:$E,"Revenue",Benefits!$F:$F,"USD",Benefits!$D:$D,"Plan Base")</f>
        <v>0.442</v>
      </c>
      <c r="F138" s="9">
        <f>SUMIFS(Benefits!$U:$U,Benefits!$A:$A,$A$138,Benefits!$E:$E,"Revenue",Benefits!$F:$F,"USD",Benefits!$D:$D,"Plan Base")</f>
        <v>0.93500000000000005</v>
      </c>
      <c r="G138" s="9">
        <f>SUMIFS(Benefits!$V:$V,Benefits!$A:$A,$A$138,Benefits!$E:$E,"Revenue",Benefits!$F:$F,"USD",Benefits!$D:$D,"Plan Base")</f>
        <v>0.93500000000000005</v>
      </c>
      <c r="H138" s="9">
        <f>SUMIFS(Benefits!$W:$W,Benefits!$A:$A,$A$138,Benefits!$E:$E,"Revenue",Benefits!$F:$F,"USD",Benefits!$D:$D,"Plan Base")</f>
        <v>0.93500000000000005</v>
      </c>
      <c r="I138" s="9">
        <f>H138</f>
        <v>0.93500000000000005</v>
      </c>
      <c r="J138" s="45">
        <f>SUM(D138:I138)</f>
        <v>4.1820000000000004</v>
      </c>
      <c r="K138" s="49">
        <v>3.9670000000000001</v>
      </c>
    </row>
    <row r="139" spans="1:11" x14ac:dyDescent="0.25">
      <c r="A139" s="17"/>
      <c r="B139" s="7"/>
      <c r="C139" s="8" t="s">
        <v>95</v>
      </c>
      <c r="D139" s="9">
        <f>SUMIFS(Benefits!$S:$S,Benefits!$A:$A,$A$138,Benefits!$E:$E,"Revenue",Benefits!$F:$F,"USD",Benefits!$D:$D,"Plan High")</f>
        <v>0</v>
      </c>
      <c r="E139" s="9">
        <f>SUMIFS(Benefits!$T:$T,Benefits!$A:$A,$A$138,Benefits!$E:$E,"Revenue",Benefits!$F:$F,"USD",Benefits!$D:$D,"Plan High")</f>
        <v>0.66300000000000003</v>
      </c>
      <c r="F139" s="9">
        <f>SUMIFS(Benefits!$U:$U,Benefits!$A:$A,$A$138,Benefits!$E:$E,"Revenue",Benefits!$F:$F,"USD",Benefits!$D:$D,"Plan High")</f>
        <v>1.3260000000000001</v>
      </c>
      <c r="G139" s="9">
        <f>SUMIFS(Benefits!$V:$V,Benefits!$A:$A,$A$138,Benefits!$E:$E,"Revenue",Benefits!$F:$F,"USD",Benefits!$D:$D,"Plan High")</f>
        <v>1.3260000000000001</v>
      </c>
      <c r="H139" s="9">
        <f>SUMIFS(Benefits!$W:$W,Benefits!$A:$A,$A$138,Benefits!$E:$E,"Revenue",Benefits!$F:$F,"USD",Benefits!$D:$D,"Plan High")</f>
        <v>1.3260000000000001</v>
      </c>
      <c r="I139" s="9">
        <f>H139</f>
        <v>1.3260000000000001</v>
      </c>
      <c r="J139" s="45">
        <f>SUM(D139:I139)</f>
        <v>5.9670000000000005</v>
      </c>
      <c r="K139" s="50"/>
    </row>
    <row r="140" spans="1:11" x14ac:dyDescent="0.25">
      <c r="A140" s="17"/>
      <c r="B140" s="7"/>
      <c r="C140" s="8" t="s">
        <v>96</v>
      </c>
      <c r="D140" s="9">
        <f>SUMIFS(Benefits!$S:$S,Benefits!$A:$A,$A$138,Benefits!$E:$E,"Revenue",Benefits!$F:$F,"USD",Benefits!$D:$D,"Actual")</f>
        <v>0</v>
      </c>
      <c r="E140" s="9">
        <f>SUMIFS(Benefits!$T:$T,Benefits!$A:$A,$A$138,Benefits!$E:$E,"Revenue",Benefits!$F:$F,"USD",Benefits!$D:$D,"Actual")</f>
        <v>0</v>
      </c>
      <c r="F140" s="9">
        <f>SUMIFS(Benefits!$U:$U,Benefits!$A:$A,$A$138,Benefits!$E:$E,"Revenue",Benefits!$F:$F,"USD",Benefits!$D:$D,"Actual")</f>
        <v>0</v>
      </c>
      <c r="G140" s="9">
        <f>SUMIFS(Benefits!$V:$V,Benefits!$A:$A,$A$138,Benefits!$E:$E,"Revenue",Benefits!$F:$F,"USD",Benefits!$D:$D,"Actual")</f>
        <v>0</v>
      </c>
      <c r="H140" s="9">
        <f>SUMIFS(Benefits!$W:$W,Benefits!$A:$A,$A$138,Benefits!$E:$E,"Revenue",Benefits!$F:$F,"USD",Benefits!$D:$D,"Actual")</f>
        <v>0</v>
      </c>
      <c r="I140" s="9">
        <f>H140</f>
        <v>0</v>
      </c>
      <c r="J140" s="45">
        <f>SUM(D140:I140)</f>
        <v>0</v>
      </c>
      <c r="K140" s="50"/>
    </row>
    <row r="141" spans="1:11" x14ac:dyDescent="0.25">
      <c r="A141" s="17"/>
      <c r="B141" s="7"/>
      <c r="C141" s="8" t="s">
        <v>97</v>
      </c>
      <c r="D141" s="9">
        <f>SUMIFS(Benefits!$S:$S,Benefits!$A:$A,$A$138,Benefits!$E:$E,"Gross Margin",Benefits!$F:$F,"USD",Benefits!$D:$D,"Plan Base")</f>
        <v>0</v>
      </c>
      <c r="E141" s="9">
        <f>SUMIFS(Benefits!$T:$T,Benefits!$A:$A,$A$138,Benefits!$E:$E,"Gross Margin",Benefits!$F:$F,"USD",Benefits!$D:$D,"Plan Base")</f>
        <v>0.23799999999999999</v>
      </c>
      <c r="F141" s="9">
        <f>SUMIFS(Benefits!$U:$U,Benefits!$A:$A,$A$138,Benefits!$E:$E,"Gross Margin",Benefits!$F:$F,"USD",Benefits!$D:$D,"Plan Base")</f>
        <v>0.61199999999999999</v>
      </c>
      <c r="G141" s="9">
        <f>SUMIFS(Benefits!$V:$V,Benefits!$A:$A,$A$138,Benefits!$E:$E,"Gross Margin",Benefits!$F:$F,"USD",Benefits!$D:$D,"Plan Base")</f>
        <v>0.61199999999999999</v>
      </c>
      <c r="H141" s="9">
        <f>SUMIFS(Benefits!$W:$W,Benefits!$A:$A,$A$138,Benefits!$E:$E,"Gross Margin",Benefits!$F:$F,"USD",Benefits!$D:$D,"Plan Base")</f>
        <v>0.61199999999999999</v>
      </c>
      <c r="I141" s="9">
        <f>H141</f>
        <v>0.61199999999999999</v>
      </c>
      <c r="J141" s="45">
        <f>SUM(D141:I141)</f>
        <v>2.6859999999999999</v>
      </c>
      <c r="K141" s="49">
        <v>2.3370000000000002</v>
      </c>
    </row>
    <row r="142" spans="1:11" x14ac:dyDescent="0.25">
      <c r="A142" s="17"/>
      <c r="B142" s="7"/>
      <c r="C142" s="8" t="s">
        <v>98</v>
      </c>
      <c r="D142" s="9">
        <f>SUMIFS(Benefits!$S:$S,Benefits!$A:$A,$A$138,Benefits!$E:$E,"Gross Margin",Benefits!$F:$F,"USD",Benefits!$D:$D,"Plan High")</f>
        <v>0</v>
      </c>
      <c r="E142" s="9">
        <f>SUMIFS(Benefits!$T:$T,Benefits!$A:$A,$A$138,Benefits!$E:$E,"Gross Margin",Benefits!$F:$F,"USD",Benefits!$D:$D,"Plan High")</f>
        <v>0.30599999999999999</v>
      </c>
      <c r="F142" s="9">
        <f>SUMIFS(Benefits!$U:$U,Benefits!$A:$A,$A$138,Benefits!$E:$E,"Gross Margin",Benefits!$F:$F,"USD",Benefits!$D:$D,"Plan High")</f>
        <v>0.86699999999999999</v>
      </c>
      <c r="G142" s="9">
        <f>SUMIFS(Benefits!$V:$V,Benefits!$A:$A,$A$138,Benefits!$E:$E,"Gross Margin",Benefits!$F:$F,"USD",Benefits!$D:$D,"Plan High")</f>
        <v>0.86699999999999999</v>
      </c>
      <c r="H142" s="9">
        <f>SUMIFS(Benefits!$W:$W,Benefits!$A:$A,$A$138,Benefits!$E:$E,"Gross Margin",Benefits!$F:$F,"USD",Benefits!$D:$D,"Plan High")</f>
        <v>0.86699999999999999</v>
      </c>
      <c r="I142" s="9">
        <f>H142</f>
        <v>0.86699999999999999</v>
      </c>
      <c r="J142" s="45">
        <f>SUM(D142:I142)</f>
        <v>3.774</v>
      </c>
      <c r="K142" s="50"/>
    </row>
    <row r="143" spans="1:11" x14ac:dyDescent="0.25">
      <c r="A143" s="17"/>
      <c r="B143" s="7"/>
      <c r="C143" s="8" t="s">
        <v>99</v>
      </c>
      <c r="D143" s="9">
        <f>SUMIFS(Benefits!$S:$S,Benefits!$A:$A,$A$138,Benefits!$E:$E,"Gross Margin",Benefits!$F:$F,"USD",Benefits!$D:$D,"Actual")</f>
        <v>0</v>
      </c>
      <c r="E143" s="9">
        <f>SUMIFS(Benefits!$T:$T,Benefits!$A:$A,$A$138,Benefits!$E:$E,"Gross Margin",Benefits!$F:$F,"USD",Benefits!$D:$D,"Actual")</f>
        <v>0</v>
      </c>
      <c r="F143" s="9">
        <f>SUMIFS(Benefits!$U:$U,Benefits!$A:$A,$A$138,Benefits!$E:$E,"Gross Margin",Benefits!$F:$F,"USD",Benefits!$D:$D,"Actual")</f>
        <v>0</v>
      </c>
      <c r="G143" s="9">
        <f>SUMIFS(Benefits!$V:$V,Benefits!$A:$A,$A$138,Benefits!$E:$E,"Gross Margin",Benefits!$F:$F,"USD",Benefits!$D:$D,"Actual")</f>
        <v>0</v>
      </c>
      <c r="H143" s="9">
        <f>SUMIFS(Benefits!$W:$W,Benefits!$A:$A,$A$138,Benefits!$E:$E,"Gross Margin",Benefits!$F:$F,"USD",Benefits!$D:$D,"Actual")</f>
        <v>0</v>
      </c>
      <c r="I143" s="9">
        <f>H143</f>
        <v>0</v>
      </c>
      <c r="J143" s="45">
        <f>SUM(D143:I143)</f>
        <v>0</v>
      </c>
      <c r="K143" s="50"/>
    </row>
    <row r="144" spans="1:11" x14ac:dyDescent="0.25">
      <c r="A144" s="17"/>
      <c r="B144" s="7"/>
      <c r="C144" s="8" t="s">
        <v>100</v>
      </c>
      <c r="D144" s="9"/>
      <c r="E144" s="9"/>
      <c r="F144" s="9"/>
      <c r="G144" s="9"/>
      <c r="H144" s="9"/>
      <c r="I144" s="9"/>
      <c r="J144" s="45"/>
      <c r="K144" s="50"/>
    </row>
    <row r="145" spans="1:11" x14ac:dyDescent="0.25">
      <c r="A145" s="18"/>
      <c r="B145" s="10"/>
      <c r="C145" s="11" t="s">
        <v>101</v>
      </c>
      <c r="D145" s="12">
        <f>SUMIFS(Costs!$AB:$AB,Costs!$A:$A,$A$138,Costs!$D:$D,"Plan")</f>
        <v>0</v>
      </c>
      <c r="E145" s="12">
        <f>SUMIFS(Costs!$AC:$AC,Costs!$A:$A,$A$138,Costs!$D:$D,"Plan")</f>
        <v>0.52700000000000002</v>
      </c>
      <c r="F145" s="12">
        <f>SUMIFS(Costs!$AD:$AD,Costs!$A:$A,$A$138,Costs!$D:$D,"Plan")</f>
        <v>0.54400000000000004</v>
      </c>
      <c r="G145" s="12">
        <f>SUMIFS(Costs!$AE:$AE,Costs!$A:$A,$A$138,Costs!$D:$D,"Plan")</f>
        <v>0.54400000000000004</v>
      </c>
      <c r="H145" s="12">
        <f>SUMIFS(Costs!$AF:$AF,Costs!$A:$A,$A$138,Costs!$D:$D,"Plan")</f>
        <v>0.54400000000000004</v>
      </c>
      <c r="I145" s="12">
        <f>H145</f>
        <v>0.54400000000000004</v>
      </c>
      <c r="J145" s="46">
        <f>SUM(D145:I145)</f>
        <v>2.7030000000000003</v>
      </c>
      <c r="K145" s="51">
        <v>2.1429999999999998</v>
      </c>
    </row>
    <row r="146" spans="1:11" x14ac:dyDescent="0.25">
      <c r="A146" s="17"/>
      <c r="B146" s="7"/>
      <c r="C146" s="8" t="s">
        <v>102</v>
      </c>
      <c r="D146" s="9">
        <f>SUMIFS(Costs!$AB:$AB,Costs!$A:$A,$A$138,Costs!$D:$D,"Actual")</f>
        <v>0</v>
      </c>
      <c r="E146" s="9">
        <f>SUMIFS(Costs!$AC:$AC,Costs!$A:$A,$A$138,Costs!$D:$D,"Actual")</f>
        <v>0</v>
      </c>
      <c r="F146" s="9">
        <f>SUMIFS(Costs!$AD:$AD,Costs!$A:$A,$A$138,Costs!$D:$D,"Actual")</f>
        <v>0</v>
      </c>
      <c r="G146" s="9">
        <f>SUMIFS(Costs!$AE:$AE,Costs!$A:$A,$A$138,Costs!$D:$D,"Actual")</f>
        <v>0</v>
      </c>
      <c r="H146" s="9">
        <f>SUMIFS(Costs!$AF:$AF,Costs!$A:$A,$A$138,Costs!$D:$D,"Actual")</f>
        <v>0</v>
      </c>
      <c r="I146" s="9">
        <f>H146</f>
        <v>0</v>
      </c>
      <c r="J146" s="45">
        <f>SUM(D146:I146)</f>
        <v>0</v>
      </c>
      <c r="K146" s="50"/>
    </row>
    <row r="147" spans="1:11" x14ac:dyDescent="0.25">
      <c r="A147" s="17"/>
      <c r="B147" s="7"/>
      <c r="C147" s="8" t="s">
        <v>103</v>
      </c>
      <c r="D147" s="9"/>
      <c r="E147" s="9"/>
      <c r="F147" s="9"/>
      <c r="G147" s="9"/>
      <c r="H147" s="9"/>
      <c r="I147" s="9"/>
      <c r="J147" s="45"/>
      <c r="K147" s="50"/>
    </row>
    <row r="148" spans="1:11" x14ac:dyDescent="0.25">
      <c r="A148" s="18"/>
      <c r="B148" s="10"/>
      <c r="C148" s="11" t="s">
        <v>104</v>
      </c>
      <c r="D148" s="12">
        <f>D141-D145</f>
        <v>0</v>
      </c>
      <c r="E148" s="12">
        <f>E141-E145</f>
        <v>-0.28900000000000003</v>
      </c>
      <c r="F148" s="12">
        <f>F141-F145</f>
        <v>6.7999999999999949E-2</v>
      </c>
      <c r="G148" s="12">
        <f>G141-G145</f>
        <v>6.7999999999999949E-2</v>
      </c>
      <c r="H148" s="12">
        <f>H141-H145</f>
        <v>6.7999999999999949E-2</v>
      </c>
      <c r="I148" s="12">
        <f>I141-I145</f>
        <v>6.7999999999999949E-2</v>
      </c>
      <c r="J148" s="46">
        <f>J141-J145</f>
        <v>-1.7000000000000348E-2</v>
      </c>
      <c r="K148" s="51">
        <f>K141-K145</f>
        <v>0.19400000000000039</v>
      </c>
    </row>
    <row r="149" spans="1:11" x14ac:dyDescent="0.25">
      <c r="A149" s="18"/>
      <c r="B149" s="10"/>
      <c r="C149" s="11" t="s">
        <v>105</v>
      </c>
      <c r="D149" s="12">
        <f>D142-D145</f>
        <v>0</v>
      </c>
      <c r="E149" s="12">
        <f>E142-E145</f>
        <v>-0.22100000000000003</v>
      </c>
      <c r="F149" s="12">
        <f>F142-F145</f>
        <v>0.32299999999999995</v>
      </c>
      <c r="G149" s="12">
        <f>G142-G145</f>
        <v>0.32299999999999995</v>
      </c>
      <c r="H149" s="12">
        <f>H142-H145</f>
        <v>0.32299999999999995</v>
      </c>
      <c r="I149" s="12">
        <f>I142-I145</f>
        <v>0.32299999999999995</v>
      </c>
      <c r="J149" s="46">
        <f>J142-J145</f>
        <v>1.0709999999999997</v>
      </c>
      <c r="K149" s="50"/>
    </row>
    <row r="150" spans="1:11" x14ac:dyDescent="0.25">
      <c r="A150" s="18"/>
      <c r="B150" s="10"/>
      <c r="C150" s="11" t="s">
        <v>106</v>
      </c>
      <c r="D150" s="12">
        <f>D143-D146</f>
        <v>0</v>
      </c>
      <c r="E150" s="12">
        <f>E143-E146</f>
        <v>0</v>
      </c>
      <c r="F150" s="12">
        <f>F143-F146</f>
        <v>0</v>
      </c>
      <c r="G150" s="12">
        <f>G143-G146</f>
        <v>0</v>
      </c>
      <c r="H150" s="12">
        <f>H143-H146</f>
        <v>0</v>
      </c>
      <c r="I150" s="12">
        <f>I143-I146</f>
        <v>0</v>
      </c>
      <c r="J150" s="46">
        <f>J143-J146</f>
        <v>0</v>
      </c>
      <c r="K150" s="50"/>
    </row>
    <row r="151" spans="1:11" x14ac:dyDescent="0.25">
      <c r="A151" s="17"/>
      <c r="B151" s="7"/>
      <c r="C151" s="8" t="s">
        <v>107</v>
      </c>
      <c r="D151" s="9">
        <f>IFERROR(D150/D146,0)</f>
        <v>0</v>
      </c>
      <c r="E151" s="9">
        <f>IFERROR(E150/E146,0)</f>
        <v>0</v>
      </c>
      <c r="F151" s="9">
        <f>IFERROR(F150/F146,0)</f>
        <v>0</v>
      </c>
      <c r="G151" s="9">
        <f>IFERROR(G150/G146,0)</f>
        <v>0</v>
      </c>
      <c r="H151" s="9">
        <f>IFERROR(H150/H146,0)</f>
        <v>0</v>
      </c>
      <c r="I151" s="9">
        <f>IFERROR(I150/I146,0)</f>
        <v>0</v>
      </c>
      <c r="J151" s="45">
        <f>IFERROR(J150/J146,0)</f>
        <v>0</v>
      </c>
      <c r="K151" s="50">
        <f>IFERROR(K150/K146,0)</f>
        <v>0</v>
      </c>
    </row>
    <row r="152" spans="1:11" x14ac:dyDescent="0.25">
      <c r="A152" s="19"/>
      <c r="B152" s="19"/>
      <c r="C152" s="19"/>
      <c r="D152" s="19"/>
      <c r="E152" s="19"/>
      <c r="F152" s="19"/>
      <c r="G152" s="19"/>
      <c r="H152" s="19"/>
      <c r="I152" s="19"/>
      <c r="J152" s="47"/>
      <c r="K152" s="50"/>
    </row>
    <row r="153" spans="1:11" ht="24" x14ac:dyDescent="0.25">
      <c r="A153" s="6" t="s">
        <v>678</v>
      </c>
      <c r="B153" s="7" t="s">
        <v>677</v>
      </c>
      <c r="C153" s="8" t="s">
        <v>94</v>
      </c>
      <c r="D153" s="9">
        <f>SUMIFS(Benefits!$S:$S,Benefits!$A:$A,$A$153,Benefits!$E:$E,"Revenue",Benefits!$F:$F,"USD",Benefits!$D:$D,"Plan Base")</f>
        <v>0</v>
      </c>
      <c r="E153" s="9">
        <f>SUMIFS(Benefits!$T:$T,Benefits!$A:$A,$A$153,Benefits!$E:$E,"Revenue",Benefits!$F:$F,"USD",Benefits!$D:$D,"Plan Base")</f>
        <v>0</v>
      </c>
      <c r="F153" s="9">
        <f>SUMIFS(Benefits!$U:$U,Benefits!$A:$A,$A$153,Benefits!$E:$E,"Revenue",Benefits!$F:$F,"USD",Benefits!$D:$D,"Plan Base")</f>
        <v>0</v>
      </c>
      <c r="G153" s="9">
        <f>SUMIFS(Benefits!$V:$V,Benefits!$A:$A,$A$153,Benefits!$E:$E,"Revenue",Benefits!$F:$F,"USD",Benefits!$D:$D,"Plan Base")</f>
        <v>0</v>
      </c>
      <c r="H153" s="9">
        <f>SUMIFS(Benefits!$W:$W,Benefits!$A:$A,$A$153,Benefits!$E:$E,"Revenue",Benefits!$F:$F,"USD",Benefits!$D:$D,"Plan Base")</f>
        <v>0</v>
      </c>
      <c r="I153" s="9">
        <f>H153</f>
        <v>0</v>
      </c>
      <c r="J153" s="45">
        <f>SUM(D153:I153)</f>
        <v>0</v>
      </c>
      <c r="K153" s="49">
        <v>0</v>
      </c>
    </row>
    <row r="154" spans="1:11" x14ac:dyDescent="0.25">
      <c r="A154" s="17"/>
      <c r="B154" s="7"/>
      <c r="C154" s="8" t="s">
        <v>95</v>
      </c>
      <c r="D154" s="9">
        <f>SUMIFS(Benefits!$S:$S,Benefits!$A:$A,$A$153,Benefits!$E:$E,"Revenue",Benefits!$F:$F,"USD",Benefits!$D:$D,"Plan High")</f>
        <v>0</v>
      </c>
      <c r="E154" s="9">
        <f>SUMIFS(Benefits!$T:$T,Benefits!$A:$A,$A$153,Benefits!$E:$E,"Revenue",Benefits!$F:$F,"USD",Benefits!$D:$D,"Plan High")</f>
        <v>0</v>
      </c>
      <c r="F154" s="9">
        <f>SUMIFS(Benefits!$U:$U,Benefits!$A:$A,$A$153,Benefits!$E:$E,"Revenue",Benefits!$F:$F,"USD",Benefits!$D:$D,"Plan High")</f>
        <v>0</v>
      </c>
      <c r="G154" s="9">
        <f>SUMIFS(Benefits!$V:$V,Benefits!$A:$A,$A$153,Benefits!$E:$E,"Revenue",Benefits!$F:$F,"USD",Benefits!$D:$D,"Plan High")</f>
        <v>0</v>
      </c>
      <c r="H154" s="9">
        <f>SUMIFS(Benefits!$W:$W,Benefits!$A:$A,$A$153,Benefits!$E:$E,"Revenue",Benefits!$F:$F,"USD",Benefits!$D:$D,"Plan High")</f>
        <v>0</v>
      </c>
      <c r="I154" s="9">
        <f>H154</f>
        <v>0</v>
      </c>
      <c r="J154" s="45">
        <f>SUM(D154:I154)</f>
        <v>0</v>
      </c>
      <c r="K154" s="50">
        <v>0</v>
      </c>
    </row>
    <row r="155" spans="1:11" x14ac:dyDescent="0.25">
      <c r="A155" s="17"/>
      <c r="B155" s="7"/>
      <c r="C155" s="8" t="s">
        <v>96</v>
      </c>
      <c r="D155" s="9">
        <f>SUMIFS(Benefits!$S:$S,Benefits!$A:$A,$A$153,Benefits!$E:$E,"Revenue",Benefits!$F:$F,"USD",Benefits!$D:$D,"Actual")</f>
        <v>0</v>
      </c>
      <c r="E155" s="9">
        <f>SUMIFS(Benefits!$T:$T,Benefits!$A:$A,$A$153,Benefits!$E:$E,"Revenue",Benefits!$F:$F,"USD",Benefits!$D:$D,"Actual")</f>
        <v>0</v>
      </c>
      <c r="F155" s="9">
        <f>SUMIFS(Benefits!$U:$U,Benefits!$A:$A,$A$153,Benefits!$E:$E,"Revenue",Benefits!$F:$F,"USD",Benefits!$D:$D,"Actual")</f>
        <v>0</v>
      </c>
      <c r="G155" s="9">
        <f>SUMIFS(Benefits!$V:$V,Benefits!$A:$A,$A$153,Benefits!$E:$E,"Revenue",Benefits!$F:$F,"USD",Benefits!$D:$D,"Actual")</f>
        <v>0</v>
      </c>
      <c r="H155" s="9">
        <f>SUMIFS(Benefits!$W:$W,Benefits!$A:$A,$A$153,Benefits!$E:$E,"Revenue",Benefits!$F:$F,"USD",Benefits!$D:$D,"Actual")</f>
        <v>0</v>
      </c>
      <c r="I155" s="9">
        <f>H155</f>
        <v>0</v>
      </c>
      <c r="J155" s="45">
        <f>SUM(D155:I155)</f>
        <v>0</v>
      </c>
      <c r="K155" s="50">
        <v>0</v>
      </c>
    </row>
    <row r="156" spans="1:11" x14ac:dyDescent="0.25">
      <c r="A156" s="17"/>
      <c r="B156" s="7"/>
      <c r="C156" s="8" t="s">
        <v>97</v>
      </c>
      <c r="D156" s="9">
        <f>SUMIFS(Benefits!$S:$S,Benefits!$A:$A,$A$153,Benefits!$E:$E,"Gross Margin",Benefits!$F:$F,"USD",Benefits!$D:$D,"Plan Base")</f>
        <v>0</v>
      </c>
      <c r="E156" s="9">
        <f>SUMIFS(Benefits!$T:$T,Benefits!$A:$A,$A$153,Benefits!$E:$E,"Gross Margin",Benefits!$F:$F,"USD",Benefits!$D:$D,"Plan Base")</f>
        <v>0.65100000000000002</v>
      </c>
      <c r="F156" s="9">
        <f>SUMIFS(Benefits!$U:$U,Benefits!$A:$A,$A$153,Benefits!$E:$E,"Gross Margin",Benefits!$F:$F,"USD",Benefits!$D:$D,"Plan Base")</f>
        <v>0.96599999999999997</v>
      </c>
      <c r="G156" s="9">
        <f>SUMIFS(Benefits!$V:$V,Benefits!$A:$A,$A$153,Benefits!$E:$E,"Gross Margin",Benefits!$F:$F,"USD",Benefits!$D:$D,"Plan Base")</f>
        <v>0.96599999999999997</v>
      </c>
      <c r="H156" s="9">
        <f>SUMIFS(Benefits!$W:$W,Benefits!$A:$A,$A$153,Benefits!$E:$E,"Gross Margin",Benefits!$F:$F,"USD",Benefits!$D:$D,"Plan Base")</f>
        <v>0.96599999999999997</v>
      </c>
      <c r="I156" s="9">
        <f>H156</f>
        <v>0.96599999999999997</v>
      </c>
      <c r="J156" s="45">
        <f>SUM(D156:I156)</f>
        <v>4.5150000000000006</v>
      </c>
      <c r="K156" s="49">
        <v>4.0220000000000002</v>
      </c>
    </row>
    <row r="157" spans="1:11" x14ac:dyDescent="0.25">
      <c r="A157" s="17"/>
      <c r="B157" s="7"/>
      <c r="C157" s="8" t="s">
        <v>98</v>
      </c>
      <c r="D157" s="9">
        <f>SUMIFS(Benefits!$S:$S,Benefits!$A:$A,$A$153,Benefits!$E:$E,"Gross Margin",Benefits!$F:$F,"USD",Benefits!$D:$D,"Plan High")</f>
        <v>0</v>
      </c>
      <c r="E157" s="9">
        <f>SUMIFS(Benefits!$T:$T,Benefits!$A:$A,$A$153,Benefits!$E:$E,"Gross Margin",Benefits!$F:$F,"USD",Benefits!$D:$D,"Plan High")</f>
        <v>0.88200000000000001</v>
      </c>
      <c r="F157" s="9">
        <f>SUMIFS(Benefits!$U:$U,Benefits!$A:$A,$A$153,Benefits!$E:$E,"Gross Margin",Benefits!$F:$F,"USD",Benefits!$D:$D,"Plan High")</f>
        <v>1.302</v>
      </c>
      <c r="G157" s="9">
        <f>SUMIFS(Benefits!$V:$V,Benefits!$A:$A,$A$153,Benefits!$E:$E,"Gross Margin",Benefits!$F:$F,"USD",Benefits!$D:$D,"Plan High")</f>
        <v>1.302</v>
      </c>
      <c r="H157" s="9">
        <f>SUMIFS(Benefits!$W:$W,Benefits!$A:$A,$A$153,Benefits!$E:$E,"Gross Margin",Benefits!$F:$F,"USD",Benefits!$D:$D,"Plan High")</f>
        <v>1.302</v>
      </c>
      <c r="I157" s="9">
        <f>H157</f>
        <v>1.302</v>
      </c>
      <c r="J157" s="45">
        <f>SUM(D157:I157)</f>
        <v>6.09</v>
      </c>
      <c r="K157" s="50"/>
    </row>
    <row r="158" spans="1:11" x14ac:dyDescent="0.25">
      <c r="A158" s="17"/>
      <c r="B158" s="7"/>
      <c r="C158" s="8" t="s">
        <v>99</v>
      </c>
      <c r="D158" s="9">
        <f>SUMIFS(Benefits!$S:$S,Benefits!$A:$A,$A$153,Benefits!$E:$E,"Gross Margin",Benefits!$F:$F,"USD",Benefits!$D:$D,"Actual")</f>
        <v>0</v>
      </c>
      <c r="E158" s="9">
        <f>SUMIFS(Benefits!$T:$T,Benefits!$A:$A,$A$153,Benefits!$E:$E,"Gross Margin",Benefits!$F:$F,"USD",Benefits!$D:$D,"Actual")</f>
        <v>0</v>
      </c>
      <c r="F158" s="9">
        <f>SUMIFS(Benefits!$U:$U,Benefits!$A:$A,$A$153,Benefits!$E:$E,"Gross Margin",Benefits!$F:$F,"USD",Benefits!$D:$D,"Actual")</f>
        <v>0</v>
      </c>
      <c r="G158" s="9">
        <f>SUMIFS(Benefits!$V:$V,Benefits!$A:$A,$A$153,Benefits!$E:$E,"Gross Margin",Benefits!$F:$F,"USD",Benefits!$D:$D,"Actual")</f>
        <v>0</v>
      </c>
      <c r="H158" s="9">
        <f>SUMIFS(Benefits!$W:$W,Benefits!$A:$A,$A$153,Benefits!$E:$E,"Gross Margin",Benefits!$F:$F,"USD",Benefits!$D:$D,"Actual")</f>
        <v>0</v>
      </c>
      <c r="I158" s="9">
        <f>H158</f>
        <v>0</v>
      </c>
      <c r="J158" s="45">
        <f>SUM(D158:I158)</f>
        <v>0</v>
      </c>
      <c r="K158" s="50"/>
    </row>
    <row r="159" spans="1:11" x14ac:dyDescent="0.25">
      <c r="A159" s="17"/>
      <c r="B159" s="7"/>
      <c r="C159" s="8" t="s">
        <v>100</v>
      </c>
      <c r="D159" s="9"/>
      <c r="E159" s="9"/>
      <c r="F159" s="9"/>
      <c r="G159" s="9"/>
      <c r="H159" s="9"/>
      <c r="I159" s="9"/>
      <c r="J159" s="45"/>
      <c r="K159" s="50"/>
    </row>
    <row r="160" spans="1:11" x14ac:dyDescent="0.25">
      <c r="A160" s="18"/>
      <c r="B160" s="10"/>
      <c r="C160" s="11" t="s">
        <v>101</v>
      </c>
      <c r="D160" s="12">
        <f>SUMIFS(Costs!$AB:$AB,Costs!$A:$A,$A$153,Costs!$D:$D,"Plan")</f>
        <v>0</v>
      </c>
      <c r="E160" s="12">
        <f>SUMIFS(Costs!$AC:$AC,Costs!$A:$A,$A$153,Costs!$D:$D,"Plan")</f>
        <v>0.105</v>
      </c>
      <c r="F160" s="12">
        <f>SUMIFS(Costs!$AD:$AD,Costs!$A:$A,$A$153,Costs!$D:$D,"Plan")</f>
        <v>0.105</v>
      </c>
      <c r="G160" s="12">
        <f>SUMIFS(Costs!$AE:$AE,Costs!$A:$A,$A$153,Costs!$D:$D,"Plan")</f>
        <v>0.105</v>
      </c>
      <c r="H160" s="12">
        <f>SUMIFS(Costs!$AF:$AF,Costs!$A:$A,$A$153,Costs!$D:$D,"Plan")</f>
        <v>0.105</v>
      </c>
      <c r="I160" s="12">
        <f>H160</f>
        <v>0.105</v>
      </c>
      <c r="J160" s="46">
        <f>SUM(D160:I160)</f>
        <v>0.52500000000000002</v>
      </c>
      <c r="K160" s="51">
        <v>0.32300000000000001</v>
      </c>
    </row>
    <row r="161" spans="1:11" x14ac:dyDescent="0.25">
      <c r="A161" s="17"/>
      <c r="B161" s="7"/>
      <c r="C161" s="8" t="s">
        <v>102</v>
      </c>
      <c r="D161" s="9">
        <f>SUMIFS(Costs!$AB:$AB,Costs!$A:$A,$A$153,Costs!$D:$D,"Actual")</f>
        <v>0</v>
      </c>
      <c r="E161" s="9">
        <f>SUMIFS(Costs!$AC:$AC,Costs!$A:$A,$A$153,Costs!$D:$D,"Actual")</f>
        <v>0</v>
      </c>
      <c r="F161" s="9">
        <f>SUMIFS(Costs!$AD:$AD,Costs!$A:$A,$A$153,Costs!$D:$D,"Actual")</f>
        <v>0</v>
      </c>
      <c r="G161" s="9">
        <f>SUMIFS(Costs!$AE:$AE,Costs!$A:$A,$A$153,Costs!$D:$D,"Actual")</f>
        <v>0</v>
      </c>
      <c r="H161" s="9">
        <f>SUMIFS(Costs!$AF:$AF,Costs!$A:$A,$A$153,Costs!$D:$D,"Actual")</f>
        <v>0</v>
      </c>
      <c r="I161" s="9">
        <f>H161</f>
        <v>0</v>
      </c>
      <c r="J161" s="45">
        <f>SUM(D161:I161)</f>
        <v>0</v>
      </c>
      <c r="K161" s="50"/>
    </row>
    <row r="162" spans="1:11" x14ac:dyDescent="0.25">
      <c r="A162" s="17"/>
      <c r="B162" s="7"/>
      <c r="C162" s="8" t="s">
        <v>103</v>
      </c>
      <c r="D162" s="9"/>
      <c r="E162" s="9"/>
      <c r="F162" s="9"/>
      <c r="G162" s="9"/>
      <c r="H162" s="9"/>
      <c r="I162" s="9"/>
      <c r="J162" s="45"/>
      <c r="K162" s="50"/>
    </row>
    <row r="163" spans="1:11" x14ac:dyDescent="0.25">
      <c r="A163" s="18"/>
      <c r="B163" s="10"/>
      <c r="C163" s="11" t="s">
        <v>104</v>
      </c>
      <c r="D163" s="12">
        <f>D156-D160</f>
        <v>0</v>
      </c>
      <c r="E163" s="12">
        <f>E156-E160</f>
        <v>0.54600000000000004</v>
      </c>
      <c r="F163" s="12">
        <f>F156-F160</f>
        <v>0.86099999999999999</v>
      </c>
      <c r="G163" s="12">
        <f>G156-G160</f>
        <v>0.86099999999999999</v>
      </c>
      <c r="H163" s="12">
        <f>H156-H160</f>
        <v>0.86099999999999999</v>
      </c>
      <c r="I163" s="12">
        <f>I156-I160</f>
        <v>0.86099999999999999</v>
      </c>
      <c r="J163" s="46">
        <f>J156-J160</f>
        <v>3.9900000000000007</v>
      </c>
      <c r="K163" s="51">
        <f>K156-K160</f>
        <v>3.6990000000000003</v>
      </c>
    </row>
    <row r="164" spans="1:11" x14ac:dyDescent="0.25">
      <c r="A164" s="18"/>
      <c r="B164" s="10"/>
      <c r="C164" s="11" t="s">
        <v>105</v>
      </c>
      <c r="D164" s="12">
        <f>D157-D160</f>
        <v>0</v>
      </c>
      <c r="E164" s="12">
        <f>E157-E160</f>
        <v>0.77700000000000002</v>
      </c>
      <c r="F164" s="12">
        <f>F157-F160</f>
        <v>1.1970000000000001</v>
      </c>
      <c r="G164" s="12">
        <f>G157-G160</f>
        <v>1.1970000000000001</v>
      </c>
      <c r="H164" s="12">
        <f>H157-H160</f>
        <v>1.1970000000000001</v>
      </c>
      <c r="I164" s="12">
        <f>I157-I160</f>
        <v>1.1970000000000001</v>
      </c>
      <c r="J164" s="46">
        <f>J157-J160</f>
        <v>5.5649999999999995</v>
      </c>
      <c r="K164" s="50"/>
    </row>
    <row r="165" spans="1:11" x14ac:dyDescent="0.25">
      <c r="A165" s="18"/>
      <c r="B165" s="10"/>
      <c r="C165" s="11" t="s">
        <v>106</v>
      </c>
      <c r="D165" s="12">
        <f>D158-D161</f>
        <v>0</v>
      </c>
      <c r="E165" s="12">
        <f>E158-E161</f>
        <v>0</v>
      </c>
      <c r="F165" s="12">
        <f>F158-F161</f>
        <v>0</v>
      </c>
      <c r="G165" s="12">
        <f>G158-G161</f>
        <v>0</v>
      </c>
      <c r="H165" s="12">
        <f>H158-H161</f>
        <v>0</v>
      </c>
      <c r="I165" s="12">
        <f>I158-I161</f>
        <v>0</v>
      </c>
      <c r="J165" s="46">
        <f>J158-J161</f>
        <v>0</v>
      </c>
      <c r="K165" s="50"/>
    </row>
    <row r="166" spans="1:11" x14ac:dyDescent="0.25">
      <c r="A166" s="17"/>
      <c r="B166" s="7"/>
      <c r="C166" s="8" t="s">
        <v>107</v>
      </c>
      <c r="D166" s="9">
        <f>IFERROR(D165/D161,0)</f>
        <v>0</v>
      </c>
      <c r="E166" s="9">
        <f>IFERROR(E165/E161,0)</f>
        <v>0</v>
      </c>
      <c r="F166" s="9">
        <f>IFERROR(F165/F161,0)</f>
        <v>0</v>
      </c>
      <c r="G166" s="9">
        <f>IFERROR(G165/G161,0)</f>
        <v>0</v>
      </c>
      <c r="H166" s="9">
        <f>IFERROR(H165/H161,0)</f>
        <v>0</v>
      </c>
      <c r="I166" s="9">
        <f>IFERROR(I165/I161,0)</f>
        <v>0</v>
      </c>
      <c r="J166" s="45">
        <f>IFERROR(J165/J161,0)</f>
        <v>0</v>
      </c>
      <c r="K166" s="50">
        <f>IFERROR(K165/K161,0)</f>
        <v>0</v>
      </c>
    </row>
    <row r="167" spans="1:11" x14ac:dyDescent="0.25">
      <c r="A167" s="19"/>
      <c r="B167" s="19"/>
      <c r="C167" s="19"/>
      <c r="D167" s="19"/>
      <c r="E167" s="19"/>
      <c r="F167" s="19"/>
      <c r="G167" s="19"/>
      <c r="H167" s="19"/>
      <c r="I167" s="19"/>
      <c r="J167" s="47"/>
      <c r="K167" s="50"/>
    </row>
    <row r="168" spans="1:11" x14ac:dyDescent="0.25">
      <c r="A168" s="6" t="s">
        <v>681</v>
      </c>
      <c r="B168" s="7" t="s">
        <v>680</v>
      </c>
      <c r="C168" s="8" t="s">
        <v>94</v>
      </c>
      <c r="D168" s="9">
        <f>SUMIFS(Benefits!$S:$S,Benefits!$A:$A,$A$168,Benefits!$E:$E,"Revenue",Benefits!$F:$F,"USD",Benefits!$D:$D,"Plan Base")</f>
        <v>0</v>
      </c>
      <c r="E168" s="9">
        <f>SUMIFS(Benefits!$T:$T,Benefits!$A:$A,$A$168,Benefits!$E:$E,"Revenue",Benefits!$F:$F,"USD",Benefits!$D:$D,"Plan Base")</f>
        <v>0</v>
      </c>
      <c r="F168" s="9">
        <f>SUMIFS(Benefits!$U:$U,Benefits!$A:$A,$A$168,Benefits!$E:$E,"Revenue",Benefits!$F:$F,"USD",Benefits!$D:$D,"Plan Base")</f>
        <v>0</v>
      </c>
      <c r="G168" s="9">
        <f>SUMIFS(Benefits!$V:$V,Benefits!$A:$A,$A$168,Benefits!$E:$E,"Revenue",Benefits!$F:$F,"USD",Benefits!$D:$D,"Plan Base")</f>
        <v>0</v>
      </c>
      <c r="H168" s="9">
        <f>SUMIFS(Benefits!$W:$W,Benefits!$A:$A,$A$168,Benefits!$E:$E,"Revenue",Benefits!$F:$F,"USD",Benefits!$D:$D,"Plan Base")</f>
        <v>0</v>
      </c>
      <c r="I168" s="9">
        <f>H168</f>
        <v>0</v>
      </c>
      <c r="J168" s="45">
        <f>SUM(D168:I168)</f>
        <v>0</v>
      </c>
      <c r="K168" s="49">
        <v>0</v>
      </c>
    </row>
    <row r="169" spans="1:11" x14ac:dyDescent="0.25">
      <c r="A169" s="17"/>
      <c r="B169" s="7"/>
      <c r="C169" s="8" t="s">
        <v>95</v>
      </c>
      <c r="D169" s="9">
        <f>SUMIFS(Benefits!$S:$S,Benefits!$A:$A,$A$168,Benefits!$E:$E,"Revenue",Benefits!$F:$F,"USD",Benefits!$D:$D,"Plan High")</f>
        <v>0</v>
      </c>
      <c r="E169" s="9">
        <f>SUMIFS(Benefits!$T:$T,Benefits!$A:$A,$A$168,Benefits!$E:$E,"Revenue",Benefits!$F:$F,"USD",Benefits!$D:$D,"Plan High")</f>
        <v>0</v>
      </c>
      <c r="F169" s="9">
        <f>SUMIFS(Benefits!$U:$U,Benefits!$A:$A,$A$168,Benefits!$E:$E,"Revenue",Benefits!$F:$F,"USD",Benefits!$D:$D,"Plan High")</f>
        <v>0</v>
      </c>
      <c r="G169" s="9">
        <f>SUMIFS(Benefits!$V:$V,Benefits!$A:$A,$A$168,Benefits!$E:$E,"Revenue",Benefits!$F:$F,"USD",Benefits!$D:$D,"Plan High")</f>
        <v>0</v>
      </c>
      <c r="H169" s="9">
        <f>SUMIFS(Benefits!$W:$W,Benefits!$A:$A,$A$168,Benefits!$E:$E,"Revenue",Benefits!$F:$F,"USD",Benefits!$D:$D,"Plan High")</f>
        <v>0</v>
      </c>
      <c r="I169" s="9">
        <f>H169</f>
        <v>0</v>
      </c>
      <c r="J169" s="45">
        <f>SUM(D169:I169)</f>
        <v>0</v>
      </c>
      <c r="K169" s="50">
        <v>0</v>
      </c>
    </row>
    <row r="170" spans="1:11" x14ac:dyDescent="0.25">
      <c r="A170" s="17"/>
      <c r="B170" s="7"/>
      <c r="C170" s="8" t="s">
        <v>96</v>
      </c>
      <c r="D170" s="9">
        <f>SUMIFS(Benefits!$S:$S,Benefits!$A:$A,$A$168,Benefits!$E:$E,"Revenue",Benefits!$F:$F,"USD",Benefits!$D:$D,"Actual")</f>
        <v>0</v>
      </c>
      <c r="E170" s="9">
        <f>SUMIFS(Benefits!$T:$T,Benefits!$A:$A,$A$168,Benefits!$E:$E,"Revenue",Benefits!$F:$F,"USD",Benefits!$D:$D,"Actual")</f>
        <v>0</v>
      </c>
      <c r="F170" s="9">
        <f>SUMIFS(Benefits!$U:$U,Benefits!$A:$A,$A$168,Benefits!$E:$E,"Revenue",Benefits!$F:$F,"USD",Benefits!$D:$D,"Actual")</f>
        <v>0</v>
      </c>
      <c r="G170" s="9">
        <f>SUMIFS(Benefits!$V:$V,Benefits!$A:$A,$A$168,Benefits!$E:$E,"Revenue",Benefits!$F:$F,"USD",Benefits!$D:$D,"Actual")</f>
        <v>0</v>
      </c>
      <c r="H170" s="9">
        <f>SUMIFS(Benefits!$W:$W,Benefits!$A:$A,$A$168,Benefits!$E:$E,"Revenue",Benefits!$F:$F,"USD",Benefits!$D:$D,"Actual")</f>
        <v>0</v>
      </c>
      <c r="I170" s="9">
        <f>H170</f>
        <v>0</v>
      </c>
      <c r="J170" s="45">
        <f>SUM(D170:I170)</f>
        <v>0</v>
      </c>
      <c r="K170" s="50">
        <v>0</v>
      </c>
    </row>
    <row r="171" spans="1:11" x14ac:dyDescent="0.25">
      <c r="A171" s="17"/>
      <c r="B171" s="7"/>
      <c r="C171" s="8" t="s">
        <v>97</v>
      </c>
      <c r="D171" s="9">
        <f>SUMIFS(Benefits!$S:$S,Benefits!$A:$A,$A$168,Benefits!$E:$E,"Gross Margin",Benefits!$F:$F,"USD",Benefits!$D:$D,"Plan Base")</f>
        <v>0</v>
      </c>
      <c r="E171" s="9">
        <f>SUMIFS(Benefits!$T:$T,Benefits!$A:$A,$A$168,Benefits!$E:$E,"Gross Margin",Benefits!$F:$F,"USD",Benefits!$D:$D,"Plan Base")</f>
        <v>0.39900000000000002</v>
      </c>
      <c r="F171" s="9">
        <f>SUMIFS(Benefits!$U:$U,Benefits!$A:$A,$A$168,Benefits!$E:$E,"Gross Margin",Benefits!$F:$F,"USD",Benefits!$D:$D,"Plan Base")</f>
        <v>0.58899999999999997</v>
      </c>
      <c r="G171" s="9">
        <f>SUMIFS(Benefits!$V:$V,Benefits!$A:$A,$A$168,Benefits!$E:$E,"Gross Margin",Benefits!$F:$F,"USD",Benefits!$D:$D,"Plan Base")</f>
        <v>0.58899999999999997</v>
      </c>
      <c r="H171" s="9">
        <f>SUMIFS(Benefits!$W:$W,Benefits!$A:$A,$A$168,Benefits!$E:$E,"Gross Margin",Benefits!$F:$F,"USD",Benefits!$D:$D,"Plan Base")</f>
        <v>0.58899999999999997</v>
      </c>
      <c r="I171" s="9">
        <f>H171</f>
        <v>0.58899999999999997</v>
      </c>
      <c r="J171" s="45">
        <f>SUM(D171:I171)</f>
        <v>2.7549999999999999</v>
      </c>
      <c r="K171" s="49">
        <v>1.9470000000000001</v>
      </c>
    </row>
    <row r="172" spans="1:11" x14ac:dyDescent="0.25">
      <c r="A172" s="17"/>
      <c r="B172" s="7"/>
      <c r="C172" s="8" t="s">
        <v>98</v>
      </c>
      <c r="D172" s="9">
        <f>SUMIFS(Benefits!$S:$S,Benefits!$A:$A,$A$168,Benefits!$E:$E,"Gross Margin",Benefits!$F:$F,"USD",Benefits!$D:$D,"Plan High")</f>
        <v>0</v>
      </c>
      <c r="E172" s="9">
        <f>SUMIFS(Benefits!$T:$T,Benefits!$A:$A,$A$168,Benefits!$E:$E,"Gross Margin",Benefits!$F:$F,"USD",Benefits!$D:$D,"Plan High")</f>
        <v>0.49399999999999999</v>
      </c>
      <c r="F172" s="9">
        <f>SUMIFS(Benefits!$U:$U,Benefits!$A:$A,$A$168,Benefits!$E:$E,"Gross Margin",Benefits!$F:$F,"USD",Benefits!$D:$D,"Plan High")</f>
        <v>0.70299999999999996</v>
      </c>
      <c r="G172" s="9">
        <f>SUMIFS(Benefits!$V:$V,Benefits!$A:$A,$A$168,Benefits!$E:$E,"Gross Margin",Benefits!$F:$F,"USD",Benefits!$D:$D,"Plan High")</f>
        <v>0.70299999999999996</v>
      </c>
      <c r="H172" s="9">
        <f>SUMIFS(Benefits!$W:$W,Benefits!$A:$A,$A$168,Benefits!$E:$E,"Gross Margin",Benefits!$F:$F,"USD",Benefits!$D:$D,"Plan High")</f>
        <v>0.70299999999999996</v>
      </c>
      <c r="I172" s="9">
        <f>H172</f>
        <v>0.70299999999999996</v>
      </c>
      <c r="J172" s="45">
        <f>SUM(D172:I172)</f>
        <v>3.3059999999999996</v>
      </c>
      <c r="K172" s="50"/>
    </row>
    <row r="173" spans="1:11" x14ac:dyDescent="0.25">
      <c r="A173" s="17"/>
      <c r="B173" s="7"/>
      <c r="C173" s="8" t="s">
        <v>99</v>
      </c>
      <c r="D173" s="9">
        <f>SUMIFS(Benefits!$S:$S,Benefits!$A:$A,$A$168,Benefits!$E:$E,"Gross Margin",Benefits!$F:$F,"USD",Benefits!$D:$D,"Actual")</f>
        <v>0</v>
      </c>
      <c r="E173" s="9">
        <f>SUMIFS(Benefits!$T:$T,Benefits!$A:$A,$A$168,Benefits!$E:$E,"Gross Margin",Benefits!$F:$F,"USD",Benefits!$D:$D,"Actual")</f>
        <v>0</v>
      </c>
      <c r="F173" s="9">
        <f>SUMIFS(Benefits!$U:$U,Benefits!$A:$A,$A$168,Benefits!$E:$E,"Gross Margin",Benefits!$F:$F,"USD",Benefits!$D:$D,"Actual")</f>
        <v>0</v>
      </c>
      <c r="G173" s="9">
        <f>SUMIFS(Benefits!$V:$V,Benefits!$A:$A,$A$168,Benefits!$E:$E,"Gross Margin",Benefits!$F:$F,"USD",Benefits!$D:$D,"Actual")</f>
        <v>0</v>
      </c>
      <c r="H173" s="9">
        <f>SUMIFS(Benefits!$W:$W,Benefits!$A:$A,$A$168,Benefits!$E:$E,"Gross Margin",Benefits!$F:$F,"USD",Benefits!$D:$D,"Actual")</f>
        <v>0</v>
      </c>
      <c r="I173" s="9">
        <f>H173</f>
        <v>0</v>
      </c>
      <c r="J173" s="45">
        <f>SUM(D173:I173)</f>
        <v>0</v>
      </c>
      <c r="K173" s="50"/>
    </row>
    <row r="174" spans="1:11" x14ac:dyDescent="0.25">
      <c r="A174" s="17"/>
      <c r="B174" s="7"/>
      <c r="C174" s="8" t="s">
        <v>100</v>
      </c>
      <c r="D174" s="9"/>
      <c r="E174" s="9"/>
      <c r="F174" s="9"/>
      <c r="G174" s="9"/>
      <c r="H174" s="9"/>
      <c r="I174" s="9"/>
      <c r="J174" s="45"/>
      <c r="K174" s="50"/>
    </row>
    <row r="175" spans="1:11" x14ac:dyDescent="0.25">
      <c r="A175" s="18"/>
      <c r="B175" s="10"/>
      <c r="C175" s="11" t="s">
        <v>101</v>
      </c>
      <c r="D175" s="12">
        <f>SUMIFS(Costs!$AB:$AB,Costs!$A:$A,$A$168,Costs!$D:$D,"Plan")</f>
        <v>0</v>
      </c>
      <c r="E175" s="12">
        <f>SUMIFS(Costs!$AC:$AC,Costs!$A:$A,$A$168,Costs!$D:$D,"Plan")</f>
        <v>5.7000000000000002E-2</v>
      </c>
      <c r="F175" s="12">
        <f>SUMIFS(Costs!$AD:$AD,Costs!$A:$A,$A$168,Costs!$D:$D,"Plan")</f>
        <v>5.7000000000000002E-2</v>
      </c>
      <c r="G175" s="12">
        <f>SUMIFS(Costs!$AE:$AE,Costs!$A:$A,$A$168,Costs!$D:$D,"Plan")</f>
        <v>5.7000000000000002E-2</v>
      </c>
      <c r="H175" s="12">
        <f>SUMIFS(Costs!$AF:$AF,Costs!$A:$A,$A$168,Costs!$D:$D,"Plan")</f>
        <v>5.7000000000000002E-2</v>
      </c>
      <c r="I175" s="12">
        <f>H175</f>
        <v>5.7000000000000002E-2</v>
      </c>
      <c r="J175" s="46">
        <f>SUM(D175:I175)</f>
        <v>0.28500000000000003</v>
      </c>
      <c r="K175" s="51">
        <v>0.253</v>
      </c>
    </row>
    <row r="176" spans="1:11" x14ac:dyDescent="0.25">
      <c r="A176" s="17"/>
      <c r="B176" s="7"/>
      <c r="C176" s="8" t="s">
        <v>102</v>
      </c>
      <c r="D176" s="9">
        <f>SUMIFS(Costs!$AB:$AB,Costs!$A:$A,$A$168,Costs!$D:$D,"Actual")</f>
        <v>0</v>
      </c>
      <c r="E176" s="9">
        <f>SUMIFS(Costs!$AC:$AC,Costs!$A:$A,$A$168,Costs!$D:$D,"Actual")</f>
        <v>0</v>
      </c>
      <c r="F176" s="9">
        <f>SUMIFS(Costs!$AD:$AD,Costs!$A:$A,$A$168,Costs!$D:$D,"Actual")</f>
        <v>0</v>
      </c>
      <c r="G176" s="9">
        <f>SUMIFS(Costs!$AE:$AE,Costs!$A:$A,$A$168,Costs!$D:$D,"Actual")</f>
        <v>0</v>
      </c>
      <c r="H176" s="9">
        <f>SUMIFS(Costs!$AF:$AF,Costs!$A:$A,$A$168,Costs!$D:$D,"Actual")</f>
        <v>0</v>
      </c>
      <c r="I176" s="9">
        <f>H176</f>
        <v>0</v>
      </c>
      <c r="J176" s="45">
        <f>SUM(D176:I176)</f>
        <v>0</v>
      </c>
      <c r="K176" s="50"/>
    </row>
    <row r="177" spans="1:11" x14ac:dyDescent="0.25">
      <c r="A177" s="17"/>
      <c r="B177" s="7"/>
      <c r="C177" s="8" t="s">
        <v>103</v>
      </c>
      <c r="D177" s="9"/>
      <c r="E177" s="9"/>
      <c r="F177" s="9"/>
      <c r="G177" s="9"/>
      <c r="H177" s="9"/>
      <c r="I177" s="9"/>
      <c r="J177" s="45"/>
      <c r="K177" s="50"/>
    </row>
    <row r="178" spans="1:11" x14ac:dyDescent="0.25">
      <c r="A178" s="18"/>
      <c r="B178" s="10"/>
      <c r="C178" s="11" t="s">
        <v>104</v>
      </c>
      <c r="D178" s="12">
        <f>D171-D175</f>
        <v>0</v>
      </c>
      <c r="E178" s="12">
        <f>E171-E175</f>
        <v>0.34200000000000003</v>
      </c>
      <c r="F178" s="12">
        <f>F171-F175</f>
        <v>0.53199999999999992</v>
      </c>
      <c r="G178" s="12">
        <f>G171-G175</f>
        <v>0.53199999999999992</v>
      </c>
      <c r="H178" s="12">
        <f>H171-H175</f>
        <v>0.53199999999999992</v>
      </c>
      <c r="I178" s="12">
        <f>I171-I175</f>
        <v>0.53199999999999992</v>
      </c>
      <c r="J178" s="46">
        <f>J171-J175</f>
        <v>2.4699999999999998</v>
      </c>
      <c r="K178" s="51">
        <f>K171-K175</f>
        <v>1.694</v>
      </c>
    </row>
    <row r="179" spans="1:11" x14ac:dyDescent="0.25">
      <c r="A179" s="18"/>
      <c r="B179" s="10"/>
      <c r="C179" s="11" t="s">
        <v>105</v>
      </c>
      <c r="D179" s="12">
        <f>D172-D175</f>
        <v>0</v>
      </c>
      <c r="E179" s="12">
        <f>E172-E175</f>
        <v>0.437</v>
      </c>
      <c r="F179" s="12">
        <f>F172-F175</f>
        <v>0.64599999999999991</v>
      </c>
      <c r="G179" s="12">
        <f>G172-G175</f>
        <v>0.64599999999999991</v>
      </c>
      <c r="H179" s="12">
        <f>H172-H175</f>
        <v>0.64599999999999991</v>
      </c>
      <c r="I179" s="12">
        <f>I172-I175</f>
        <v>0.64599999999999991</v>
      </c>
      <c r="J179" s="46">
        <f>J172-J175</f>
        <v>3.0209999999999995</v>
      </c>
      <c r="K179" s="50"/>
    </row>
    <row r="180" spans="1:11" x14ac:dyDescent="0.25">
      <c r="A180" s="18"/>
      <c r="B180" s="10"/>
      <c r="C180" s="11" t="s">
        <v>106</v>
      </c>
      <c r="D180" s="12">
        <f>D173-D176</f>
        <v>0</v>
      </c>
      <c r="E180" s="12">
        <f>E173-E176</f>
        <v>0</v>
      </c>
      <c r="F180" s="12">
        <f>F173-F176</f>
        <v>0</v>
      </c>
      <c r="G180" s="12">
        <f>G173-G176</f>
        <v>0</v>
      </c>
      <c r="H180" s="12">
        <f>H173-H176</f>
        <v>0</v>
      </c>
      <c r="I180" s="12">
        <f>I173-I176</f>
        <v>0</v>
      </c>
      <c r="J180" s="46">
        <f>J173-J176</f>
        <v>0</v>
      </c>
      <c r="K180" s="50"/>
    </row>
    <row r="181" spans="1:11" x14ac:dyDescent="0.25">
      <c r="A181" s="17"/>
      <c r="B181" s="7"/>
      <c r="C181" s="8" t="s">
        <v>107</v>
      </c>
      <c r="D181" s="9">
        <f>IFERROR(D180/D176,0)</f>
        <v>0</v>
      </c>
      <c r="E181" s="9">
        <f>IFERROR(E180/E176,0)</f>
        <v>0</v>
      </c>
      <c r="F181" s="9">
        <f>IFERROR(F180/F176,0)</f>
        <v>0</v>
      </c>
      <c r="G181" s="9">
        <f>IFERROR(G180/G176,0)</f>
        <v>0</v>
      </c>
      <c r="H181" s="9">
        <f>IFERROR(H180/H176,0)</f>
        <v>0</v>
      </c>
      <c r="I181" s="9">
        <f>IFERROR(I180/I176,0)</f>
        <v>0</v>
      </c>
      <c r="J181" s="45">
        <f>IFERROR(J180/J176,0)</f>
        <v>0</v>
      </c>
      <c r="K181" s="50">
        <f>IFERROR(K180/K176,0)</f>
        <v>0</v>
      </c>
    </row>
    <row r="182" spans="1:11" x14ac:dyDescent="0.25">
      <c r="A182" s="19"/>
      <c r="B182" s="19"/>
      <c r="C182" s="19"/>
      <c r="D182" s="19"/>
      <c r="E182" s="19"/>
      <c r="F182" s="19"/>
      <c r="G182" s="19"/>
      <c r="H182" s="19"/>
      <c r="I182" s="19"/>
      <c r="J182" s="47"/>
      <c r="K182" s="50"/>
    </row>
    <row r="183" spans="1:11" ht="24" x14ac:dyDescent="0.25">
      <c r="A183" s="6" t="s">
        <v>686</v>
      </c>
      <c r="B183" s="7" t="s">
        <v>685</v>
      </c>
      <c r="C183" s="8" t="s">
        <v>94</v>
      </c>
      <c r="D183" s="9">
        <f>SUMIFS(Benefits!$S:$S,Benefits!$A:$A,$A$183,Benefits!$E:$E,"Revenue",Benefits!$F:$F,"USD",Benefits!$D:$D,"Plan Base")</f>
        <v>0</v>
      </c>
      <c r="E183" s="9">
        <f>SUMIFS(Benefits!$T:$T,Benefits!$A:$A,$A$183,Benefits!$E:$E,"Revenue",Benefits!$F:$F,"USD",Benefits!$D:$D,"Plan Base")</f>
        <v>0</v>
      </c>
      <c r="F183" s="9">
        <f>SUMIFS(Benefits!$U:$U,Benefits!$A:$A,$A$183,Benefits!$E:$E,"Revenue",Benefits!$F:$F,"USD",Benefits!$D:$D,"Plan Base")</f>
        <v>0</v>
      </c>
      <c r="G183" s="9">
        <f>SUMIFS(Benefits!$V:$V,Benefits!$A:$A,$A$183,Benefits!$E:$E,"Revenue",Benefits!$F:$F,"USD",Benefits!$D:$D,"Plan Base")</f>
        <v>0</v>
      </c>
      <c r="H183" s="9">
        <f>SUMIFS(Benefits!$W:$W,Benefits!$A:$A,$A$183,Benefits!$E:$E,"Revenue",Benefits!$F:$F,"USD",Benefits!$D:$D,"Plan Base")</f>
        <v>0</v>
      </c>
      <c r="I183" s="9">
        <f>H183</f>
        <v>0</v>
      </c>
      <c r="J183" s="45">
        <f>SUM(D183:I183)</f>
        <v>0</v>
      </c>
      <c r="K183" s="49">
        <v>0</v>
      </c>
    </row>
    <row r="184" spans="1:11" x14ac:dyDescent="0.25">
      <c r="A184" s="17"/>
      <c r="B184" s="7"/>
      <c r="C184" s="8" t="s">
        <v>95</v>
      </c>
      <c r="D184" s="9">
        <f>SUMIFS(Benefits!$S:$S,Benefits!$A:$A,$A$183,Benefits!$E:$E,"Revenue",Benefits!$F:$F,"USD",Benefits!$D:$D,"Plan High")</f>
        <v>0</v>
      </c>
      <c r="E184" s="9">
        <f>SUMIFS(Benefits!$T:$T,Benefits!$A:$A,$A$183,Benefits!$E:$E,"Revenue",Benefits!$F:$F,"USD",Benefits!$D:$D,"Plan High")</f>
        <v>0</v>
      </c>
      <c r="F184" s="9">
        <f>SUMIFS(Benefits!$U:$U,Benefits!$A:$A,$A$183,Benefits!$E:$E,"Revenue",Benefits!$F:$F,"USD",Benefits!$D:$D,"Plan High")</f>
        <v>0</v>
      </c>
      <c r="G184" s="9">
        <f>SUMIFS(Benefits!$V:$V,Benefits!$A:$A,$A$183,Benefits!$E:$E,"Revenue",Benefits!$F:$F,"USD",Benefits!$D:$D,"Plan High")</f>
        <v>0</v>
      </c>
      <c r="H184" s="9">
        <f>SUMIFS(Benefits!$W:$W,Benefits!$A:$A,$A$183,Benefits!$E:$E,"Revenue",Benefits!$F:$F,"USD",Benefits!$D:$D,"Plan High")</f>
        <v>0</v>
      </c>
      <c r="I184" s="9">
        <f>H184</f>
        <v>0</v>
      </c>
      <c r="J184" s="45">
        <f>SUM(D184:I184)</f>
        <v>0</v>
      </c>
      <c r="K184" s="50">
        <v>0</v>
      </c>
    </row>
    <row r="185" spans="1:11" x14ac:dyDescent="0.25">
      <c r="A185" s="17"/>
      <c r="B185" s="7"/>
      <c r="C185" s="8" t="s">
        <v>96</v>
      </c>
      <c r="D185" s="9">
        <f>SUMIFS(Benefits!$S:$S,Benefits!$A:$A,$A$183,Benefits!$E:$E,"Revenue",Benefits!$F:$F,"USD",Benefits!$D:$D,"Actual")</f>
        <v>0</v>
      </c>
      <c r="E185" s="9">
        <f>SUMIFS(Benefits!$T:$T,Benefits!$A:$A,$A$183,Benefits!$E:$E,"Revenue",Benefits!$F:$F,"USD",Benefits!$D:$D,"Actual")</f>
        <v>0</v>
      </c>
      <c r="F185" s="9">
        <f>SUMIFS(Benefits!$U:$U,Benefits!$A:$A,$A$183,Benefits!$E:$E,"Revenue",Benefits!$F:$F,"USD",Benefits!$D:$D,"Actual")</f>
        <v>0</v>
      </c>
      <c r="G185" s="9">
        <f>SUMIFS(Benefits!$V:$V,Benefits!$A:$A,$A$183,Benefits!$E:$E,"Revenue",Benefits!$F:$F,"USD",Benefits!$D:$D,"Actual")</f>
        <v>0</v>
      </c>
      <c r="H185" s="9">
        <f>SUMIFS(Benefits!$W:$W,Benefits!$A:$A,$A$183,Benefits!$E:$E,"Revenue",Benefits!$F:$F,"USD",Benefits!$D:$D,"Actual")</f>
        <v>0</v>
      </c>
      <c r="I185" s="9">
        <f>H185</f>
        <v>0</v>
      </c>
      <c r="J185" s="45">
        <f>SUM(D185:I185)</f>
        <v>0</v>
      </c>
      <c r="K185" s="50">
        <v>0</v>
      </c>
    </row>
    <row r="186" spans="1:11" x14ac:dyDescent="0.25">
      <c r="A186" s="17"/>
      <c r="B186" s="7"/>
      <c r="C186" s="8" t="s">
        <v>97</v>
      </c>
      <c r="D186" s="9">
        <f>SUMIFS(Benefits!$S:$S,Benefits!$A:$A,$A$183,Benefits!$E:$E,"Gross Margin",Benefits!$F:$F,"USD",Benefits!$D:$D,"Plan Base")</f>
        <v>0</v>
      </c>
      <c r="E186" s="9">
        <f>SUMIFS(Benefits!$T:$T,Benefits!$A:$A,$A$183,Benefits!$E:$E,"Gross Margin",Benefits!$F:$F,"USD",Benefits!$D:$D,"Plan Base")</f>
        <v>1.488</v>
      </c>
      <c r="F186" s="9">
        <f>SUMIFS(Benefits!$U:$U,Benefits!$A:$A,$A$183,Benefits!$E:$E,"Gross Margin",Benefits!$F:$F,"USD",Benefits!$D:$D,"Plan Base")</f>
        <v>2.2320000000000002</v>
      </c>
      <c r="G186" s="9">
        <f>SUMIFS(Benefits!$V:$V,Benefits!$A:$A,$A$183,Benefits!$E:$E,"Gross Margin",Benefits!$F:$F,"USD",Benefits!$D:$D,"Plan Base")</f>
        <v>2.2320000000000002</v>
      </c>
      <c r="H186" s="9">
        <f>SUMIFS(Benefits!$W:$W,Benefits!$A:$A,$A$183,Benefits!$E:$E,"Gross Margin",Benefits!$F:$F,"USD",Benefits!$D:$D,"Plan Base")</f>
        <v>2.2320000000000002</v>
      </c>
      <c r="I186" s="9">
        <f>H186</f>
        <v>2.2320000000000002</v>
      </c>
      <c r="J186" s="45">
        <f>SUM(D186:I186)</f>
        <v>10.416</v>
      </c>
      <c r="K186" s="49">
        <v>7.1159999999999997</v>
      </c>
    </row>
    <row r="187" spans="1:11" x14ac:dyDescent="0.25">
      <c r="A187" s="17"/>
      <c r="B187" s="7"/>
      <c r="C187" s="8" t="s">
        <v>98</v>
      </c>
      <c r="D187" s="9">
        <f>SUMIFS(Benefits!$S:$S,Benefits!$A:$A,$A$183,Benefits!$E:$E,"Gross Margin",Benefits!$F:$F,"USD",Benefits!$D:$D,"Plan High")</f>
        <v>0</v>
      </c>
      <c r="E187" s="9">
        <f>SUMIFS(Benefits!$T:$T,Benefits!$A:$A,$A$183,Benefits!$E:$E,"Gross Margin",Benefits!$F:$F,"USD",Benefits!$D:$D,"Plan High")</f>
        <v>1.992</v>
      </c>
      <c r="F187" s="9">
        <f>SUMIFS(Benefits!$U:$U,Benefits!$A:$A,$A$183,Benefits!$E:$E,"Gross Margin",Benefits!$F:$F,"USD",Benefits!$D:$D,"Plan High")</f>
        <v>2.976</v>
      </c>
      <c r="G187" s="9">
        <f>SUMIFS(Benefits!$V:$V,Benefits!$A:$A,$A$183,Benefits!$E:$E,"Gross Margin",Benefits!$F:$F,"USD",Benefits!$D:$D,"Plan High")</f>
        <v>2.976</v>
      </c>
      <c r="H187" s="9">
        <f>SUMIFS(Benefits!$W:$W,Benefits!$A:$A,$A$183,Benefits!$E:$E,"Gross Margin",Benefits!$F:$F,"USD",Benefits!$D:$D,"Plan High")</f>
        <v>2.976</v>
      </c>
      <c r="I187" s="9">
        <f>H187</f>
        <v>2.976</v>
      </c>
      <c r="J187" s="45">
        <f>SUM(D187:I187)</f>
        <v>13.896000000000001</v>
      </c>
      <c r="K187" s="50"/>
    </row>
    <row r="188" spans="1:11" x14ac:dyDescent="0.25">
      <c r="A188" s="17"/>
      <c r="B188" s="7"/>
      <c r="C188" s="8" t="s">
        <v>99</v>
      </c>
      <c r="D188" s="9">
        <f>SUMIFS(Benefits!$S:$S,Benefits!$A:$A,$A$183,Benefits!$E:$E,"Gross Margin",Benefits!$F:$F,"USD",Benefits!$D:$D,"Actual")</f>
        <v>0</v>
      </c>
      <c r="E188" s="9">
        <f>SUMIFS(Benefits!$T:$T,Benefits!$A:$A,$A$183,Benefits!$E:$E,"Gross Margin",Benefits!$F:$F,"USD",Benefits!$D:$D,"Actual")</f>
        <v>0</v>
      </c>
      <c r="F188" s="9">
        <f>SUMIFS(Benefits!$U:$U,Benefits!$A:$A,$A$183,Benefits!$E:$E,"Gross Margin",Benefits!$F:$F,"USD",Benefits!$D:$D,"Actual")</f>
        <v>0</v>
      </c>
      <c r="G188" s="9">
        <f>SUMIFS(Benefits!$V:$V,Benefits!$A:$A,$A$183,Benefits!$E:$E,"Gross Margin",Benefits!$F:$F,"USD",Benefits!$D:$D,"Actual")</f>
        <v>0</v>
      </c>
      <c r="H188" s="9">
        <f>SUMIFS(Benefits!$W:$W,Benefits!$A:$A,$A$183,Benefits!$E:$E,"Gross Margin",Benefits!$F:$F,"USD",Benefits!$D:$D,"Actual")</f>
        <v>0</v>
      </c>
      <c r="I188" s="9">
        <f>H188</f>
        <v>0</v>
      </c>
      <c r="J188" s="45">
        <f>SUM(D188:I188)</f>
        <v>0</v>
      </c>
      <c r="K188" s="50"/>
    </row>
    <row r="189" spans="1:11" x14ac:dyDescent="0.25">
      <c r="A189" s="17"/>
      <c r="B189" s="7"/>
      <c r="C189" s="8" t="s">
        <v>100</v>
      </c>
      <c r="D189" s="9"/>
      <c r="E189" s="9"/>
      <c r="F189" s="9"/>
      <c r="G189" s="9"/>
      <c r="H189" s="9"/>
      <c r="I189" s="9"/>
      <c r="J189" s="45"/>
      <c r="K189" s="50"/>
    </row>
    <row r="190" spans="1:11" x14ac:dyDescent="0.25">
      <c r="A190" s="18"/>
      <c r="B190" s="10"/>
      <c r="C190" s="11" t="s">
        <v>101</v>
      </c>
      <c r="D190" s="12">
        <f>SUMIFS(Costs!$AB:$AB,Costs!$A:$A,$A$183,Costs!$D:$D,"Plan")</f>
        <v>0</v>
      </c>
      <c r="E190" s="12">
        <f>SUMIFS(Costs!$AC:$AC,Costs!$A:$A,$A$183,Costs!$D:$D,"Plan")</f>
        <v>0.12</v>
      </c>
      <c r="F190" s="12">
        <f>SUMIFS(Costs!$AD:$AD,Costs!$A:$A,$A$183,Costs!$D:$D,"Plan")</f>
        <v>0.12</v>
      </c>
      <c r="G190" s="12">
        <f>SUMIFS(Costs!$AE:$AE,Costs!$A:$A,$A$183,Costs!$D:$D,"Plan")</f>
        <v>0.12</v>
      </c>
      <c r="H190" s="12">
        <f>SUMIFS(Costs!$AF:$AF,Costs!$A:$A,$A$183,Costs!$D:$D,"Plan")</f>
        <v>0.12</v>
      </c>
      <c r="I190" s="12">
        <f>H190</f>
        <v>0.12</v>
      </c>
      <c r="J190" s="46">
        <f>SUM(D190:I190)</f>
        <v>0.6</v>
      </c>
      <c r="K190" s="51">
        <v>0.44700000000000001</v>
      </c>
    </row>
    <row r="191" spans="1:11" x14ac:dyDescent="0.25">
      <c r="A191" s="17"/>
      <c r="B191" s="7"/>
      <c r="C191" s="8" t="s">
        <v>102</v>
      </c>
      <c r="D191" s="9">
        <f>SUMIFS(Costs!$AB:$AB,Costs!$A:$A,$A$183,Costs!$D:$D,"Actual")</f>
        <v>0</v>
      </c>
      <c r="E191" s="9">
        <f>SUMIFS(Costs!$AC:$AC,Costs!$A:$A,$A$183,Costs!$D:$D,"Actual")</f>
        <v>0</v>
      </c>
      <c r="F191" s="9">
        <f>SUMIFS(Costs!$AD:$AD,Costs!$A:$A,$A$183,Costs!$D:$D,"Actual")</f>
        <v>0</v>
      </c>
      <c r="G191" s="9">
        <f>SUMIFS(Costs!$AE:$AE,Costs!$A:$A,$A$183,Costs!$D:$D,"Actual")</f>
        <v>0</v>
      </c>
      <c r="H191" s="9">
        <f>SUMIFS(Costs!$AF:$AF,Costs!$A:$A,$A$183,Costs!$D:$D,"Actual")</f>
        <v>0</v>
      </c>
      <c r="I191" s="9">
        <f>H191</f>
        <v>0</v>
      </c>
      <c r="J191" s="45">
        <f>SUM(D191:I191)</f>
        <v>0</v>
      </c>
      <c r="K191" s="50"/>
    </row>
    <row r="192" spans="1:11" x14ac:dyDescent="0.25">
      <c r="A192" s="17"/>
      <c r="B192" s="7"/>
      <c r="C192" s="8" t="s">
        <v>103</v>
      </c>
      <c r="D192" s="9"/>
      <c r="E192" s="9"/>
      <c r="F192" s="9"/>
      <c r="G192" s="9"/>
      <c r="H192" s="9"/>
      <c r="I192" s="9"/>
      <c r="J192" s="45"/>
      <c r="K192" s="50"/>
    </row>
    <row r="193" spans="1:11" x14ac:dyDescent="0.25">
      <c r="A193" s="18"/>
      <c r="B193" s="10"/>
      <c r="C193" s="11" t="s">
        <v>104</v>
      </c>
      <c r="D193" s="12">
        <f>D186-D190</f>
        <v>0</v>
      </c>
      <c r="E193" s="12">
        <f>E186-E190</f>
        <v>1.3679999999999999</v>
      </c>
      <c r="F193" s="12">
        <f>F186-F190</f>
        <v>2.1120000000000001</v>
      </c>
      <c r="G193" s="12">
        <f>G186-G190</f>
        <v>2.1120000000000001</v>
      </c>
      <c r="H193" s="12">
        <f>H186-H190</f>
        <v>2.1120000000000001</v>
      </c>
      <c r="I193" s="12">
        <f>I186-I190</f>
        <v>2.1120000000000001</v>
      </c>
      <c r="J193" s="46">
        <f>J186-J190</f>
        <v>9.8160000000000007</v>
      </c>
      <c r="K193" s="51">
        <f>K186-K190</f>
        <v>6.6689999999999996</v>
      </c>
    </row>
    <row r="194" spans="1:11" x14ac:dyDescent="0.25">
      <c r="A194" s="18"/>
      <c r="B194" s="10"/>
      <c r="C194" s="11" t="s">
        <v>105</v>
      </c>
      <c r="D194" s="12">
        <f>D187-D190</f>
        <v>0</v>
      </c>
      <c r="E194" s="12">
        <f>E187-E190</f>
        <v>1.8719999999999999</v>
      </c>
      <c r="F194" s="12">
        <f>F187-F190</f>
        <v>2.8559999999999999</v>
      </c>
      <c r="G194" s="12">
        <f>G187-G190</f>
        <v>2.8559999999999999</v>
      </c>
      <c r="H194" s="12">
        <f>H187-H190</f>
        <v>2.8559999999999999</v>
      </c>
      <c r="I194" s="12">
        <f>I187-I190</f>
        <v>2.8559999999999999</v>
      </c>
      <c r="J194" s="46">
        <f>J187-J190</f>
        <v>13.296000000000001</v>
      </c>
      <c r="K194" s="50"/>
    </row>
    <row r="195" spans="1:11" x14ac:dyDescent="0.25">
      <c r="A195" s="18"/>
      <c r="B195" s="10"/>
      <c r="C195" s="11" t="s">
        <v>106</v>
      </c>
      <c r="D195" s="12">
        <f>D188-D191</f>
        <v>0</v>
      </c>
      <c r="E195" s="12">
        <f>E188-E191</f>
        <v>0</v>
      </c>
      <c r="F195" s="12">
        <f>F188-F191</f>
        <v>0</v>
      </c>
      <c r="G195" s="12">
        <f>G188-G191</f>
        <v>0</v>
      </c>
      <c r="H195" s="12">
        <f>H188-H191</f>
        <v>0</v>
      </c>
      <c r="I195" s="12">
        <f>I188-I191</f>
        <v>0</v>
      </c>
      <c r="J195" s="46">
        <f>J188-J191</f>
        <v>0</v>
      </c>
      <c r="K195" s="50"/>
    </row>
    <row r="196" spans="1:11" x14ac:dyDescent="0.25">
      <c r="A196" s="17"/>
      <c r="B196" s="7"/>
      <c r="C196" s="8" t="s">
        <v>107</v>
      </c>
      <c r="D196" s="9">
        <f>IFERROR(D195/D191,0)</f>
        <v>0</v>
      </c>
      <c r="E196" s="9">
        <f>IFERROR(E195/E191,0)</f>
        <v>0</v>
      </c>
      <c r="F196" s="9">
        <f>IFERROR(F195/F191,0)</f>
        <v>0</v>
      </c>
      <c r="G196" s="9">
        <f>IFERROR(G195/G191,0)</f>
        <v>0</v>
      </c>
      <c r="H196" s="9">
        <f>IFERROR(H195/H191,0)</f>
        <v>0</v>
      </c>
      <c r="I196" s="9">
        <f>IFERROR(I195/I191,0)</f>
        <v>0</v>
      </c>
      <c r="J196" s="45">
        <f>IFERROR(J195/J191,0)</f>
        <v>0</v>
      </c>
      <c r="K196" s="50">
        <f>IFERROR(K195/K191,0)</f>
        <v>0</v>
      </c>
    </row>
    <row r="197" spans="1:11" x14ac:dyDescent="0.25">
      <c r="A197" s="19"/>
      <c r="B197" s="19"/>
      <c r="C197" s="19"/>
      <c r="D197" s="19"/>
      <c r="E197" s="19"/>
      <c r="F197" s="19"/>
      <c r="G197" s="19"/>
      <c r="H197" s="19"/>
      <c r="I197" s="19"/>
      <c r="J197" s="47"/>
      <c r="K197" s="50"/>
    </row>
    <row r="198" spans="1:11" x14ac:dyDescent="0.25">
      <c r="A198" s="6" t="s">
        <v>689</v>
      </c>
      <c r="B198" s="7" t="s">
        <v>688</v>
      </c>
      <c r="C198" s="8" t="s">
        <v>94</v>
      </c>
      <c r="D198" s="9">
        <f>SUMIFS(Benefits!$S:$S,Benefits!$A:$A,$A$198,Benefits!$E:$E,"Revenue",Benefits!$F:$F,"USD",Benefits!$D:$D,"Plan Base")</f>
        <v>0</v>
      </c>
      <c r="E198" s="9">
        <f>SUMIFS(Benefits!$T:$T,Benefits!$A:$A,$A$198,Benefits!$E:$E,"Revenue",Benefits!$F:$F,"USD",Benefits!$D:$D,"Plan Base")</f>
        <v>0.65600000000000003</v>
      </c>
      <c r="F198" s="9">
        <f>SUMIFS(Benefits!$U:$U,Benefits!$A:$A,$A$198,Benefits!$E:$E,"Revenue",Benefits!$F:$F,"USD",Benefits!$D:$D,"Plan Base")</f>
        <v>1.968</v>
      </c>
      <c r="G198" s="9">
        <f>SUMIFS(Benefits!$V:$V,Benefits!$A:$A,$A$198,Benefits!$E:$E,"Revenue",Benefits!$F:$F,"USD",Benefits!$D:$D,"Plan Base")</f>
        <v>1.968</v>
      </c>
      <c r="H198" s="9">
        <f>SUMIFS(Benefits!$W:$W,Benefits!$A:$A,$A$198,Benefits!$E:$E,"Revenue",Benefits!$F:$F,"USD",Benefits!$D:$D,"Plan Base")</f>
        <v>1.968</v>
      </c>
      <c r="I198" s="9">
        <f>H198</f>
        <v>1.968</v>
      </c>
      <c r="J198" s="45">
        <f>SUM(D198:I198)</f>
        <v>8.5280000000000005</v>
      </c>
      <c r="K198" s="49">
        <v>8.5779999999999994</v>
      </c>
    </row>
    <row r="199" spans="1:11" x14ac:dyDescent="0.25">
      <c r="A199" s="17"/>
      <c r="B199" s="7"/>
      <c r="C199" s="8" t="s">
        <v>95</v>
      </c>
      <c r="D199" s="9">
        <f>SUMIFS(Benefits!$S:$S,Benefits!$A:$A,$A$198,Benefits!$E:$E,"Revenue",Benefits!$F:$F,"USD",Benefits!$D:$D,"Plan High")</f>
        <v>0</v>
      </c>
      <c r="E199" s="9">
        <f>SUMIFS(Benefits!$T:$T,Benefits!$A:$A,$A$198,Benefits!$E:$E,"Revenue",Benefits!$F:$F,"USD",Benefits!$D:$D,"Plan High")</f>
        <v>0.81599999999999995</v>
      </c>
      <c r="F199" s="9">
        <f>SUMIFS(Benefits!$U:$U,Benefits!$A:$A,$A$198,Benefits!$E:$E,"Revenue",Benefits!$F:$F,"USD",Benefits!$D:$D,"Plan High")</f>
        <v>2.464</v>
      </c>
      <c r="G199" s="9">
        <f>SUMIFS(Benefits!$V:$V,Benefits!$A:$A,$A$198,Benefits!$E:$E,"Revenue",Benefits!$F:$F,"USD",Benefits!$D:$D,"Plan High")</f>
        <v>2.464</v>
      </c>
      <c r="H199" s="9">
        <f>SUMIFS(Benefits!$W:$W,Benefits!$A:$A,$A$198,Benefits!$E:$E,"Revenue",Benefits!$F:$F,"USD",Benefits!$D:$D,"Plan High")</f>
        <v>2.464</v>
      </c>
      <c r="I199" s="9">
        <f>H199</f>
        <v>2.464</v>
      </c>
      <c r="J199" s="45">
        <f>SUM(D199:I199)</f>
        <v>10.672000000000001</v>
      </c>
      <c r="K199" s="50"/>
    </row>
    <row r="200" spans="1:11" x14ac:dyDescent="0.25">
      <c r="A200" s="17"/>
      <c r="B200" s="7"/>
      <c r="C200" s="8" t="s">
        <v>96</v>
      </c>
      <c r="D200" s="9">
        <f>SUMIFS(Benefits!$S:$S,Benefits!$A:$A,$A$198,Benefits!$E:$E,"Revenue",Benefits!$F:$F,"USD",Benefits!$D:$D,"Actual")</f>
        <v>0</v>
      </c>
      <c r="E200" s="9">
        <f>SUMIFS(Benefits!$T:$T,Benefits!$A:$A,$A$198,Benefits!$E:$E,"Revenue",Benefits!$F:$F,"USD",Benefits!$D:$D,"Actual")</f>
        <v>0</v>
      </c>
      <c r="F200" s="9">
        <f>SUMIFS(Benefits!$U:$U,Benefits!$A:$A,$A$198,Benefits!$E:$E,"Revenue",Benefits!$F:$F,"USD",Benefits!$D:$D,"Actual")</f>
        <v>0</v>
      </c>
      <c r="G200" s="9">
        <f>SUMIFS(Benefits!$V:$V,Benefits!$A:$A,$A$198,Benefits!$E:$E,"Revenue",Benefits!$F:$F,"USD",Benefits!$D:$D,"Actual")</f>
        <v>0</v>
      </c>
      <c r="H200" s="9">
        <f>SUMIFS(Benefits!$W:$W,Benefits!$A:$A,$A$198,Benefits!$E:$E,"Revenue",Benefits!$F:$F,"USD",Benefits!$D:$D,"Actual")</f>
        <v>0</v>
      </c>
      <c r="I200" s="9">
        <f>H200</f>
        <v>0</v>
      </c>
      <c r="J200" s="45">
        <f>SUM(D200:I200)</f>
        <v>0</v>
      </c>
      <c r="K200" s="50"/>
    </row>
    <row r="201" spans="1:11" x14ac:dyDescent="0.25">
      <c r="A201" s="17"/>
      <c r="B201" s="7"/>
      <c r="C201" s="8" t="s">
        <v>97</v>
      </c>
      <c r="D201" s="9">
        <f>SUMIFS(Benefits!$S:$S,Benefits!$A:$A,$A$198,Benefits!$E:$E,"Gross Margin",Benefits!$F:$F,"USD",Benefits!$D:$D,"Plan Base")</f>
        <v>0</v>
      </c>
      <c r="E201" s="9">
        <f>SUMIFS(Benefits!$T:$T,Benefits!$A:$A,$A$198,Benefits!$E:$E,"Gross Margin",Benefits!$F:$F,"USD",Benefits!$D:$D,"Plan Base")</f>
        <v>0.38400000000000001</v>
      </c>
      <c r="F201" s="9">
        <f>SUMIFS(Benefits!$U:$U,Benefits!$A:$A,$A$198,Benefits!$E:$E,"Gross Margin",Benefits!$F:$F,"USD",Benefits!$D:$D,"Plan Base")</f>
        <v>1.1359999999999999</v>
      </c>
      <c r="G201" s="9">
        <f>SUMIFS(Benefits!$V:$V,Benefits!$A:$A,$A$198,Benefits!$E:$E,"Gross Margin",Benefits!$F:$F,"USD",Benefits!$D:$D,"Plan Base")</f>
        <v>1.1359999999999999</v>
      </c>
      <c r="H201" s="9">
        <f>SUMIFS(Benefits!$W:$W,Benefits!$A:$A,$A$198,Benefits!$E:$E,"Gross Margin",Benefits!$F:$F,"USD",Benefits!$D:$D,"Plan Base")</f>
        <v>1.1359999999999999</v>
      </c>
      <c r="I201" s="9">
        <f>H201</f>
        <v>1.1359999999999999</v>
      </c>
      <c r="J201" s="45">
        <f>SUM(D201:I201)</f>
        <v>4.9279999999999999</v>
      </c>
      <c r="K201" s="49">
        <v>5.2770000000000001</v>
      </c>
    </row>
    <row r="202" spans="1:11" x14ac:dyDescent="0.25">
      <c r="A202" s="17"/>
      <c r="B202" s="7"/>
      <c r="C202" s="8" t="s">
        <v>98</v>
      </c>
      <c r="D202" s="9">
        <f>SUMIFS(Benefits!$S:$S,Benefits!$A:$A,$A$198,Benefits!$E:$E,"Gross Margin",Benefits!$F:$F,"USD",Benefits!$D:$D,"Plan High")</f>
        <v>0</v>
      </c>
      <c r="E202" s="9">
        <f>SUMIFS(Benefits!$T:$T,Benefits!$A:$A,$A$198,Benefits!$E:$E,"Gross Margin",Benefits!$F:$F,"USD",Benefits!$D:$D,"Plan High")</f>
        <v>0.51200000000000001</v>
      </c>
      <c r="F202" s="9">
        <f>SUMIFS(Benefits!$U:$U,Benefits!$A:$A,$A$198,Benefits!$E:$E,"Gross Margin",Benefits!$F:$F,"USD",Benefits!$D:$D,"Plan High")</f>
        <v>1.536</v>
      </c>
      <c r="G202" s="9">
        <f>SUMIFS(Benefits!$V:$V,Benefits!$A:$A,$A$198,Benefits!$E:$E,"Gross Margin",Benefits!$F:$F,"USD",Benefits!$D:$D,"Plan High")</f>
        <v>1.536</v>
      </c>
      <c r="H202" s="9">
        <f>SUMIFS(Benefits!$W:$W,Benefits!$A:$A,$A$198,Benefits!$E:$E,"Gross Margin",Benefits!$F:$F,"USD",Benefits!$D:$D,"Plan High")</f>
        <v>1.536</v>
      </c>
      <c r="I202" s="9">
        <f>H202</f>
        <v>1.536</v>
      </c>
      <c r="J202" s="45">
        <f>SUM(D202:I202)</f>
        <v>6.6560000000000006</v>
      </c>
      <c r="K202" s="50"/>
    </row>
    <row r="203" spans="1:11" x14ac:dyDescent="0.25">
      <c r="A203" s="17"/>
      <c r="B203" s="7"/>
      <c r="C203" s="8" t="s">
        <v>99</v>
      </c>
      <c r="D203" s="9">
        <f>SUMIFS(Benefits!$S:$S,Benefits!$A:$A,$A$198,Benefits!$E:$E,"Gross Margin",Benefits!$F:$F,"USD",Benefits!$D:$D,"Actual")</f>
        <v>0</v>
      </c>
      <c r="E203" s="9">
        <f>SUMIFS(Benefits!$T:$T,Benefits!$A:$A,$A$198,Benefits!$E:$E,"Gross Margin",Benefits!$F:$F,"USD",Benefits!$D:$D,"Actual")</f>
        <v>0</v>
      </c>
      <c r="F203" s="9">
        <f>SUMIFS(Benefits!$U:$U,Benefits!$A:$A,$A$198,Benefits!$E:$E,"Gross Margin",Benefits!$F:$F,"USD",Benefits!$D:$D,"Actual")</f>
        <v>0</v>
      </c>
      <c r="G203" s="9">
        <f>SUMIFS(Benefits!$V:$V,Benefits!$A:$A,$A$198,Benefits!$E:$E,"Gross Margin",Benefits!$F:$F,"USD",Benefits!$D:$D,"Actual")</f>
        <v>0</v>
      </c>
      <c r="H203" s="9">
        <f>SUMIFS(Benefits!$W:$W,Benefits!$A:$A,$A$198,Benefits!$E:$E,"Gross Margin",Benefits!$F:$F,"USD",Benefits!$D:$D,"Actual")</f>
        <v>0</v>
      </c>
      <c r="I203" s="9">
        <f>H203</f>
        <v>0</v>
      </c>
      <c r="J203" s="45">
        <f>SUM(D203:I203)</f>
        <v>0</v>
      </c>
      <c r="K203" s="50"/>
    </row>
    <row r="204" spans="1:11" x14ac:dyDescent="0.25">
      <c r="A204" s="17"/>
      <c r="B204" s="7"/>
      <c r="C204" s="8" t="s">
        <v>100</v>
      </c>
      <c r="D204" s="9"/>
      <c r="E204" s="9"/>
      <c r="F204" s="9"/>
      <c r="G204" s="9"/>
      <c r="H204" s="9"/>
      <c r="I204" s="9"/>
      <c r="J204" s="45"/>
      <c r="K204" s="50"/>
    </row>
    <row r="205" spans="1:11" x14ac:dyDescent="0.25">
      <c r="A205" s="18"/>
      <c r="B205" s="10"/>
      <c r="C205" s="11" t="s">
        <v>101</v>
      </c>
      <c r="D205" s="12">
        <f>SUMIFS(Costs!$AB:$AB,Costs!$A:$A,$A$198,Costs!$D:$D,"Plan")</f>
        <v>0</v>
      </c>
      <c r="E205" s="12">
        <f>SUMIFS(Costs!$AC:$AC,Costs!$A:$A,$A$198,Costs!$D:$D,"Plan")</f>
        <v>0</v>
      </c>
      <c r="F205" s="12">
        <f>SUMIFS(Costs!$AD:$AD,Costs!$A:$A,$A$198,Costs!$D:$D,"Plan")</f>
        <v>0</v>
      </c>
      <c r="G205" s="12">
        <f>SUMIFS(Costs!$AE:$AE,Costs!$A:$A,$A$198,Costs!$D:$D,"Plan")</f>
        <v>0</v>
      </c>
      <c r="H205" s="12">
        <f>SUMIFS(Costs!$AF:$AF,Costs!$A:$A,$A$198,Costs!$D:$D,"Plan")</f>
        <v>0</v>
      </c>
      <c r="I205" s="12">
        <f>H205</f>
        <v>0</v>
      </c>
      <c r="J205" s="46">
        <f>SUM(D205:I205)</f>
        <v>0</v>
      </c>
      <c r="K205" s="51">
        <v>0</v>
      </c>
    </row>
    <row r="206" spans="1:11" x14ac:dyDescent="0.25">
      <c r="A206" s="17"/>
      <c r="B206" s="7"/>
      <c r="C206" s="8" t="s">
        <v>102</v>
      </c>
      <c r="D206" s="9">
        <f>SUMIFS(Costs!$AB:$AB,Costs!$A:$A,$A$198,Costs!$D:$D,"Actual")</f>
        <v>0</v>
      </c>
      <c r="E206" s="9">
        <f>SUMIFS(Costs!$AC:$AC,Costs!$A:$A,$A$198,Costs!$D:$D,"Actual")</f>
        <v>0</v>
      </c>
      <c r="F206" s="9">
        <f>SUMIFS(Costs!$AD:$AD,Costs!$A:$A,$A$198,Costs!$D:$D,"Actual")</f>
        <v>0</v>
      </c>
      <c r="G206" s="9">
        <f>SUMIFS(Costs!$AE:$AE,Costs!$A:$A,$A$198,Costs!$D:$D,"Actual")</f>
        <v>0</v>
      </c>
      <c r="H206" s="9">
        <f>SUMIFS(Costs!$AF:$AF,Costs!$A:$A,$A$198,Costs!$D:$D,"Actual")</f>
        <v>0</v>
      </c>
      <c r="I206" s="9">
        <f>H206</f>
        <v>0</v>
      </c>
      <c r="J206" s="45">
        <f>SUM(D206:I206)</f>
        <v>0</v>
      </c>
      <c r="K206" s="50"/>
    </row>
    <row r="207" spans="1:11" x14ac:dyDescent="0.25">
      <c r="A207" s="17"/>
      <c r="B207" s="7"/>
      <c r="C207" s="8" t="s">
        <v>103</v>
      </c>
      <c r="D207" s="9"/>
      <c r="E207" s="9"/>
      <c r="F207" s="9"/>
      <c r="G207" s="9"/>
      <c r="H207" s="9"/>
      <c r="I207" s="9"/>
      <c r="J207" s="45"/>
      <c r="K207" s="50"/>
    </row>
    <row r="208" spans="1:11" x14ac:dyDescent="0.25">
      <c r="A208" s="18"/>
      <c r="B208" s="10"/>
      <c r="C208" s="11" t="s">
        <v>104</v>
      </c>
      <c r="D208" s="12">
        <f>D201-D205</f>
        <v>0</v>
      </c>
      <c r="E208" s="12">
        <f>E201-E205</f>
        <v>0.38400000000000001</v>
      </c>
      <c r="F208" s="12">
        <f>F201-F205</f>
        <v>1.1359999999999999</v>
      </c>
      <c r="G208" s="12">
        <f>G201-G205</f>
        <v>1.1359999999999999</v>
      </c>
      <c r="H208" s="12">
        <f>H201-H205</f>
        <v>1.1359999999999999</v>
      </c>
      <c r="I208" s="12">
        <f>I201-I205</f>
        <v>1.1359999999999999</v>
      </c>
      <c r="J208" s="46">
        <f>J201-J205</f>
        <v>4.9279999999999999</v>
      </c>
      <c r="K208" s="51">
        <f>K201-K205</f>
        <v>5.2770000000000001</v>
      </c>
    </row>
    <row r="209" spans="1:11" x14ac:dyDescent="0.25">
      <c r="A209" s="18"/>
      <c r="B209" s="10"/>
      <c r="C209" s="11" t="s">
        <v>105</v>
      </c>
      <c r="D209" s="12">
        <f>D202-D205</f>
        <v>0</v>
      </c>
      <c r="E209" s="12">
        <f>E202-E205</f>
        <v>0.51200000000000001</v>
      </c>
      <c r="F209" s="12">
        <f>F202-F205</f>
        <v>1.536</v>
      </c>
      <c r="G209" s="12">
        <f>G202-G205</f>
        <v>1.536</v>
      </c>
      <c r="H209" s="12">
        <f>H202-H205</f>
        <v>1.536</v>
      </c>
      <c r="I209" s="12">
        <f>I202-I205</f>
        <v>1.536</v>
      </c>
      <c r="J209" s="46">
        <f>J202-J205</f>
        <v>6.6560000000000006</v>
      </c>
      <c r="K209" s="50"/>
    </row>
    <row r="210" spans="1:11" x14ac:dyDescent="0.25">
      <c r="A210" s="18"/>
      <c r="B210" s="10"/>
      <c r="C210" s="11" t="s">
        <v>106</v>
      </c>
      <c r="D210" s="12">
        <f>D203-D206</f>
        <v>0</v>
      </c>
      <c r="E210" s="12">
        <f>E203-E206</f>
        <v>0</v>
      </c>
      <c r="F210" s="12">
        <f>F203-F206</f>
        <v>0</v>
      </c>
      <c r="G210" s="12">
        <f>G203-G206</f>
        <v>0</v>
      </c>
      <c r="H210" s="12">
        <f>H203-H206</f>
        <v>0</v>
      </c>
      <c r="I210" s="12">
        <f>I203-I206</f>
        <v>0</v>
      </c>
      <c r="J210" s="46">
        <f>J203-J206</f>
        <v>0</v>
      </c>
      <c r="K210" s="50"/>
    </row>
    <row r="211" spans="1:11" x14ac:dyDescent="0.25">
      <c r="A211" s="17"/>
      <c r="B211" s="7"/>
      <c r="C211" s="8" t="s">
        <v>107</v>
      </c>
      <c r="D211" s="9">
        <f>IFERROR(D210/D206,0)</f>
        <v>0</v>
      </c>
      <c r="E211" s="9">
        <f>IFERROR(E210/E206,0)</f>
        <v>0</v>
      </c>
      <c r="F211" s="9">
        <f>IFERROR(F210/F206,0)</f>
        <v>0</v>
      </c>
      <c r="G211" s="9">
        <f>IFERROR(G210/G206,0)</f>
        <v>0</v>
      </c>
      <c r="H211" s="9">
        <f>IFERROR(H210/H206,0)</f>
        <v>0</v>
      </c>
      <c r="I211" s="9">
        <f>IFERROR(I210/I206,0)</f>
        <v>0</v>
      </c>
      <c r="J211" s="45">
        <f>IFERROR(J210/J206,0)</f>
        <v>0</v>
      </c>
      <c r="K211" s="50">
        <f>IFERROR(K210/K206,0)</f>
        <v>0</v>
      </c>
    </row>
    <row r="212" spans="1:11" x14ac:dyDescent="0.25">
      <c r="A212" s="19"/>
      <c r="B212" s="19"/>
      <c r="C212" s="19"/>
      <c r="D212" s="19"/>
      <c r="E212" s="19"/>
      <c r="F212" s="19"/>
      <c r="G212" s="19"/>
      <c r="H212" s="19"/>
      <c r="I212" s="19"/>
      <c r="J212" s="47"/>
      <c r="K212" s="50"/>
    </row>
    <row r="213" spans="1:11" x14ac:dyDescent="0.25">
      <c r="A213" s="6" t="s">
        <v>693</v>
      </c>
      <c r="B213" s="7" t="s">
        <v>692</v>
      </c>
      <c r="C213" s="8" t="s">
        <v>94</v>
      </c>
      <c r="D213" s="9">
        <f>SUMIFS(Benefits!$S:$S,Benefits!$A:$A,$A$213,Benefits!$E:$E,"Revenue",Benefits!$F:$F,"USD",Benefits!$D:$D,"Plan Base")</f>
        <v>0.57199999999999995</v>
      </c>
      <c r="E213" s="9">
        <f>SUMIFS(Benefits!$T:$T,Benefits!$A:$A,$A$213,Benefits!$E:$E,"Revenue",Benefits!$F:$F,"USD",Benefits!$D:$D,"Plan Base")</f>
        <v>1.21</v>
      </c>
      <c r="F213" s="9">
        <f>SUMIFS(Benefits!$U:$U,Benefits!$A:$A,$A$213,Benefits!$E:$E,"Revenue",Benefits!$F:$F,"USD",Benefits!$D:$D,"Plan Base")</f>
        <v>1.21</v>
      </c>
      <c r="G213" s="9">
        <f>SUMIFS(Benefits!$V:$V,Benefits!$A:$A,$A$213,Benefits!$E:$E,"Revenue",Benefits!$F:$F,"USD",Benefits!$D:$D,"Plan Base")</f>
        <v>1.21</v>
      </c>
      <c r="H213" s="9">
        <f>SUMIFS(Benefits!$W:$W,Benefits!$A:$A,$A$213,Benefits!$E:$E,"Revenue",Benefits!$F:$F,"USD",Benefits!$D:$D,"Plan Base")</f>
        <v>1.21</v>
      </c>
      <c r="I213" s="9">
        <f>H213</f>
        <v>1.21</v>
      </c>
      <c r="J213" s="45">
        <f>SUM(D213:I213)</f>
        <v>6.6219999999999999</v>
      </c>
      <c r="K213" s="49">
        <v>5.9859999999999998</v>
      </c>
    </row>
    <row r="214" spans="1:11" x14ac:dyDescent="0.25">
      <c r="A214" s="17"/>
      <c r="B214" s="7"/>
      <c r="C214" s="8" t="s">
        <v>95</v>
      </c>
      <c r="D214" s="9">
        <f>SUMIFS(Benefits!$S:$S,Benefits!$A:$A,$A$213,Benefits!$E:$E,"Revenue",Benefits!$F:$F,"USD",Benefits!$D:$D,"Plan High")</f>
        <v>0.85799999999999998</v>
      </c>
      <c r="E214" s="9">
        <f>SUMIFS(Benefits!$T:$T,Benefits!$A:$A,$A$213,Benefits!$E:$E,"Revenue",Benefits!$F:$F,"USD",Benefits!$D:$D,"Plan High")</f>
        <v>1.716</v>
      </c>
      <c r="F214" s="9">
        <f>SUMIFS(Benefits!$U:$U,Benefits!$A:$A,$A$213,Benefits!$E:$E,"Revenue",Benefits!$F:$F,"USD",Benefits!$D:$D,"Plan High")</f>
        <v>1.716</v>
      </c>
      <c r="G214" s="9">
        <f>SUMIFS(Benefits!$V:$V,Benefits!$A:$A,$A$213,Benefits!$E:$E,"Revenue",Benefits!$F:$F,"USD",Benefits!$D:$D,"Plan High")</f>
        <v>1.716</v>
      </c>
      <c r="H214" s="9">
        <f>SUMIFS(Benefits!$W:$W,Benefits!$A:$A,$A$213,Benefits!$E:$E,"Revenue",Benefits!$F:$F,"USD",Benefits!$D:$D,"Plan High")</f>
        <v>1.716</v>
      </c>
      <c r="I214" s="9">
        <f>H214</f>
        <v>1.716</v>
      </c>
      <c r="J214" s="45">
        <f>SUM(D214:I214)</f>
        <v>9.4380000000000006</v>
      </c>
      <c r="K214" s="50"/>
    </row>
    <row r="215" spans="1:11" x14ac:dyDescent="0.25">
      <c r="A215" s="17"/>
      <c r="B215" s="7"/>
      <c r="C215" s="8" t="s">
        <v>96</v>
      </c>
      <c r="D215" s="9">
        <f>SUMIFS(Benefits!$S:$S,Benefits!$A:$A,$A$213,Benefits!$E:$E,"Revenue",Benefits!$F:$F,"USD",Benefits!$D:$D,"Actual")</f>
        <v>0</v>
      </c>
      <c r="E215" s="9">
        <f>SUMIFS(Benefits!$T:$T,Benefits!$A:$A,$A$213,Benefits!$E:$E,"Revenue",Benefits!$F:$F,"USD",Benefits!$D:$D,"Actual")</f>
        <v>0</v>
      </c>
      <c r="F215" s="9">
        <f>SUMIFS(Benefits!$U:$U,Benefits!$A:$A,$A$213,Benefits!$E:$E,"Revenue",Benefits!$F:$F,"USD",Benefits!$D:$D,"Actual")</f>
        <v>0</v>
      </c>
      <c r="G215" s="9">
        <f>SUMIFS(Benefits!$V:$V,Benefits!$A:$A,$A$213,Benefits!$E:$E,"Revenue",Benefits!$F:$F,"USD",Benefits!$D:$D,"Actual")</f>
        <v>0</v>
      </c>
      <c r="H215" s="9">
        <f>SUMIFS(Benefits!$W:$W,Benefits!$A:$A,$A$213,Benefits!$E:$E,"Revenue",Benefits!$F:$F,"USD",Benefits!$D:$D,"Actual")</f>
        <v>0</v>
      </c>
      <c r="I215" s="9">
        <f>H215</f>
        <v>0</v>
      </c>
      <c r="J215" s="45">
        <f>SUM(D215:I215)</f>
        <v>0</v>
      </c>
      <c r="K215" s="50"/>
    </row>
    <row r="216" spans="1:11" x14ac:dyDescent="0.25">
      <c r="A216" s="17"/>
      <c r="B216" s="7"/>
      <c r="C216" s="8" t="s">
        <v>97</v>
      </c>
      <c r="D216" s="9">
        <f>SUMIFS(Benefits!$S:$S,Benefits!$A:$A,$A$213,Benefits!$E:$E,"Gross Margin",Benefits!$F:$F,"USD",Benefits!$D:$D,"Plan Base")</f>
        <v>0.308</v>
      </c>
      <c r="E216" s="9">
        <f>SUMIFS(Benefits!$T:$T,Benefits!$A:$A,$A$213,Benefits!$E:$E,"Gross Margin",Benefits!$F:$F,"USD",Benefits!$D:$D,"Plan Base")</f>
        <v>0.79200000000000004</v>
      </c>
      <c r="F216" s="9">
        <f>SUMIFS(Benefits!$U:$U,Benefits!$A:$A,$A$213,Benefits!$E:$E,"Gross Margin",Benefits!$F:$F,"USD",Benefits!$D:$D,"Plan Base")</f>
        <v>0.79200000000000004</v>
      </c>
      <c r="G216" s="9">
        <f>SUMIFS(Benefits!$V:$V,Benefits!$A:$A,$A$213,Benefits!$E:$E,"Gross Margin",Benefits!$F:$F,"USD",Benefits!$D:$D,"Plan Base")</f>
        <v>0.79200000000000004</v>
      </c>
      <c r="H216" s="9">
        <f>SUMIFS(Benefits!$W:$W,Benefits!$A:$A,$A$213,Benefits!$E:$E,"Gross Margin",Benefits!$F:$F,"USD",Benefits!$D:$D,"Plan Base")</f>
        <v>0.79200000000000004</v>
      </c>
      <c r="I216" s="9">
        <f>H216</f>
        <v>0.79200000000000004</v>
      </c>
      <c r="J216" s="45">
        <f>SUM(D216:I216)</f>
        <v>4.2679999999999998</v>
      </c>
      <c r="K216" s="49">
        <v>3.2160000000000002</v>
      </c>
    </row>
    <row r="217" spans="1:11" x14ac:dyDescent="0.25">
      <c r="A217" s="17"/>
      <c r="B217" s="7"/>
      <c r="C217" s="8" t="s">
        <v>98</v>
      </c>
      <c r="D217" s="9">
        <f>SUMIFS(Benefits!$S:$S,Benefits!$A:$A,$A$213,Benefits!$E:$E,"Gross Margin",Benefits!$F:$F,"USD",Benefits!$D:$D,"Plan High")</f>
        <v>0.39600000000000002</v>
      </c>
      <c r="E217" s="9">
        <f>SUMIFS(Benefits!$T:$T,Benefits!$A:$A,$A$213,Benefits!$E:$E,"Gross Margin",Benefits!$F:$F,"USD",Benefits!$D:$D,"Plan High")</f>
        <v>1.1220000000000001</v>
      </c>
      <c r="F217" s="9">
        <f>SUMIFS(Benefits!$U:$U,Benefits!$A:$A,$A$213,Benefits!$E:$E,"Gross Margin",Benefits!$F:$F,"USD",Benefits!$D:$D,"Plan High")</f>
        <v>1.1220000000000001</v>
      </c>
      <c r="G217" s="9">
        <f>SUMIFS(Benefits!$V:$V,Benefits!$A:$A,$A$213,Benefits!$E:$E,"Gross Margin",Benefits!$F:$F,"USD",Benefits!$D:$D,"Plan High")</f>
        <v>1.1220000000000001</v>
      </c>
      <c r="H217" s="9">
        <f>SUMIFS(Benefits!$W:$W,Benefits!$A:$A,$A$213,Benefits!$E:$E,"Gross Margin",Benefits!$F:$F,"USD",Benefits!$D:$D,"Plan High")</f>
        <v>1.1220000000000001</v>
      </c>
      <c r="I217" s="9">
        <f>H217</f>
        <v>1.1220000000000001</v>
      </c>
      <c r="J217" s="45">
        <f>SUM(D217:I217)</f>
        <v>6.0060000000000002</v>
      </c>
      <c r="K217" s="50"/>
    </row>
    <row r="218" spans="1:11" x14ac:dyDescent="0.25">
      <c r="A218" s="17"/>
      <c r="B218" s="7"/>
      <c r="C218" s="8" t="s">
        <v>99</v>
      </c>
      <c r="D218" s="9">
        <f>SUMIFS(Benefits!$S:$S,Benefits!$A:$A,$A$213,Benefits!$E:$E,"Gross Margin",Benefits!$F:$F,"USD",Benefits!$D:$D,"Actual")</f>
        <v>0</v>
      </c>
      <c r="E218" s="9">
        <f>SUMIFS(Benefits!$T:$T,Benefits!$A:$A,$A$213,Benefits!$E:$E,"Gross Margin",Benefits!$F:$F,"USD",Benefits!$D:$D,"Actual")</f>
        <v>0</v>
      </c>
      <c r="F218" s="9">
        <f>SUMIFS(Benefits!$U:$U,Benefits!$A:$A,$A$213,Benefits!$E:$E,"Gross Margin",Benefits!$F:$F,"USD",Benefits!$D:$D,"Actual")</f>
        <v>0</v>
      </c>
      <c r="G218" s="9">
        <f>SUMIFS(Benefits!$V:$V,Benefits!$A:$A,$A$213,Benefits!$E:$E,"Gross Margin",Benefits!$F:$F,"USD",Benefits!$D:$D,"Actual")</f>
        <v>0</v>
      </c>
      <c r="H218" s="9">
        <f>SUMIFS(Benefits!$W:$W,Benefits!$A:$A,$A$213,Benefits!$E:$E,"Gross Margin",Benefits!$F:$F,"USD",Benefits!$D:$D,"Actual")</f>
        <v>0</v>
      </c>
      <c r="I218" s="9">
        <f>H218</f>
        <v>0</v>
      </c>
      <c r="J218" s="45">
        <f>SUM(D218:I218)</f>
        <v>0</v>
      </c>
      <c r="K218" s="50"/>
    </row>
    <row r="219" spans="1:11" x14ac:dyDescent="0.25">
      <c r="A219" s="17"/>
      <c r="B219" s="7"/>
      <c r="C219" s="8" t="s">
        <v>100</v>
      </c>
      <c r="D219" s="9"/>
      <c r="E219" s="9"/>
      <c r="F219" s="9"/>
      <c r="G219" s="9"/>
      <c r="H219" s="9"/>
      <c r="I219" s="9"/>
      <c r="J219" s="45"/>
      <c r="K219" s="50"/>
    </row>
    <row r="220" spans="1:11" x14ac:dyDescent="0.25">
      <c r="A220" s="18"/>
      <c r="B220" s="10"/>
      <c r="C220" s="11" t="s">
        <v>101</v>
      </c>
      <c r="D220" s="12">
        <f>SUMIFS(Costs!$AB:$AB,Costs!$A:$A,$A$213,Costs!$D:$D,"Plan")</f>
        <v>0.68200000000000005</v>
      </c>
      <c r="E220" s="12">
        <f>SUMIFS(Costs!$AC:$AC,Costs!$A:$A,$A$213,Costs!$D:$D,"Plan")</f>
        <v>0.70399999999999996</v>
      </c>
      <c r="F220" s="12">
        <f>SUMIFS(Costs!$AD:$AD,Costs!$A:$A,$A$213,Costs!$D:$D,"Plan")</f>
        <v>0.70399999999999996</v>
      </c>
      <c r="G220" s="12">
        <f>SUMIFS(Costs!$AE:$AE,Costs!$A:$A,$A$213,Costs!$D:$D,"Plan")</f>
        <v>0.70399999999999996</v>
      </c>
      <c r="H220" s="12">
        <f>SUMIFS(Costs!$AF:$AF,Costs!$A:$A,$A$213,Costs!$D:$D,"Plan")</f>
        <v>0.70399999999999996</v>
      </c>
      <c r="I220" s="12">
        <f>H220</f>
        <v>0.70399999999999996</v>
      </c>
      <c r="J220" s="46">
        <f>SUM(D220:I220)</f>
        <v>4.2019999999999991</v>
      </c>
      <c r="K220" s="51">
        <v>2.5409999999999999</v>
      </c>
    </row>
    <row r="221" spans="1:11" x14ac:dyDescent="0.25">
      <c r="A221" s="17"/>
      <c r="B221" s="7"/>
      <c r="C221" s="8" t="s">
        <v>102</v>
      </c>
      <c r="D221" s="9">
        <f>SUMIFS(Costs!$AB:$AB,Costs!$A:$A,$A$213,Costs!$D:$D,"Actual")</f>
        <v>0</v>
      </c>
      <c r="E221" s="9">
        <f>SUMIFS(Costs!$AC:$AC,Costs!$A:$A,$A$213,Costs!$D:$D,"Actual")</f>
        <v>0</v>
      </c>
      <c r="F221" s="9">
        <f>SUMIFS(Costs!$AD:$AD,Costs!$A:$A,$A$213,Costs!$D:$D,"Actual")</f>
        <v>0</v>
      </c>
      <c r="G221" s="9">
        <f>SUMIFS(Costs!$AE:$AE,Costs!$A:$A,$A$213,Costs!$D:$D,"Actual")</f>
        <v>0</v>
      </c>
      <c r="H221" s="9">
        <f>SUMIFS(Costs!$AF:$AF,Costs!$A:$A,$A$213,Costs!$D:$D,"Actual")</f>
        <v>0</v>
      </c>
      <c r="I221" s="9">
        <f>H221</f>
        <v>0</v>
      </c>
      <c r="J221" s="45">
        <f>SUM(D221:I221)</f>
        <v>0</v>
      </c>
      <c r="K221" s="50"/>
    </row>
    <row r="222" spans="1:11" x14ac:dyDescent="0.25">
      <c r="A222" s="17"/>
      <c r="B222" s="7"/>
      <c r="C222" s="8" t="s">
        <v>103</v>
      </c>
      <c r="D222" s="9"/>
      <c r="E222" s="9"/>
      <c r="F222" s="9"/>
      <c r="G222" s="9"/>
      <c r="H222" s="9"/>
      <c r="I222" s="9"/>
      <c r="J222" s="45"/>
      <c r="K222" s="50"/>
    </row>
    <row r="223" spans="1:11" x14ac:dyDescent="0.25">
      <c r="A223" s="18"/>
      <c r="B223" s="10"/>
      <c r="C223" s="11" t="s">
        <v>104</v>
      </c>
      <c r="D223" s="12">
        <f>D216-D220</f>
        <v>-0.37400000000000005</v>
      </c>
      <c r="E223" s="12">
        <f>E216-E220</f>
        <v>8.8000000000000078E-2</v>
      </c>
      <c r="F223" s="12">
        <f>F216-F220</f>
        <v>8.8000000000000078E-2</v>
      </c>
      <c r="G223" s="12">
        <f>G216-G220</f>
        <v>8.8000000000000078E-2</v>
      </c>
      <c r="H223" s="12">
        <f>H216-H220</f>
        <v>8.8000000000000078E-2</v>
      </c>
      <c r="I223" s="12">
        <f>I216-I220</f>
        <v>8.8000000000000078E-2</v>
      </c>
      <c r="J223" s="46">
        <f>J216-J220</f>
        <v>6.6000000000000725E-2</v>
      </c>
      <c r="K223" s="51">
        <f>K216-K220</f>
        <v>0.67500000000000027</v>
      </c>
    </row>
    <row r="224" spans="1:11" x14ac:dyDescent="0.25">
      <c r="A224" s="18"/>
      <c r="B224" s="10"/>
      <c r="C224" s="11" t="s">
        <v>105</v>
      </c>
      <c r="D224" s="12">
        <f>D217-D220</f>
        <v>-0.28600000000000003</v>
      </c>
      <c r="E224" s="12">
        <f>E217-E220</f>
        <v>0.41800000000000015</v>
      </c>
      <c r="F224" s="12">
        <f>F217-F220</f>
        <v>0.41800000000000015</v>
      </c>
      <c r="G224" s="12">
        <f>G217-G220</f>
        <v>0.41800000000000015</v>
      </c>
      <c r="H224" s="12">
        <f>H217-H220</f>
        <v>0.41800000000000015</v>
      </c>
      <c r="I224" s="12">
        <f>I217-I220</f>
        <v>0.41800000000000015</v>
      </c>
      <c r="J224" s="46">
        <f>J217-J220</f>
        <v>1.8040000000000012</v>
      </c>
      <c r="K224" s="50"/>
    </row>
    <row r="225" spans="1:11" x14ac:dyDescent="0.25">
      <c r="A225" s="18"/>
      <c r="B225" s="10"/>
      <c r="C225" s="11" t="s">
        <v>106</v>
      </c>
      <c r="D225" s="12">
        <f>D218-D221</f>
        <v>0</v>
      </c>
      <c r="E225" s="12">
        <f>E218-E221</f>
        <v>0</v>
      </c>
      <c r="F225" s="12">
        <f>F218-F221</f>
        <v>0</v>
      </c>
      <c r="G225" s="12">
        <f>G218-G221</f>
        <v>0</v>
      </c>
      <c r="H225" s="12">
        <f>H218-H221</f>
        <v>0</v>
      </c>
      <c r="I225" s="12">
        <f>I218-I221</f>
        <v>0</v>
      </c>
      <c r="J225" s="46">
        <f>J218-J221</f>
        <v>0</v>
      </c>
      <c r="K225" s="50"/>
    </row>
    <row r="226" spans="1:11" x14ac:dyDescent="0.25">
      <c r="A226" s="17"/>
      <c r="B226" s="7"/>
      <c r="C226" s="8" t="s">
        <v>107</v>
      </c>
      <c r="D226" s="9">
        <f>IFERROR(D225/D221,0)</f>
        <v>0</v>
      </c>
      <c r="E226" s="9">
        <f>IFERROR(E225/E221,0)</f>
        <v>0</v>
      </c>
      <c r="F226" s="9">
        <f>IFERROR(F225/F221,0)</f>
        <v>0</v>
      </c>
      <c r="G226" s="9">
        <f>IFERROR(G225/G221,0)</f>
        <v>0</v>
      </c>
      <c r="H226" s="9">
        <f>IFERROR(H225/H221,0)</f>
        <v>0</v>
      </c>
      <c r="I226" s="9">
        <f>IFERROR(I225/I221,0)</f>
        <v>0</v>
      </c>
      <c r="J226" s="45">
        <f>IFERROR(J225/J221,0)</f>
        <v>0</v>
      </c>
      <c r="K226" s="50">
        <f>IFERROR(K225/K221,0)</f>
        <v>0</v>
      </c>
    </row>
    <row r="227" spans="1:11" x14ac:dyDescent="0.25">
      <c r="A227" s="19"/>
      <c r="B227" s="19"/>
      <c r="C227" s="19"/>
      <c r="D227" s="19"/>
      <c r="E227" s="19"/>
      <c r="F227" s="19"/>
      <c r="G227" s="19"/>
      <c r="H227" s="19"/>
      <c r="I227" s="19"/>
      <c r="J227" s="47"/>
      <c r="K227" s="50"/>
    </row>
    <row r="228" spans="1:11" x14ac:dyDescent="0.25">
      <c r="A228" s="6" t="s">
        <v>696</v>
      </c>
      <c r="B228" s="7" t="s">
        <v>695</v>
      </c>
      <c r="C228" s="8" t="s">
        <v>94</v>
      </c>
      <c r="D228" s="9">
        <f>SUMIFS(Benefits!$S:$S,Benefits!$A:$A,$A$228,Benefits!$E:$E,"Revenue",Benefits!$F:$F,"USD",Benefits!$D:$D,"Plan Base")</f>
        <v>0</v>
      </c>
      <c r="E228" s="9">
        <f>SUMIFS(Benefits!$T:$T,Benefits!$A:$A,$A$228,Benefits!$E:$E,"Revenue",Benefits!$F:$F,"USD",Benefits!$D:$D,"Plan Base")</f>
        <v>0</v>
      </c>
      <c r="F228" s="9">
        <f>SUMIFS(Benefits!$U:$U,Benefits!$A:$A,$A$228,Benefits!$E:$E,"Revenue",Benefits!$F:$F,"USD",Benefits!$D:$D,"Plan Base")</f>
        <v>0</v>
      </c>
      <c r="G228" s="9">
        <f>SUMIFS(Benefits!$V:$V,Benefits!$A:$A,$A$228,Benefits!$E:$E,"Revenue",Benefits!$F:$F,"USD",Benefits!$D:$D,"Plan Base")</f>
        <v>0</v>
      </c>
      <c r="H228" s="9">
        <f>SUMIFS(Benefits!$W:$W,Benefits!$A:$A,$A$228,Benefits!$E:$E,"Revenue",Benefits!$F:$F,"USD",Benefits!$D:$D,"Plan Base")</f>
        <v>0</v>
      </c>
      <c r="I228" s="9">
        <f>H228</f>
        <v>0</v>
      </c>
      <c r="J228" s="45">
        <f>SUM(D228:I228)</f>
        <v>0</v>
      </c>
      <c r="K228" s="49">
        <v>0</v>
      </c>
    </row>
    <row r="229" spans="1:11" x14ac:dyDescent="0.25">
      <c r="A229" s="17"/>
      <c r="B229" s="7"/>
      <c r="C229" s="8" t="s">
        <v>95</v>
      </c>
      <c r="D229" s="9">
        <f>SUMIFS(Benefits!$S:$S,Benefits!$A:$A,$A$228,Benefits!$E:$E,"Revenue",Benefits!$F:$F,"USD",Benefits!$D:$D,"Plan High")</f>
        <v>0</v>
      </c>
      <c r="E229" s="9">
        <f>SUMIFS(Benefits!$T:$T,Benefits!$A:$A,$A$228,Benefits!$E:$E,"Revenue",Benefits!$F:$F,"USD",Benefits!$D:$D,"Plan High")</f>
        <v>0</v>
      </c>
      <c r="F229" s="9">
        <f>SUMIFS(Benefits!$U:$U,Benefits!$A:$A,$A$228,Benefits!$E:$E,"Revenue",Benefits!$F:$F,"USD",Benefits!$D:$D,"Plan High")</f>
        <v>0</v>
      </c>
      <c r="G229" s="9">
        <f>SUMIFS(Benefits!$V:$V,Benefits!$A:$A,$A$228,Benefits!$E:$E,"Revenue",Benefits!$F:$F,"USD",Benefits!$D:$D,"Plan High")</f>
        <v>0</v>
      </c>
      <c r="H229" s="9">
        <f>SUMIFS(Benefits!$W:$W,Benefits!$A:$A,$A$228,Benefits!$E:$E,"Revenue",Benefits!$F:$F,"USD",Benefits!$D:$D,"Plan High")</f>
        <v>0</v>
      </c>
      <c r="I229" s="9">
        <f>H229</f>
        <v>0</v>
      </c>
      <c r="J229" s="45">
        <f>SUM(D229:I229)</f>
        <v>0</v>
      </c>
      <c r="K229" s="50">
        <v>0</v>
      </c>
    </row>
    <row r="230" spans="1:11" x14ac:dyDescent="0.25">
      <c r="A230" s="17"/>
      <c r="B230" s="7"/>
      <c r="C230" s="8" t="s">
        <v>96</v>
      </c>
      <c r="D230" s="9">
        <f>SUMIFS(Benefits!$S:$S,Benefits!$A:$A,$A$228,Benefits!$E:$E,"Revenue",Benefits!$F:$F,"USD",Benefits!$D:$D,"Actual")</f>
        <v>0</v>
      </c>
      <c r="E230" s="9">
        <f>SUMIFS(Benefits!$T:$T,Benefits!$A:$A,$A$228,Benefits!$E:$E,"Revenue",Benefits!$F:$F,"USD",Benefits!$D:$D,"Actual")</f>
        <v>0</v>
      </c>
      <c r="F230" s="9">
        <f>SUMIFS(Benefits!$U:$U,Benefits!$A:$A,$A$228,Benefits!$E:$E,"Revenue",Benefits!$F:$F,"USD",Benefits!$D:$D,"Actual")</f>
        <v>0</v>
      </c>
      <c r="G230" s="9">
        <f>SUMIFS(Benefits!$V:$V,Benefits!$A:$A,$A$228,Benefits!$E:$E,"Revenue",Benefits!$F:$F,"USD",Benefits!$D:$D,"Actual")</f>
        <v>0</v>
      </c>
      <c r="H230" s="9">
        <f>SUMIFS(Benefits!$W:$W,Benefits!$A:$A,$A$228,Benefits!$E:$E,"Revenue",Benefits!$F:$F,"USD",Benefits!$D:$D,"Actual")</f>
        <v>0</v>
      </c>
      <c r="I230" s="9">
        <f>H230</f>
        <v>0</v>
      </c>
      <c r="J230" s="45">
        <f>SUM(D230:I230)</f>
        <v>0</v>
      </c>
      <c r="K230" s="50">
        <v>0</v>
      </c>
    </row>
    <row r="231" spans="1:11" x14ac:dyDescent="0.25">
      <c r="A231" s="17"/>
      <c r="B231" s="7"/>
      <c r="C231" s="8" t="s">
        <v>97</v>
      </c>
      <c r="D231" s="9">
        <f>SUMIFS(Benefits!$S:$S,Benefits!$A:$A,$A$228,Benefits!$E:$E,"Gross Margin",Benefits!$F:$F,"USD",Benefits!$D:$D,"Plan Base")</f>
        <v>0</v>
      </c>
      <c r="E231" s="9">
        <f>SUMIFS(Benefits!$T:$T,Benefits!$A:$A,$A$228,Benefits!$E:$E,"Gross Margin",Benefits!$F:$F,"USD",Benefits!$D:$D,"Plan Base")</f>
        <v>0.55800000000000005</v>
      </c>
      <c r="F231" s="9">
        <f>SUMIFS(Benefits!$U:$U,Benefits!$A:$A,$A$228,Benefits!$E:$E,"Gross Margin",Benefits!$F:$F,"USD",Benefits!$D:$D,"Plan Base")</f>
        <v>0.82799999999999996</v>
      </c>
      <c r="G231" s="9">
        <f>SUMIFS(Benefits!$V:$V,Benefits!$A:$A,$A$228,Benefits!$E:$E,"Gross Margin",Benefits!$F:$F,"USD",Benefits!$D:$D,"Plan Base")</f>
        <v>0.82799999999999996</v>
      </c>
      <c r="H231" s="9">
        <f>SUMIFS(Benefits!$W:$W,Benefits!$A:$A,$A$228,Benefits!$E:$E,"Gross Margin",Benefits!$F:$F,"USD",Benefits!$D:$D,"Plan Base")</f>
        <v>0.82799999999999996</v>
      </c>
      <c r="I231" s="9">
        <f>H231</f>
        <v>0.82799999999999996</v>
      </c>
      <c r="J231" s="45">
        <f>SUM(D231:I231)</f>
        <v>3.8699999999999997</v>
      </c>
      <c r="K231" s="49">
        <v>3.0910000000000002</v>
      </c>
    </row>
    <row r="232" spans="1:11" x14ac:dyDescent="0.25">
      <c r="A232" s="17"/>
      <c r="B232" s="7"/>
      <c r="C232" s="8" t="s">
        <v>98</v>
      </c>
      <c r="D232" s="9">
        <f>SUMIFS(Benefits!$S:$S,Benefits!$A:$A,$A$228,Benefits!$E:$E,"Gross Margin",Benefits!$F:$F,"USD",Benefits!$D:$D,"Plan High")</f>
        <v>0</v>
      </c>
      <c r="E232" s="9">
        <f>SUMIFS(Benefits!$T:$T,Benefits!$A:$A,$A$228,Benefits!$E:$E,"Gross Margin",Benefits!$F:$F,"USD",Benefits!$D:$D,"Plan High")</f>
        <v>0.75600000000000001</v>
      </c>
      <c r="F232" s="9">
        <f>SUMIFS(Benefits!$U:$U,Benefits!$A:$A,$A$228,Benefits!$E:$E,"Gross Margin",Benefits!$F:$F,"USD",Benefits!$D:$D,"Plan High")</f>
        <v>1.1160000000000001</v>
      </c>
      <c r="G232" s="9">
        <f>SUMIFS(Benefits!$V:$V,Benefits!$A:$A,$A$228,Benefits!$E:$E,"Gross Margin",Benefits!$F:$F,"USD",Benefits!$D:$D,"Plan High")</f>
        <v>1.1160000000000001</v>
      </c>
      <c r="H232" s="9">
        <f>SUMIFS(Benefits!$W:$W,Benefits!$A:$A,$A$228,Benefits!$E:$E,"Gross Margin",Benefits!$F:$F,"USD",Benefits!$D:$D,"Plan High")</f>
        <v>1.1160000000000001</v>
      </c>
      <c r="I232" s="9">
        <f>H232</f>
        <v>1.1160000000000001</v>
      </c>
      <c r="J232" s="45">
        <f>SUM(D232:I232)</f>
        <v>5.2200000000000006</v>
      </c>
      <c r="K232" s="50"/>
    </row>
    <row r="233" spans="1:11" x14ac:dyDescent="0.25">
      <c r="A233" s="17"/>
      <c r="B233" s="7"/>
      <c r="C233" s="8" t="s">
        <v>99</v>
      </c>
      <c r="D233" s="9">
        <f>SUMIFS(Benefits!$S:$S,Benefits!$A:$A,$A$228,Benefits!$E:$E,"Gross Margin",Benefits!$F:$F,"USD",Benefits!$D:$D,"Actual")</f>
        <v>0</v>
      </c>
      <c r="E233" s="9">
        <f>SUMIFS(Benefits!$T:$T,Benefits!$A:$A,$A$228,Benefits!$E:$E,"Gross Margin",Benefits!$F:$F,"USD",Benefits!$D:$D,"Actual")</f>
        <v>0</v>
      </c>
      <c r="F233" s="9">
        <f>SUMIFS(Benefits!$U:$U,Benefits!$A:$A,$A$228,Benefits!$E:$E,"Gross Margin",Benefits!$F:$F,"USD",Benefits!$D:$D,"Actual")</f>
        <v>0</v>
      </c>
      <c r="G233" s="9">
        <f>SUMIFS(Benefits!$V:$V,Benefits!$A:$A,$A$228,Benefits!$E:$E,"Gross Margin",Benefits!$F:$F,"USD",Benefits!$D:$D,"Actual")</f>
        <v>0</v>
      </c>
      <c r="H233" s="9">
        <f>SUMIFS(Benefits!$W:$W,Benefits!$A:$A,$A$228,Benefits!$E:$E,"Gross Margin",Benefits!$F:$F,"USD",Benefits!$D:$D,"Actual")</f>
        <v>0</v>
      </c>
      <c r="I233" s="9">
        <f>H233</f>
        <v>0</v>
      </c>
      <c r="J233" s="45">
        <f>SUM(D233:I233)</f>
        <v>0</v>
      </c>
      <c r="K233" s="50"/>
    </row>
    <row r="234" spans="1:11" x14ac:dyDescent="0.25">
      <c r="A234" s="17"/>
      <c r="B234" s="7"/>
      <c r="C234" s="8" t="s">
        <v>100</v>
      </c>
      <c r="D234" s="9"/>
      <c r="E234" s="9"/>
      <c r="F234" s="9"/>
      <c r="G234" s="9"/>
      <c r="H234" s="9"/>
      <c r="I234" s="9"/>
      <c r="J234" s="45"/>
      <c r="K234" s="50"/>
    </row>
    <row r="235" spans="1:11" x14ac:dyDescent="0.25">
      <c r="A235" s="18"/>
      <c r="B235" s="10"/>
      <c r="C235" s="11" t="s">
        <v>101</v>
      </c>
      <c r="D235" s="12">
        <f>SUMIFS(Costs!$AB:$AB,Costs!$A:$A,$A$228,Costs!$D:$D,"Plan")</f>
        <v>0</v>
      </c>
      <c r="E235" s="12">
        <f>SUMIFS(Costs!$AC:$AC,Costs!$A:$A,$A$228,Costs!$D:$D,"Plan")</f>
        <v>0.09</v>
      </c>
      <c r="F235" s="12">
        <f>SUMIFS(Costs!$AD:$AD,Costs!$A:$A,$A$228,Costs!$D:$D,"Plan")</f>
        <v>0.09</v>
      </c>
      <c r="G235" s="12">
        <f>SUMIFS(Costs!$AE:$AE,Costs!$A:$A,$A$228,Costs!$D:$D,"Plan")</f>
        <v>0.09</v>
      </c>
      <c r="H235" s="12">
        <f>SUMIFS(Costs!$AF:$AF,Costs!$A:$A,$A$228,Costs!$D:$D,"Plan")</f>
        <v>0.09</v>
      </c>
      <c r="I235" s="12">
        <f>H235</f>
        <v>0.09</v>
      </c>
      <c r="J235" s="46">
        <f>SUM(D235:I235)</f>
        <v>0.44999999999999996</v>
      </c>
      <c r="K235" s="51">
        <v>0.41699999999999998</v>
      </c>
    </row>
    <row r="236" spans="1:11" x14ac:dyDescent="0.25">
      <c r="A236" s="17"/>
      <c r="B236" s="7"/>
      <c r="C236" s="8" t="s">
        <v>102</v>
      </c>
      <c r="D236" s="9">
        <f>SUMIFS(Costs!$AB:$AB,Costs!$A:$A,$A$228,Costs!$D:$D,"Actual")</f>
        <v>0</v>
      </c>
      <c r="E236" s="9">
        <f>SUMIFS(Costs!$AC:$AC,Costs!$A:$A,$A$228,Costs!$D:$D,"Actual")</f>
        <v>0</v>
      </c>
      <c r="F236" s="9">
        <f>SUMIFS(Costs!$AD:$AD,Costs!$A:$A,$A$228,Costs!$D:$D,"Actual")</f>
        <v>0</v>
      </c>
      <c r="G236" s="9">
        <f>SUMIFS(Costs!$AE:$AE,Costs!$A:$A,$A$228,Costs!$D:$D,"Actual")</f>
        <v>0</v>
      </c>
      <c r="H236" s="9">
        <f>SUMIFS(Costs!$AF:$AF,Costs!$A:$A,$A$228,Costs!$D:$D,"Actual")</f>
        <v>0</v>
      </c>
      <c r="I236" s="9">
        <f>H236</f>
        <v>0</v>
      </c>
      <c r="J236" s="45">
        <f>SUM(D236:I236)</f>
        <v>0</v>
      </c>
      <c r="K236" s="50"/>
    </row>
    <row r="237" spans="1:11" x14ac:dyDescent="0.25">
      <c r="A237" s="17"/>
      <c r="B237" s="7"/>
      <c r="C237" s="8" t="s">
        <v>103</v>
      </c>
      <c r="D237" s="9"/>
      <c r="E237" s="9"/>
      <c r="F237" s="9"/>
      <c r="G237" s="9"/>
      <c r="H237" s="9"/>
      <c r="I237" s="9"/>
      <c r="J237" s="45"/>
      <c r="K237" s="50"/>
    </row>
    <row r="238" spans="1:11" x14ac:dyDescent="0.25">
      <c r="A238" s="18"/>
      <c r="B238" s="10"/>
      <c r="C238" s="11" t="s">
        <v>104</v>
      </c>
      <c r="D238" s="12">
        <f>D231-D235</f>
        <v>0</v>
      </c>
      <c r="E238" s="12">
        <f>E231-E235</f>
        <v>0.46800000000000008</v>
      </c>
      <c r="F238" s="12">
        <f>F231-F235</f>
        <v>0.73799999999999999</v>
      </c>
      <c r="G238" s="12">
        <f>G231-G235</f>
        <v>0.73799999999999999</v>
      </c>
      <c r="H238" s="12">
        <f>H231-H235</f>
        <v>0.73799999999999999</v>
      </c>
      <c r="I238" s="12">
        <f>I231-I235</f>
        <v>0.73799999999999999</v>
      </c>
      <c r="J238" s="46">
        <f>J231-J235</f>
        <v>3.42</v>
      </c>
      <c r="K238" s="51">
        <f>K231-K235</f>
        <v>2.6740000000000004</v>
      </c>
    </row>
    <row r="239" spans="1:11" x14ac:dyDescent="0.25">
      <c r="A239" s="18"/>
      <c r="B239" s="10"/>
      <c r="C239" s="11" t="s">
        <v>105</v>
      </c>
      <c r="D239" s="12">
        <f>D232-D235</f>
        <v>0</v>
      </c>
      <c r="E239" s="12">
        <f>E232-E235</f>
        <v>0.66600000000000004</v>
      </c>
      <c r="F239" s="12">
        <f>F232-F235</f>
        <v>1.026</v>
      </c>
      <c r="G239" s="12">
        <f>G232-G235</f>
        <v>1.026</v>
      </c>
      <c r="H239" s="12">
        <f>H232-H235</f>
        <v>1.026</v>
      </c>
      <c r="I239" s="12">
        <f>I232-I235</f>
        <v>1.026</v>
      </c>
      <c r="J239" s="46">
        <f>J232-J235</f>
        <v>4.7700000000000005</v>
      </c>
      <c r="K239" s="50"/>
    </row>
    <row r="240" spans="1:11" x14ac:dyDescent="0.25">
      <c r="A240" s="18"/>
      <c r="B240" s="10"/>
      <c r="C240" s="11" t="s">
        <v>106</v>
      </c>
      <c r="D240" s="12">
        <f>D233-D236</f>
        <v>0</v>
      </c>
      <c r="E240" s="12">
        <f>E233-E236</f>
        <v>0</v>
      </c>
      <c r="F240" s="12">
        <f>F233-F236</f>
        <v>0</v>
      </c>
      <c r="G240" s="12">
        <f>G233-G236</f>
        <v>0</v>
      </c>
      <c r="H240" s="12">
        <f>H233-H236</f>
        <v>0</v>
      </c>
      <c r="I240" s="12">
        <f>I233-I236</f>
        <v>0</v>
      </c>
      <c r="J240" s="46">
        <f>J233-J236</f>
        <v>0</v>
      </c>
      <c r="K240" s="50"/>
    </row>
    <row r="241" spans="1:11" x14ac:dyDescent="0.25">
      <c r="A241" s="17"/>
      <c r="B241" s="7"/>
      <c r="C241" s="8" t="s">
        <v>107</v>
      </c>
      <c r="D241" s="9">
        <f>IFERROR(D240/D236,0)</f>
        <v>0</v>
      </c>
      <c r="E241" s="9">
        <f>IFERROR(E240/E236,0)</f>
        <v>0</v>
      </c>
      <c r="F241" s="9">
        <f>IFERROR(F240/F236,0)</f>
        <v>0</v>
      </c>
      <c r="G241" s="9">
        <f>IFERROR(G240/G236,0)</f>
        <v>0</v>
      </c>
      <c r="H241" s="9">
        <f>IFERROR(H240/H236,0)</f>
        <v>0</v>
      </c>
      <c r="I241" s="9">
        <f>IFERROR(I240/I236,0)</f>
        <v>0</v>
      </c>
      <c r="J241" s="45">
        <f>IFERROR(J240/J236,0)</f>
        <v>0</v>
      </c>
      <c r="K241" s="50">
        <f>IFERROR(K240/K236,0)</f>
        <v>0</v>
      </c>
    </row>
    <row r="242" spans="1:11" x14ac:dyDescent="0.25">
      <c r="A242" s="19"/>
      <c r="B242" s="19"/>
      <c r="C242" s="19"/>
      <c r="D242" s="19"/>
      <c r="E242" s="19"/>
      <c r="F242" s="19"/>
      <c r="G242" s="19"/>
      <c r="H242" s="19"/>
      <c r="I242" s="19"/>
      <c r="J242" s="47"/>
      <c r="K242" s="50"/>
    </row>
    <row r="243" spans="1:11" ht="36" x14ac:dyDescent="0.25">
      <c r="A243" s="6" t="s">
        <v>699</v>
      </c>
      <c r="B243" s="7" t="s">
        <v>698</v>
      </c>
      <c r="C243" s="8" t="s">
        <v>94</v>
      </c>
      <c r="D243" s="9">
        <f>SUMIFS(Benefits!$S:$S,Benefits!$A:$A,$A$243,Benefits!$E:$E,"Revenue",Benefits!$F:$F,"USD",Benefits!$D:$D,"Plan Base")</f>
        <v>0</v>
      </c>
      <c r="E243" s="9">
        <f>SUMIFS(Benefits!$T:$T,Benefits!$A:$A,$A$243,Benefits!$E:$E,"Revenue",Benefits!$F:$F,"USD",Benefits!$D:$D,"Plan Base")</f>
        <v>0.5</v>
      </c>
      <c r="F243" s="9">
        <f>SUMIFS(Benefits!$U:$U,Benefits!$A:$A,$A$243,Benefits!$E:$E,"Revenue",Benefits!$F:$F,"USD",Benefits!$D:$D,"Plan Base")</f>
        <v>0.5</v>
      </c>
      <c r="G243" s="9">
        <f>SUMIFS(Benefits!$V:$V,Benefits!$A:$A,$A$243,Benefits!$E:$E,"Revenue",Benefits!$F:$F,"USD",Benefits!$D:$D,"Plan Base")</f>
        <v>0.5</v>
      </c>
      <c r="H243" s="9">
        <f>SUMIFS(Benefits!$W:$W,Benefits!$A:$A,$A$243,Benefits!$E:$E,"Revenue",Benefits!$F:$F,"USD",Benefits!$D:$D,"Plan Base")</f>
        <v>0.5</v>
      </c>
      <c r="I243" s="9">
        <f>H243</f>
        <v>0.5</v>
      </c>
      <c r="J243" s="45">
        <f>SUM(D243:I243)</f>
        <v>2.5</v>
      </c>
      <c r="K243" s="49">
        <v>2.4780000000000002</v>
      </c>
    </row>
    <row r="244" spans="1:11" x14ac:dyDescent="0.25">
      <c r="A244" s="17"/>
      <c r="B244" s="7"/>
      <c r="C244" s="8" t="s">
        <v>95</v>
      </c>
      <c r="D244" s="9">
        <f>SUMIFS(Benefits!$S:$S,Benefits!$A:$A,$A$243,Benefits!$E:$E,"Revenue",Benefits!$F:$F,"USD",Benefits!$D:$D,"Plan High")</f>
        <v>0</v>
      </c>
      <c r="E244" s="9">
        <f>SUMIFS(Benefits!$T:$T,Benefits!$A:$A,$A$243,Benefits!$E:$E,"Revenue",Benefits!$F:$F,"USD",Benefits!$D:$D,"Plan High")</f>
        <v>1</v>
      </c>
      <c r="F244" s="9">
        <f>SUMIFS(Benefits!$U:$U,Benefits!$A:$A,$A$243,Benefits!$E:$E,"Revenue",Benefits!$F:$F,"USD",Benefits!$D:$D,"Plan High")</f>
        <v>1</v>
      </c>
      <c r="G244" s="9">
        <f>SUMIFS(Benefits!$V:$V,Benefits!$A:$A,$A$243,Benefits!$E:$E,"Revenue",Benefits!$F:$F,"USD",Benefits!$D:$D,"Plan High")</f>
        <v>1</v>
      </c>
      <c r="H244" s="9">
        <f>SUMIFS(Benefits!$W:$W,Benefits!$A:$A,$A$243,Benefits!$E:$E,"Revenue",Benefits!$F:$F,"USD",Benefits!$D:$D,"Plan High")</f>
        <v>1</v>
      </c>
      <c r="I244" s="9">
        <f>H244</f>
        <v>1</v>
      </c>
      <c r="J244" s="45">
        <f>SUM(D244:I244)</f>
        <v>5</v>
      </c>
      <c r="K244" s="50"/>
    </row>
    <row r="245" spans="1:11" x14ac:dyDescent="0.25">
      <c r="A245" s="17"/>
      <c r="B245" s="7"/>
      <c r="C245" s="8" t="s">
        <v>96</v>
      </c>
      <c r="D245" s="9">
        <f>SUMIFS(Benefits!$S:$S,Benefits!$A:$A,$A$243,Benefits!$E:$E,"Revenue",Benefits!$F:$F,"USD",Benefits!$D:$D,"Actual")</f>
        <v>0</v>
      </c>
      <c r="E245" s="9">
        <f>SUMIFS(Benefits!$T:$T,Benefits!$A:$A,$A$243,Benefits!$E:$E,"Revenue",Benefits!$F:$F,"USD",Benefits!$D:$D,"Actual")</f>
        <v>0</v>
      </c>
      <c r="F245" s="9">
        <f>SUMIFS(Benefits!$U:$U,Benefits!$A:$A,$A$243,Benefits!$E:$E,"Revenue",Benefits!$F:$F,"USD",Benefits!$D:$D,"Actual")</f>
        <v>0</v>
      </c>
      <c r="G245" s="9">
        <f>SUMIFS(Benefits!$V:$V,Benefits!$A:$A,$A$243,Benefits!$E:$E,"Revenue",Benefits!$F:$F,"USD",Benefits!$D:$D,"Actual")</f>
        <v>0</v>
      </c>
      <c r="H245" s="9">
        <f>SUMIFS(Benefits!$W:$W,Benefits!$A:$A,$A$243,Benefits!$E:$E,"Revenue",Benefits!$F:$F,"USD",Benefits!$D:$D,"Actual")</f>
        <v>0</v>
      </c>
      <c r="I245" s="9">
        <f>H245</f>
        <v>0</v>
      </c>
      <c r="J245" s="45">
        <f>SUM(D245:I245)</f>
        <v>0</v>
      </c>
      <c r="K245" s="50"/>
    </row>
    <row r="246" spans="1:11" x14ac:dyDescent="0.25">
      <c r="A246" s="17"/>
      <c r="B246" s="7"/>
      <c r="C246" s="8" t="s">
        <v>97</v>
      </c>
      <c r="D246" s="9">
        <f>SUMIFS(Benefits!$S:$S,Benefits!$A:$A,$A$243,Benefits!$E:$E,"Gross Margin",Benefits!$F:$F,"USD",Benefits!$D:$D,"Plan Base")</f>
        <v>0</v>
      </c>
      <c r="E246" s="9">
        <f>SUMIFS(Benefits!$T:$T,Benefits!$A:$A,$A$243,Benefits!$E:$E,"Gross Margin",Benefits!$F:$F,"USD",Benefits!$D:$D,"Plan Base")</f>
        <v>0.3</v>
      </c>
      <c r="F246" s="9">
        <f>SUMIFS(Benefits!$U:$U,Benefits!$A:$A,$A$243,Benefits!$E:$E,"Gross Margin",Benefits!$F:$F,"USD",Benefits!$D:$D,"Plan Base")</f>
        <v>0.3</v>
      </c>
      <c r="G246" s="9">
        <f>SUMIFS(Benefits!$V:$V,Benefits!$A:$A,$A$243,Benefits!$E:$E,"Gross Margin",Benefits!$F:$F,"USD",Benefits!$D:$D,"Plan Base")</f>
        <v>0.3</v>
      </c>
      <c r="H246" s="9">
        <f>SUMIFS(Benefits!$W:$W,Benefits!$A:$A,$A$243,Benefits!$E:$E,"Gross Margin",Benefits!$F:$F,"USD",Benefits!$D:$D,"Plan Base")</f>
        <v>0.3</v>
      </c>
      <c r="I246" s="9">
        <f>H246</f>
        <v>0.3</v>
      </c>
      <c r="J246" s="45">
        <f>SUM(D246:I246)</f>
        <v>1.5</v>
      </c>
      <c r="K246" s="49">
        <v>1.4319999999999999</v>
      </c>
    </row>
    <row r="247" spans="1:11" x14ac:dyDescent="0.25">
      <c r="A247" s="17"/>
      <c r="B247" s="7"/>
      <c r="C247" s="8" t="s">
        <v>98</v>
      </c>
      <c r="D247" s="9">
        <f>SUMIFS(Benefits!$S:$S,Benefits!$A:$A,$A$243,Benefits!$E:$E,"Gross Margin",Benefits!$F:$F,"USD",Benefits!$D:$D,"Plan High")</f>
        <v>0</v>
      </c>
      <c r="E247" s="9">
        <f>SUMIFS(Benefits!$T:$T,Benefits!$A:$A,$A$243,Benefits!$E:$E,"Gross Margin",Benefits!$F:$F,"USD",Benefits!$D:$D,"Plan High")</f>
        <v>0.625</v>
      </c>
      <c r="F247" s="9">
        <f>SUMIFS(Benefits!$U:$U,Benefits!$A:$A,$A$243,Benefits!$E:$E,"Gross Margin",Benefits!$F:$F,"USD",Benefits!$D:$D,"Plan High")</f>
        <v>0.625</v>
      </c>
      <c r="G247" s="9">
        <f>SUMIFS(Benefits!$V:$V,Benefits!$A:$A,$A$243,Benefits!$E:$E,"Gross Margin",Benefits!$F:$F,"USD",Benefits!$D:$D,"Plan High")</f>
        <v>0.625</v>
      </c>
      <c r="H247" s="9">
        <f>SUMIFS(Benefits!$W:$W,Benefits!$A:$A,$A$243,Benefits!$E:$E,"Gross Margin",Benefits!$F:$F,"USD",Benefits!$D:$D,"Plan High")</f>
        <v>0.625</v>
      </c>
      <c r="I247" s="9">
        <f>H247</f>
        <v>0.625</v>
      </c>
      <c r="J247" s="45">
        <f>SUM(D247:I247)</f>
        <v>3.125</v>
      </c>
      <c r="K247" s="50"/>
    </row>
    <row r="248" spans="1:11" x14ac:dyDescent="0.25">
      <c r="A248" s="17"/>
      <c r="B248" s="7"/>
      <c r="C248" s="8" t="s">
        <v>99</v>
      </c>
      <c r="D248" s="9">
        <f>SUMIFS(Benefits!$S:$S,Benefits!$A:$A,$A$243,Benefits!$E:$E,"Gross Margin",Benefits!$F:$F,"USD",Benefits!$D:$D,"Actual")</f>
        <v>0</v>
      </c>
      <c r="E248" s="9">
        <f>SUMIFS(Benefits!$T:$T,Benefits!$A:$A,$A$243,Benefits!$E:$E,"Gross Margin",Benefits!$F:$F,"USD",Benefits!$D:$D,"Actual")</f>
        <v>0</v>
      </c>
      <c r="F248" s="9">
        <f>SUMIFS(Benefits!$U:$U,Benefits!$A:$A,$A$243,Benefits!$E:$E,"Gross Margin",Benefits!$F:$F,"USD",Benefits!$D:$D,"Actual")</f>
        <v>0</v>
      </c>
      <c r="G248" s="9">
        <f>SUMIFS(Benefits!$V:$V,Benefits!$A:$A,$A$243,Benefits!$E:$E,"Gross Margin",Benefits!$F:$F,"USD",Benefits!$D:$D,"Actual")</f>
        <v>0</v>
      </c>
      <c r="H248" s="9">
        <f>SUMIFS(Benefits!$W:$W,Benefits!$A:$A,$A$243,Benefits!$E:$E,"Gross Margin",Benefits!$F:$F,"USD",Benefits!$D:$D,"Actual")</f>
        <v>0</v>
      </c>
      <c r="I248" s="9">
        <f>H248</f>
        <v>0</v>
      </c>
      <c r="J248" s="45">
        <f>SUM(D248:I248)</f>
        <v>0</v>
      </c>
      <c r="K248" s="50"/>
    </row>
    <row r="249" spans="1:11" x14ac:dyDescent="0.25">
      <c r="A249" s="17"/>
      <c r="B249" s="7"/>
      <c r="C249" s="8" t="s">
        <v>100</v>
      </c>
      <c r="D249" s="9"/>
      <c r="E249" s="9"/>
      <c r="F249" s="9"/>
      <c r="G249" s="9"/>
      <c r="H249" s="9"/>
      <c r="I249" s="9"/>
      <c r="J249" s="45"/>
      <c r="K249" s="50"/>
    </row>
    <row r="250" spans="1:11" x14ac:dyDescent="0.25">
      <c r="A250" s="18"/>
      <c r="B250" s="10"/>
      <c r="C250" s="11" t="s">
        <v>101</v>
      </c>
      <c r="D250" s="12">
        <f>SUMIFS(Costs!$AB:$AB,Costs!$A:$A,$A$243,Costs!$D:$D,"Plan")</f>
        <v>0</v>
      </c>
      <c r="E250" s="12">
        <f>SUMIFS(Costs!$AC:$AC,Costs!$A:$A,$A$243,Costs!$D:$D,"Plan")</f>
        <v>0</v>
      </c>
      <c r="F250" s="12">
        <f>SUMIFS(Costs!$AD:$AD,Costs!$A:$A,$A$243,Costs!$D:$D,"Plan")</f>
        <v>0</v>
      </c>
      <c r="G250" s="12">
        <f>SUMIFS(Costs!$AE:$AE,Costs!$A:$A,$A$243,Costs!$D:$D,"Plan")</f>
        <v>0</v>
      </c>
      <c r="H250" s="12">
        <f>SUMIFS(Costs!$AF:$AF,Costs!$A:$A,$A$243,Costs!$D:$D,"Plan")</f>
        <v>0</v>
      </c>
      <c r="I250" s="12">
        <f>H250</f>
        <v>0</v>
      </c>
      <c r="J250" s="46">
        <f>SUM(D250:I250)</f>
        <v>0</v>
      </c>
      <c r="K250" s="51">
        <v>0</v>
      </c>
    </row>
    <row r="251" spans="1:11" x14ac:dyDescent="0.25">
      <c r="A251" s="17"/>
      <c r="B251" s="7"/>
      <c r="C251" s="8" t="s">
        <v>102</v>
      </c>
      <c r="D251" s="9">
        <f>SUMIFS(Costs!$AB:$AB,Costs!$A:$A,$A$243,Costs!$D:$D,"Actual")</f>
        <v>0</v>
      </c>
      <c r="E251" s="9">
        <f>SUMIFS(Costs!$AC:$AC,Costs!$A:$A,$A$243,Costs!$D:$D,"Actual")</f>
        <v>0</v>
      </c>
      <c r="F251" s="9">
        <f>SUMIFS(Costs!$AD:$AD,Costs!$A:$A,$A$243,Costs!$D:$D,"Actual")</f>
        <v>0</v>
      </c>
      <c r="G251" s="9">
        <f>SUMIFS(Costs!$AE:$AE,Costs!$A:$A,$A$243,Costs!$D:$D,"Actual")</f>
        <v>0</v>
      </c>
      <c r="H251" s="9">
        <f>SUMIFS(Costs!$AF:$AF,Costs!$A:$A,$A$243,Costs!$D:$D,"Actual")</f>
        <v>0</v>
      </c>
      <c r="I251" s="9">
        <f>H251</f>
        <v>0</v>
      </c>
      <c r="J251" s="45">
        <f>SUM(D251:I251)</f>
        <v>0</v>
      </c>
      <c r="K251" s="50"/>
    </row>
    <row r="252" spans="1:11" x14ac:dyDescent="0.25">
      <c r="A252" s="17"/>
      <c r="B252" s="7"/>
      <c r="C252" s="8" t="s">
        <v>103</v>
      </c>
      <c r="D252" s="9"/>
      <c r="E252" s="9"/>
      <c r="F252" s="9"/>
      <c r="G252" s="9"/>
      <c r="H252" s="9"/>
      <c r="I252" s="9"/>
      <c r="J252" s="45"/>
      <c r="K252" s="50"/>
    </row>
    <row r="253" spans="1:11" x14ac:dyDescent="0.25">
      <c r="A253" s="18"/>
      <c r="B253" s="10"/>
      <c r="C253" s="11" t="s">
        <v>104</v>
      </c>
      <c r="D253" s="12">
        <f>D246-D250</f>
        <v>0</v>
      </c>
      <c r="E253" s="12">
        <f>E246-E250</f>
        <v>0.3</v>
      </c>
      <c r="F253" s="12">
        <f>F246-F250</f>
        <v>0.3</v>
      </c>
      <c r="G253" s="12">
        <f>G246-G250</f>
        <v>0.3</v>
      </c>
      <c r="H253" s="12">
        <f>H246-H250</f>
        <v>0.3</v>
      </c>
      <c r="I253" s="12">
        <f>I246-I250</f>
        <v>0.3</v>
      </c>
      <c r="J253" s="46">
        <f>J246-J250</f>
        <v>1.5</v>
      </c>
      <c r="K253" s="51">
        <f>K246-K250</f>
        <v>1.4319999999999999</v>
      </c>
    </row>
    <row r="254" spans="1:11" x14ac:dyDescent="0.25">
      <c r="A254" s="18"/>
      <c r="B254" s="10"/>
      <c r="C254" s="11" t="s">
        <v>105</v>
      </c>
      <c r="D254" s="12">
        <f>D247-D250</f>
        <v>0</v>
      </c>
      <c r="E254" s="12">
        <f>E247-E250</f>
        <v>0.625</v>
      </c>
      <c r="F254" s="12">
        <f>F247-F250</f>
        <v>0.625</v>
      </c>
      <c r="G254" s="12">
        <f>G247-G250</f>
        <v>0.625</v>
      </c>
      <c r="H254" s="12">
        <f>H247-H250</f>
        <v>0.625</v>
      </c>
      <c r="I254" s="12">
        <f>I247-I250</f>
        <v>0.625</v>
      </c>
      <c r="J254" s="46">
        <f>J247-J250</f>
        <v>3.125</v>
      </c>
      <c r="K254" s="50"/>
    </row>
    <row r="255" spans="1:11" x14ac:dyDescent="0.25">
      <c r="A255" s="18"/>
      <c r="B255" s="10"/>
      <c r="C255" s="11" t="s">
        <v>106</v>
      </c>
      <c r="D255" s="12">
        <f>D248-D251</f>
        <v>0</v>
      </c>
      <c r="E255" s="12">
        <f>E248-E251</f>
        <v>0</v>
      </c>
      <c r="F255" s="12">
        <f>F248-F251</f>
        <v>0</v>
      </c>
      <c r="G255" s="12">
        <f>G248-G251</f>
        <v>0</v>
      </c>
      <c r="H255" s="12">
        <f>H248-H251</f>
        <v>0</v>
      </c>
      <c r="I255" s="12">
        <f>I248-I251</f>
        <v>0</v>
      </c>
      <c r="J255" s="46">
        <f>J248-J251</f>
        <v>0</v>
      </c>
      <c r="K255" s="50"/>
    </row>
    <row r="256" spans="1:11" x14ac:dyDescent="0.25">
      <c r="A256" s="17"/>
      <c r="B256" s="7"/>
      <c r="C256" s="8" t="s">
        <v>107</v>
      </c>
      <c r="D256" s="9">
        <f>IFERROR(D255/D251,0)</f>
        <v>0</v>
      </c>
      <c r="E256" s="9">
        <f>IFERROR(E255/E251,0)</f>
        <v>0</v>
      </c>
      <c r="F256" s="9">
        <f>IFERROR(F255/F251,0)</f>
        <v>0</v>
      </c>
      <c r="G256" s="9">
        <f>IFERROR(G255/G251,0)</f>
        <v>0</v>
      </c>
      <c r="H256" s="9">
        <f>IFERROR(H255/H251,0)</f>
        <v>0</v>
      </c>
      <c r="I256" s="9">
        <f>IFERROR(I255/I251,0)</f>
        <v>0</v>
      </c>
      <c r="J256" s="45">
        <f>IFERROR(J255/J251,0)</f>
        <v>0</v>
      </c>
      <c r="K256" s="50">
        <f>IFERROR(K255/K251,0)</f>
        <v>0</v>
      </c>
    </row>
    <row r="257" spans="1:11" x14ac:dyDescent="0.25">
      <c r="A257" s="19"/>
      <c r="B257" s="19"/>
      <c r="C257" s="19"/>
      <c r="D257" s="19"/>
      <c r="E257" s="19"/>
      <c r="F257" s="19"/>
      <c r="G257" s="19"/>
      <c r="H257" s="19"/>
      <c r="I257" s="19"/>
      <c r="J257" s="47"/>
      <c r="K257" s="50"/>
    </row>
    <row r="258" spans="1:11" x14ac:dyDescent="0.25">
      <c r="A258" s="6" t="s">
        <v>703</v>
      </c>
      <c r="B258" s="7" t="s">
        <v>702</v>
      </c>
      <c r="C258" s="8" t="s">
        <v>94</v>
      </c>
      <c r="D258" s="9">
        <f>SUMIFS(Benefits!$S:$S,Benefits!$A:$A,$A$258,Benefits!$E:$E,"Revenue",Benefits!$F:$F,"USD",Benefits!$D:$D,"Plan Base")</f>
        <v>0</v>
      </c>
      <c r="E258" s="9">
        <f>SUMIFS(Benefits!$T:$T,Benefits!$A:$A,$A$258,Benefits!$E:$E,"Revenue",Benefits!$F:$F,"USD",Benefits!$D:$D,"Plan Base")</f>
        <v>0</v>
      </c>
      <c r="F258" s="9">
        <f>SUMIFS(Benefits!$U:$U,Benefits!$A:$A,$A$258,Benefits!$E:$E,"Revenue",Benefits!$F:$F,"USD",Benefits!$D:$D,"Plan Base")</f>
        <v>0</v>
      </c>
      <c r="G258" s="9">
        <f>SUMIFS(Benefits!$V:$V,Benefits!$A:$A,$A$258,Benefits!$E:$E,"Revenue",Benefits!$F:$F,"USD",Benefits!$D:$D,"Plan Base")</f>
        <v>0</v>
      </c>
      <c r="H258" s="9">
        <f>SUMIFS(Benefits!$W:$W,Benefits!$A:$A,$A$258,Benefits!$E:$E,"Revenue",Benefits!$F:$F,"USD",Benefits!$D:$D,"Plan Base")</f>
        <v>0</v>
      </c>
      <c r="I258" s="9">
        <f>H258</f>
        <v>0</v>
      </c>
      <c r="J258" s="45">
        <f>SUM(D258:I258)</f>
        <v>0</v>
      </c>
      <c r="K258" s="49">
        <v>0</v>
      </c>
    </row>
    <row r="259" spans="1:11" x14ac:dyDescent="0.25">
      <c r="A259" s="17"/>
      <c r="B259" s="7"/>
      <c r="C259" s="8" t="s">
        <v>95</v>
      </c>
      <c r="D259" s="9">
        <f>SUMIFS(Benefits!$S:$S,Benefits!$A:$A,$A$258,Benefits!$E:$E,"Revenue",Benefits!$F:$F,"USD",Benefits!$D:$D,"Plan High")</f>
        <v>0</v>
      </c>
      <c r="E259" s="9">
        <f>SUMIFS(Benefits!$T:$T,Benefits!$A:$A,$A$258,Benefits!$E:$E,"Revenue",Benefits!$F:$F,"USD",Benefits!$D:$D,"Plan High")</f>
        <v>0</v>
      </c>
      <c r="F259" s="9">
        <f>SUMIFS(Benefits!$U:$U,Benefits!$A:$A,$A$258,Benefits!$E:$E,"Revenue",Benefits!$F:$F,"USD",Benefits!$D:$D,"Plan High")</f>
        <v>0</v>
      </c>
      <c r="G259" s="9">
        <f>SUMIFS(Benefits!$V:$V,Benefits!$A:$A,$A$258,Benefits!$E:$E,"Revenue",Benefits!$F:$F,"USD",Benefits!$D:$D,"Plan High")</f>
        <v>0</v>
      </c>
      <c r="H259" s="9">
        <f>SUMIFS(Benefits!$W:$W,Benefits!$A:$A,$A$258,Benefits!$E:$E,"Revenue",Benefits!$F:$F,"USD",Benefits!$D:$D,"Plan High")</f>
        <v>0</v>
      </c>
      <c r="I259" s="9">
        <f>H259</f>
        <v>0</v>
      </c>
      <c r="J259" s="45">
        <f>SUM(D259:I259)</f>
        <v>0</v>
      </c>
      <c r="K259" s="50">
        <v>0</v>
      </c>
    </row>
    <row r="260" spans="1:11" x14ac:dyDescent="0.25">
      <c r="A260" s="17"/>
      <c r="B260" s="7"/>
      <c r="C260" s="8" t="s">
        <v>96</v>
      </c>
      <c r="D260" s="9">
        <f>SUMIFS(Benefits!$S:$S,Benefits!$A:$A,$A$258,Benefits!$E:$E,"Revenue",Benefits!$F:$F,"USD",Benefits!$D:$D,"Actual")</f>
        <v>0</v>
      </c>
      <c r="E260" s="9">
        <f>SUMIFS(Benefits!$T:$T,Benefits!$A:$A,$A$258,Benefits!$E:$E,"Revenue",Benefits!$F:$F,"USD",Benefits!$D:$D,"Actual")</f>
        <v>0</v>
      </c>
      <c r="F260" s="9">
        <f>SUMIFS(Benefits!$U:$U,Benefits!$A:$A,$A$258,Benefits!$E:$E,"Revenue",Benefits!$F:$F,"USD",Benefits!$D:$D,"Actual")</f>
        <v>0</v>
      </c>
      <c r="G260" s="9">
        <f>SUMIFS(Benefits!$V:$V,Benefits!$A:$A,$A$258,Benefits!$E:$E,"Revenue",Benefits!$F:$F,"USD",Benefits!$D:$D,"Actual")</f>
        <v>0</v>
      </c>
      <c r="H260" s="9">
        <f>SUMIFS(Benefits!$W:$W,Benefits!$A:$A,$A$258,Benefits!$E:$E,"Revenue",Benefits!$F:$F,"USD",Benefits!$D:$D,"Actual")</f>
        <v>0</v>
      </c>
      <c r="I260" s="9">
        <f>H260</f>
        <v>0</v>
      </c>
      <c r="J260" s="45">
        <f>SUM(D260:I260)</f>
        <v>0</v>
      </c>
      <c r="K260" s="50">
        <v>0</v>
      </c>
    </row>
    <row r="261" spans="1:11" x14ac:dyDescent="0.25">
      <c r="A261" s="17"/>
      <c r="B261" s="7"/>
      <c r="C261" s="8" t="s">
        <v>97</v>
      </c>
      <c r="D261" s="9">
        <f>SUMIFS(Benefits!$S:$S,Benefits!$A:$A,$A$258,Benefits!$E:$E,"Gross Margin",Benefits!$F:$F,"USD",Benefits!$D:$D,"Plan Base")</f>
        <v>0</v>
      </c>
      <c r="E261" s="9">
        <f>SUMIFS(Benefits!$T:$T,Benefits!$A:$A,$A$258,Benefits!$E:$E,"Gross Margin",Benefits!$F:$F,"USD",Benefits!$D:$D,"Plan Base")</f>
        <v>0.441</v>
      </c>
      <c r="F261" s="9">
        <f>SUMIFS(Benefits!$U:$U,Benefits!$A:$A,$A$258,Benefits!$E:$E,"Gross Margin",Benefits!$F:$F,"USD",Benefits!$D:$D,"Plan Base")</f>
        <v>0.65100000000000002</v>
      </c>
      <c r="G261" s="9">
        <f>SUMIFS(Benefits!$V:$V,Benefits!$A:$A,$A$258,Benefits!$E:$E,"Gross Margin",Benefits!$F:$F,"USD",Benefits!$D:$D,"Plan Base")</f>
        <v>0.65100000000000002</v>
      </c>
      <c r="H261" s="9">
        <f>SUMIFS(Benefits!$W:$W,Benefits!$A:$A,$A$258,Benefits!$E:$E,"Gross Margin",Benefits!$F:$F,"USD",Benefits!$D:$D,"Plan Base")</f>
        <v>0.65100000000000002</v>
      </c>
      <c r="I261" s="9">
        <f>H261</f>
        <v>0.65100000000000002</v>
      </c>
      <c r="J261" s="45">
        <f>SUM(D261:I261)</f>
        <v>3.0449999999999999</v>
      </c>
      <c r="K261" s="49">
        <v>2.09</v>
      </c>
    </row>
    <row r="262" spans="1:11" x14ac:dyDescent="0.25">
      <c r="A262" s="17"/>
      <c r="B262" s="7"/>
      <c r="C262" s="8" t="s">
        <v>98</v>
      </c>
      <c r="D262" s="9">
        <f>SUMIFS(Benefits!$S:$S,Benefits!$A:$A,$A$258,Benefits!$E:$E,"Gross Margin",Benefits!$F:$F,"USD",Benefits!$D:$D,"Plan High")</f>
        <v>0</v>
      </c>
      <c r="E262" s="9">
        <f>SUMIFS(Benefits!$T:$T,Benefits!$A:$A,$A$258,Benefits!$E:$E,"Gross Margin",Benefits!$F:$F,"USD",Benefits!$D:$D,"Plan High")</f>
        <v>0.54600000000000004</v>
      </c>
      <c r="F262" s="9">
        <f>SUMIFS(Benefits!$U:$U,Benefits!$A:$A,$A$258,Benefits!$E:$E,"Gross Margin",Benefits!$F:$F,"USD",Benefits!$D:$D,"Plan High")</f>
        <v>0.77700000000000002</v>
      </c>
      <c r="G262" s="9">
        <f>SUMIFS(Benefits!$V:$V,Benefits!$A:$A,$A$258,Benefits!$E:$E,"Gross Margin",Benefits!$F:$F,"USD",Benefits!$D:$D,"Plan High")</f>
        <v>0.77700000000000002</v>
      </c>
      <c r="H262" s="9">
        <f>SUMIFS(Benefits!$W:$W,Benefits!$A:$A,$A$258,Benefits!$E:$E,"Gross Margin",Benefits!$F:$F,"USD",Benefits!$D:$D,"Plan High")</f>
        <v>0.77700000000000002</v>
      </c>
      <c r="I262" s="9">
        <f>H262</f>
        <v>0.77700000000000002</v>
      </c>
      <c r="J262" s="45">
        <f>SUM(D262:I262)</f>
        <v>3.6540000000000004</v>
      </c>
      <c r="K262" s="50"/>
    </row>
    <row r="263" spans="1:11" x14ac:dyDescent="0.25">
      <c r="A263" s="17"/>
      <c r="B263" s="7"/>
      <c r="C263" s="8" t="s">
        <v>99</v>
      </c>
      <c r="D263" s="9">
        <f>SUMIFS(Benefits!$S:$S,Benefits!$A:$A,$A$258,Benefits!$E:$E,"Gross Margin",Benefits!$F:$F,"USD",Benefits!$D:$D,"Actual")</f>
        <v>0</v>
      </c>
      <c r="E263" s="9">
        <f>SUMIFS(Benefits!$T:$T,Benefits!$A:$A,$A$258,Benefits!$E:$E,"Gross Margin",Benefits!$F:$F,"USD",Benefits!$D:$D,"Actual")</f>
        <v>0</v>
      </c>
      <c r="F263" s="9">
        <f>SUMIFS(Benefits!$U:$U,Benefits!$A:$A,$A$258,Benefits!$E:$E,"Gross Margin",Benefits!$F:$F,"USD",Benefits!$D:$D,"Actual")</f>
        <v>0</v>
      </c>
      <c r="G263" s="9">
        <f>SUMIFS(Benefits!$V:$V,Benefits!$A:$A,$A$258,Benefits!$E:$E,"Gross Margin",Benefits!$F:$F,"USD",Benefits!$D:$D,"Actual")</f>
        <v>0</v>
      </c>
      <c r="H263" s="9">
        <f>SUMIFS(Benefits!$W:$W,Benefits!$A:$A,$A$258,Benefits!$E:$E,"Gross Margin",Benefits!$F:$F,"USD",Benefits!$D:$D,"Actual")</f>
        <v>0</v>
      </c>
      <c r="I263" s="9">
        <f>H263</f>
        <v>0</v>
      </c>
      <c r="J263" s="45">
        <f>SUM(D263:I263)</f>
        <v>0</v>
      </c>
      <c r="K263" s="50"/>
    </row>
    <row r="264" spans="1:11" x14ac:dyDescent="0.25">
      <c r="A264" s="17"/>
      <c r="B264" s="7"/>
      <c r="C264" s="8" t="s">
        <v>100</v>
      </c>
      <c r="D264" s="9"/>
      <c r="E264" s="9"/>
      <c r="F264" s="9"/>
      <c r="G264" s="9"/>
      <c r="H264" s="9"/>
      <c r="I264" s="9"/>
      <c r="J264" s="45"/>
      <c r="K264" s="50"/>
    </row>
    <row r="265" spans="1:11" x14ac:dyDescent="0.25">
      <c r="A265" s="18"/>
      <c r="B265" s="10"/>
      <c r="C265" s="11" t="s">
        <v>101</v>
      </c>
      <c r="D265" s="12">
        <f>SUMIFS(Costs!$AB:$AB,Costs!$A:$A,$A$258,Costs!$D:$D,"Plan")</f>
        <v>0</v>
      </c>
      <c r="E265" s="12">
        <f>SUMIFS(Costs!$AC:$AC,Costs!$A:$A,$A$258,Costs!$D:$D,"Plan")</f>
        <v>6.3E-2</v>
      </c>
      <c r="F265" s="12">
        <f>SUMIFS(Costs!$AD:$AD,Costs!$A:$A,$A$258,Costs!$D:$D,"Plan")</f>
        <v>6.3E-2</v>
      </c>
      <c r="G265" s="12">
        <f>SUMIFS(Costs!$AE:$AE,Costs!$A:$A,$A$258,Costs!$D:$D,"Plan")</f>
        <v>6.3E-2</v>
      </c>
      <c r="H265" s="12">
        <f>SUMIFS(Costs!$AF:$AF,Costs!$A:$A,$A$258,Costs!$D:$D,"Plan")</f>
        <v>6.3E-2</v>
      </c>
      <c r="I265" s="12">
        <f>H265</f>
        <v>6.3E-2</v>
      </c>
      <c r="J265" s="46">
        <f>SUM(D265:I265)</f>
        <v>0.315</v>
      </c>
      <c r="K265" s="51">
        <v>0.28100000000000003</v>
      </c>
    </row>
    <row r="266" spans="1:11" x14ac:dyDescent="0.25">
      <c r="A266" s="17"/>
      <c r="B266" s="7"/>
      <c r="C266" s="8" t="s">
        <v>102</v>
      </c>
      <c r="D266" s="9">
        <f>SUMIFS(Costs!$AB:$AB,Costs!$A:$A,$A$258,Costs!$D:$D,"Actual")</f>
        <v>0</v>
      </c>
      <c r="E266" s="9">
        <f>SUMIFS(Costs!$AC:$AC,Costs!$A:$A,$A$258,Costs!$D:$D,"Actual")</f>
        <v>0</v>
      </c>
      <c r="F266" s="9">
        <f>SUMIFS(Costs!$AD:$AD,Costs!$A:$A,$A$258,Costs!$D:$D,"Actual")</f>
        <v>0</v>
      </c>
      <c r="G266" s="9">
        <f>SUMIFS(Costs!$AE:$AE,Costs!$A:$A,$A$258,Costs!$D:$D,"Actual")</f>
        <v>0</v>
      </c>
      <c r="H266" s="9">
        <f>SUMIFS(Costs!$AF:$AF,Costs!$A:$A,$A$258,Costs!$D:$D,"Actual")</f>
        <v>0</v>
      </c>
      <c r="I266" s="9">
        <f>H266</f>
        <v>0</v>
      </c>
      <c r="J266" s="45">
        <f>SUM(D266:I266)</f>
        <v>0</v>
      </c>
      <c r="K266" s="50"/>
    </row>
    <row r="267" spans="1:11" x14ac:dyDescent="0.25">
      <c r="A267" s="17"/>
      <c r="B267" s="7"/>
      <c r="C267" s="8" t="s">
        <v>103</v>
      </c>
      <c r="D267" s="9"/>
      <c r="E267" s="9"/>
      <c r="F267" s="9"/>
      <c r="G267" s="9"/>
      <c r="H267" s="9"/>
      <c r="I267" s="9"/>
      <c r="J267" s="45"/>
      <c r="K267" s="50"/>
    </row>
    <row r="268" spans="1:11" x14ac:dyDescent="0.25">
      <c r="A268" s="18"/>
      <c r="B268" s="10"/>
      <c r="C268" s="11" t="s">
        <v>104</v>
      </c>
      <c r="D268" s="12">
        <f>D261-D265</f>
        <v>0</v>
      </c>
      <c r="E268" s="12">
        <f>E261-E265</f>
        <v>0.378</v>
      </c>
      <c r="F268" s="12">
        <f>F261-F265</f>
        <v>0.58800000000000008</v>
      </c>
      <c r="G268" s="12">
        <f>G261-G265</f>
        <v>0.58800000000000008</v>
      </c>
      <c r="H268" s="12">
        <f>H261-H265</f>
        <v>0.58800000000000008</v>
      </c>
      <c r="I268" s="12">
        <f>I261-I265</f>
        <v>0.58800000000000008</v>
      </c>
      <c r="J268" s="46">
        <f>J261-J265</f>
        <v>2.73</v>
      </c>
      <c r="K268" s="51">
        <f>K261-K265</f>
        <v>1.8089999999999997</v>
      </c>
    </row>
    <row r="269" spans="1:11" x14ac:dyDescent="0.25">
      <c r="A269" s="18"/>
      <c r="B269" s="10"/>
      <c r="C269" s="11" t="s">
        <v>105</v>
      </c>
      <c r="D269" s="12">
        <f>D262-D265</f>
        <v>0</v>
      </c>
      <c r="E269" s="12">
        <f>E262-E265</f>
        <v>0.48300000000000004</v>
      </c>
      <c r="F269" s="12">
        <f>F262-F265</f>
        <v>0.71399999999999997</v>
      </c>
      <c r="G269" s="12">
        <f>G262-G265</f>
        <v>0.71399999999999997</v>
      </c>
      <c r="H269" s="12">
        <f>H262-H265</f>
        <v>0.71399999999999997</v>
      </c>
      <c r="I269" s="12">
        <f>I262-I265</f>
        <v>0.71399999999999997</v>
      </c>
      <c r="J269" s="46">
        <f>J262-J265</f>
        <v>3.3390000000000004</v>
      </c>
      <c r="K269" s="50"/>
    </row>
    <row r="270" spans="1:11" x14ac:dyDescent="0.25">
      <c r="A270" s="18"/>
      <c r="B270" s="10"/>
      <c r="C270" s="11" t="s">
        <v>106</v>
      </c>
      <c r="D270" s="12">
        <f>D263-D266</f>
        <v>0</v>
      </c>
      <c r="E270" s="12">
        <f>E263-E266</f>
        <v>0</v>
      </c>
      <c r="F270" s="12">
        <f>F263-F266</f>
        <v>0</v>
      </c>
      <c r="G270" s="12">
        <f>G263-G266</f>
        <v>0</v>
      </c>
      <c r="H270" s="12">
        <f>H263-H266</f>
        <v>0</v>
      </c>
      <c r="I270" s="12">
        <f>I263-I266</f>
        <v>0</v>
      </c>
      <c r="J270" s="46">
        <f>J263-J266</f>
        <v>0</v>
      </c>
      <c r="K270" s="50"/>
    </row>
    <row r="271" spans="1:11" x14ac:dyDescent="0.25">
      <c r="A271" s="17"/>
      <c r="B271" s="7"/>
      <c r="C271" s="8" t="s">
        <v>107</v>
      </c>
      <c r="D271" s="9">
        <f>IFERROR(D270/D266,0)</f>
        <v>0</v>
      </c>
      <c r="E271" s="9">
        <f>IFERROR(E270/E266,0)</f>
        <v>0</v>
      </c>
      <c r="F271" s="9">
        <f>IFERROR(F270/F266,0)</f>
        <v>0</v>
      </c>
      <c r="G271" s="9">
        <f>IFERROR(G270/G266,0)</f>
        <v>0</v>
      </c>
      <c r="H271" s="9">
        <f>IFERROR(H270/H266,0)</f>
        <v>0</v>
      </c>
      <c r="I271" s="9">
        <f>IFERROR(I270/I266,0)</f>
        <v>0</v>
      </c>
      <c r="J271" s="45">
        <f>IFERROR(J270/J266,0)</f>
        <v>0</v>
      </c>
      <c r="K271" s="50">
        <f>IFERROR(K270/K266,0)</f>
        <v>0</v>
      </c>
    </row>
    <row r="272" spans="1:11" x14ac:dyDescent="0.25">
      <c r="A272" s="19"/>
      <c r="B272" s="19"/>
      <c r="C272" s="19"/>
      <c r="D272" s="19"/>
      <c r="E272" s="19"/>
      <c r="F272" s="19"/>
      <c r="G272" s="19"/>
      <c r="H272" s="19"/>
      <c r="I272" s="19"/>
      <c r="J272" s="47"/>
      <c r="K272" s="50"/>
    </row>
    <row r="273" spans="1:11" ht="24" x14ac:dyDescent="0.25">
      <c r="A273" s="6" t="s">
        <v>708</v>
      </c>
      <c r="B273" s="7" t="s">
        <v>707</v>
      </c>
      <c r="C273" s="8" t="s">
        <v>94</v>
      </c>
      <c r="D273" s="9">
        <f>SUMIFS(Benefits!$S:$S,Benefits!$A:$A,$A$273,Benefits!$E:$E,"Revenue",Benefits!$F:$F,"USD",Benefits!$D:$D,"Plan Base")</f>
        <v>0</v>
      </c>
      <c r="E273" s="9">
        <f>SUMIFS(Benefits!$T:$T,Benefits!$A:$A,$A$273,Benefits!$E:$E,"Revenue",Benefits!$F:$F,"USD",Benefits!$D:$D,"Plan Base")</f>
        <v>0</v>
      </c>
      <c r="F273" s="9">
        <f>SUMIFS(Benefits!$U:$U,Benefits!$A:$A,$A$273,Benefits!$E:$E,"Revenue",Benefits!$F:$F,"USD",Benefits!$D:$D,"Plan Base")</f>
        <v>0</v>
      </c>
      <c r="G273" s="9">
        <f>SUMIFS(Benefits!$V:$V,Benefits!$A:$A,$A$273,Benefits!$E:$E,"Revenue",Benefits!$F:$F,"USD",Benefits!$D:$D,"Plan Base")</f>
        <v>0</v>
      </c>
      <c r="H273" s="9">
        <f>SUMIFS(Benefits!$W:$W,Benefits!$A:$A,$A$273,Benefits!$E:$E,"Revenue",Benefits!$F:$F,"USD",Benefits!$D:$D,"Plan Base")</f>
        <v>0</v>
      </c>
      <c r="I273" s="9">
        <f>H273</f>
        <v>0</v>
      </c>
      <c r="J273" s="45">
        <f>SUM(D273:I273)</f>
        <v>0</v>
      </c>
      <c r="K273" s="49">
        <v>0</v>
      </c>
    </row>
    <row r="274" spans="1:11" x14ac:dyDescent="0.25">
      <c r="A274" s="17"/>
      <c r="B274" s="7"/>
      <c r="C274" s="8" t="s">
        <v>95</v>
      </c>
      <c r="D274" s="9">
        <f>SUMIFS(Benefits!$S:$S,Benefits!$A:$A,$A$273,Benefits!$E:$E,"Revenue",Benefits!$F:$F,"USD",Benefits!$D:$D,"Plan High")</f>
        <v>0</v>
      </c>
      <c r="E274" s="9">
        <f>SUMIFS(Benefits!$T:$T,Benefits!$A:$A,$A$273,Benefits!$E:$E,"Revenue",Benefits!$F:$F,"USD",Benefits!$D:$D,"Plan High")</f>
        <v>0</v>
      </c>
      <c r="F274" s="9">
        <f>SUMIFS(Benefits!$U:$U,Benefits!$A:$A,$A$273,Benefits!$E:$E,"Revenue",Benefits!$F:$F,"USD",Benefits!$D:$D,"Plan High")</f>
        <v>0</v>
      </c>
      <c r="G274" s="9">
        <f>SUMIFS(Benefits!$V:$V,Benefits!$A:$A,$A$273,Benefits!$E:$E,"Revenue",Benefits!$F:$F,"USD",Benefits!$D:$D,"Plan High")</f>
        <v>0</v>
      </c>
      <c r="H274" s="9">
        <f>SUMIFS(Benefits!$W:$W,Benefits!$A:$A,$A$273,Benefits!$E:$E,"Revenue",Benefits!$F:$F,"USD",Benefits!$D:$D,"Plan High")</f>
        <v>0</v>
      </c>
      <c r="I274" s="9">
        <f>H274</f>
        <v>0</v>
      </c>
      <c r="J274" s="45">
        <f>SUM(D274:I274)</f>
        <v>0</v>
      </c>
      <c r="K274" s="50">
        <v>0</v>
      </c>
    </row>
    <row r="275" spans="1:11" x14ac:dyDescent="0.25">
      <c r="A275" s="17"/>
      <c r="B275" s="7"/>
      <c r="C275" s="8" t="s">
        <v>96</v>
      </c>
      <c r="D275" s="9">
        <f>SUMIFS(Benefits!$S:$S,Benefits!$A:$A,$A$273,Benefits!$E:$E,"Revenue",Benefits!$F:$F,"USD",Benefits!$D:$D,"Actual")</f>
        <v>0</v>
      </c>
      <c r="E275" s="9">
        <f>SUMIFS(Benefits!$T:$T,Benefits!$A:$A,$A$273,Benefits!$E:$E,"Revenue",Benefits!$F:$F,"USD",Benefits!$D:$D,"Actual")</f>
        <v>0</v>
      </c>
      <c r="F275" s="9">
        <f>SUMIFS(Benefits!$U:$U,Benefits!$A:$A,$A$273,Benefits!$E:$E,"Revenue",Benefits!$F:$F,"USD",Benefits!$D:$D,"Actual")</f>
        <v>0</v>
      </c>
      <c r="G275" s="9">
        <f>SUMIFS(Benefits!$V:$V,Benefits!$A:$A,$A$273,Benefits!$E:$E,"Revenue",Benefits!$F:$F,"USD",Benefits!$D:$D,"Actual")</f>
        <v>0</v>
      </c>
      <c r="H275" s="9">
        <f>SUMIFS(Benefits!$W:$W,Benefits!$A:$A,$A$273,Benefits!$E:$E,"Revenue",Benefits!$F:$F,"USD",Benefits!$D:$D,"Actual")</f>
        <v>0</v>
      </c>
      <c r="I275" s="9">
        <f>H275</f>
        <v>0</v>
      </c>
      <c r="J275" s="45">
        <f>SUM(D275:I275)</f>
        <v>0</v>
      </c>
      <c r="K275" s="50">
        <v>0</v>
      </c>
    </row>
    <row r="276" spans="1:11" x14ac:dyDescent="0.25">
      <c r="A276" s="17"/>
      <c r="B276" s="7"/>
      <c r="C276" s="8" t="s">
        <v>97</v>
      </c>
      <c r="D276" s="9">
        <f>SUMIFS(Benefits!$S:$S,Benefits!$A:$A,$A$273,Benefits!$E:$E,"Gross Margin",Benefits!$F:$F,"USD",Benefits!$D:$D,"Plan Base")</f>
        <v>0</v>
      </c>
      <c r="E276" s="9">
        <f>SUMIFS(Benefits!$T:$T,Benefits!$A:$A,$A$273,Benefits!$E:$E,"Gross Margin",Benefits!$F:$F,"USD",Benefits!$D:$D,"Plan Base")</f>
        <v>1.054</v>
      </c>
      <c r="F276" s="9">
        <f>SUMIFS(Benefits!$U:$U,Benefits!$A:$A,$A$273,Benefits!$E:$E,"Gross Margin",Benefits!$F:$F,"USD",Benefits!$D:$D,"Plan Base")</f>
        <v>1.581</v>
      </c>
      <c r="G276" s="9">
        <f>SUMIFS(Benefits!$V:$V,Benefits!$A:$A,$A$273,Benefits!$E:$E,"Gross Margin",Benefits!$F:$F,"USD",Benefits!$D:$D,"Plan Base")</f>
        <v>1.581</v>
      </c>
      <c r="H276" s="9">
        <f>SUMIFS(Benefits!$W:$W,Benefits!$A:$A,$A$273,Benefits!$E:$E,"Gross Margin",Benefits!$F:$F,"USD",Benefits!$D:$D,"Plan Base")</f>
        <v>1.581</v>
      </c>
      <c r="I276" s="9">
        <f>H276</f>
        <v>1.581</v>
      </c>
      <c r="J276" s="45">
        <f>SUM(D276:I276)</f>
        <v>7.3779999999999983</v>
      </c>
      <c r="K276" s="49">
        <v>7.5010000000000003</v>
      </c>
    </row>
    <row r="277" spans="1:11" x14ac:dyDescent="0.25">
      <c r="A277" s="17"/>
      <c r="B277" s="7"/>
      <c r="C277" s="8" t="s">
        <v>98</v>
      </c>
      <c r="D277" s="9">
        <f>SUMIFS(Benefits!$S:$S,Benefits!$A:$A,$A$273,Benefits!$E:$E,"Gross Margin",Benefits!$F:$F,"USD",Benefits!$D:$D,"Plan High")</f>
        <v>0</v>
      </c>
      <c r="E277" s="9">
        <f>SUMIFS(Benefits!$T:$T,Benefits!$A:$A,$A$273,Benefits!$E:$E,"Gross Margin",Benefits!$F:$F,"USD",Benefits!$D:$D,"Plan High")</f>
        <v>1.411</v>
      </c>
      <c r="F277" s="9">
        <f>SUMIFS(Benefits!$U:$U,Benefits!$A:$A,$A$273,Benefits!$E:$E,"Gross Margin",Benefits!$F:$F,"USD",Benefits!$D:$D,"Plan High")</f>
        <v>2.1080000000000001</v>
      </c>
      <c r="G277" s="9">
        <f>SUMIFS(Benefits!$V:$V,Benefits!$A:$A,$A$273,Benefits!$E:$E,"Gross Margin",Benefits!$F:$F,"USD",Benefits!$D:$D,"Plan High")</f>
        <v>2.1080000000000001</v>
      </c>
      <c r="H277" s="9">
        <f>SUMIFS(Benefits!$W:$W,Benefits!$A:$A,$A$273,Benefits!$E:$E,"Gross Margin",Benefits!$F:$F,"USD",Benefits!$D:$D,"Plan High")</f>
        <v>2.1080000000000001</v>
      </c>
      <c r="I277" s="9">
        <f>H277</f>
        <v>2.1080000000000001</v>
      </c>
      <c r="J277" s="45">
        <f>SUM(D277:I277)</f>
        <v>9.8430000000000017</v>
      </c>
      <c r="K277" s="50"/>
    </row>
    <row r="278" spans="1:11" x14ac:dyDescent="0.25">
      <c r="A278" s="17"/>
      <c r="B278" s="7"/>
      <c r="C278" s="8" t="s">
        <v>99</v>
      </c>
      <c r="D278" s="9">
        <f>SUMIFS(Benefits!$S:$S,Benefits!$A:$A,$A$273,Benefits!$E:$E,"Gross Margin",Benefits!$F:$F,"USD",Benefits!$D:$D,"Actual")</f>
        <v>0</v>
      </c>
      <c r="E278" s="9">
        <f>SUMIFS(Benefits!$T:$T,Benefits!$A:$A,$A$273,Benefits!$E:$E,"Gross Margin",Benefits!$F:$F,"USD",Benefits!$D:$D,"Actual")</f>
        <v>0</v>
      </c>
      <c r="F278" s="9">
        <f>SUMIFS(Benefits!$U:$U,Benefits!$A:$A,$A$273,Benefits!$E:$E,"Gross Margin",Benefits!$F:$F,"USD",Benefits!$D:$D,"Actual")</f>
        <v>0</v>
      </c>
      <c r="G278" s="9">
        <f>SUMIFS(Benefits!$V:$V,Benefits!$A:$A,$A$273,Benefits!$E:$E,"Gross Margin",Benefits!$F:$F,"USD",Benefits!$D:$D,"Actual")</f>
        <v>0</v>
      </c>
      <c r="H278" s="9">
        <f>SUMIFS(Benefits!$W:$W,Benefits!$A:$A,$A$273,Benefits!$E:$E,"Gross Margin",Benefits!$F:$F,"USD",Benefits!$D:$D,"Actual")</f>
        <v>0</v>
      </c>
      <c r="I278" s="9">
        <f>H278</f>
        <v>0</v>
      </c>
      <c r="J278" s="45">
        <f>SUM(D278:I278)</f>
        <v>0</v>
      </c>
      <c r="K278" s="50"/>
    </row>
    <row r="279" spans="1:11" x14ac:dyDescent="0.25">
      <c r="A279" s="17"/>
      <c r="B279" s="7"/>
      <c r="C279" s="8" t="s">
        <v>100</v>
      </c>
      <c r="D279" s="9"/>
      <c r="E279" s="9"/>
      <c r="F279" s="9"/>
      <c r="G279" s="9"/>
      <c r="H279" s="9"/>
      <c r="I279" s="9"/>
      <c r="J279" s="45"/>
      <c r="K279" s="50"/>
    </row>
    <row r="280" spans="1:11" x14ac:dyDescent="0.25">
      <c r="A280" s="18"/>
      <c r="B280" s="10"/>
      <c r="C280" s="11" t="s">
        <v>101</v>
      </c>
      <c r="D280" s="12">
        <f>SUMIFS(Costs!$AB:$AB,Costs!$A:$A,$A$273,Costs!$D:$D,"Plan")</f>
        <v>0</v>
      </c>
      <c r="E280" s="12">
        <f>SUMIFS(Costs!$AC:$AC,Costs!$A:$A,$A$273,Costs!$D:$D,"Plan")</f>
        <v>8.5000000000000006E-2</v>
      </c>
      <c r="F280" s="12">
        <f>SUMIFS(Costs!$AD:$AD,Costs!$A:$A,$A$273,Costs!$D:$D,"Plan")</f>
        <v>8.5000000000000006E-2</v>
      </c>
      <c r="G280" s="12">
        <f>SUMIFS(Costs!$AE:$AE,Costs!$A:$A,$A$273,Costs!$D:$D,"Plan")</f>
        <v>8.5000000000000006E-2</v>
      </c>
      <c r="H280" s="12">
        <f>SUMIFS(Costs!$AF:$AF,Costs!$A:$A,$A$273,Costs!$D:$D,"Plan")</f>
        <v>8.5000000000000006E-2</v>
      </c>
      <c r="I280" s="12">
        <f>H280</f>
        <v>8.5000000000000006E-2</v>
      </c>
      <c r="J280" s="46">
        <f>SUM(D280:I280)</f>
        <v>0.42500000000000004</v>
      </c>
      <c r="K280" s="51">
        <v>0.26300000000000001</v>
      </c>
    </row>
    <row r="281" spans="1:11" x14ac:dyDescent="0.25">
      <c r="A281" s="17"/>
      <c r="B281" s="7"/>
      <c r="C281" s="8" t="s">
        <v>102</v>
      </c>
      <c r="D281" s="9">
        <f>SUMIFS(Costs!$AB:$AB,Costs!$A:$A,$A$273,Costs!$D:$D,"Actual")</f>
        <v>0</v>
      </c>
      <c r="E281" s="9">
        <f>SUMIFS(Costs!$AC:$AC,Costs!$A:$A,$A$273,Costs!$D:$D,"Actual")</f>
        <v>0</v>
      </c>
      <c r="F281" s="9">
        <f>SUMIFS(Costs!$AD:$AD,Costs!$A:$A,$A$273,Costs!$D:$D,"Actual")</f>
        <v>0</v>
      </c>
      <c r="G281" s="9">
        <f>SUMIFS(Costs!$AE:$AE,Costs!$A:$A,$A$273,Costs!$D:$D,"Actual")</f>
        <v>0</v>
      </c>
      <c r="H281" s="9">
        <f>SUMIFS(Costs!$AF:$AF,Costs!$A:$A,$A$273,Costs!$D:$D,"Actual")</f>
        <v>0</v>
      </c>
      <c r="I281" s="9">
        <f>H281</f>
        <v>0</v>
      </c>
      <c r="J281" s="45">
        <f>SUM(D281:I281)</f>
        <v>0</v>
      </c>
      <c r="K281" s="50"/>
    </row>
    <row r="282" spans="1:11" x14ac:dyDescent="0.25">
      <c r="A282" s="17"/>
      <c r="B282" s="7"/>
      <c r="C282" s="8" t="s">
        <v>103</v>
      </c>
      <c r="D282" s="9"/>
      <c r="E282" s="9"/>
      <c r="F282" s="9"/>
      <c r="G282" s="9"/>
      <c r="H282" s="9"/>
      <c r="I282" s="9"/>
      <c r="J282" s="45"/>
      <c r="K282" s="50"/>
    </row>
    <row r="283" spans="1:11" x14ac:dyDescent="0.25">
      <c r="A283" s="18"/>
      <c r="B283" s="10"/>
      <c r="C283" s="11" t="s">
        <v>104</v>
      </c>
      <c r="D283" s="12">
        <f>D276-D280</f>
        <v>0</v>
      </c>
      <c r="E283" s="12">
        <f>E276-E280</f>
        <v>0.96900000000000008</v>
      </c>
      <c r="F283" s="12">
        <f>F276-F280</f>
        <v>1.496</v>
      </c>
      <c r="G283" s="12">
        <f>G276-G280</f>
        <v>1.496</v>
      </c>
      <c r="H283" s="12">
        <f>H276-H280</f>
        <v>1.496</v>
      </c>
      <c r="I283" s="12">
        <f>I276-I280</f>
        <v>1.496</v>
      </c>
      <c r="J283" s="46">
        <f>J276-J280</f>
        <v>6.9529999999999985</v>
      </c>
      <c r="K283" s="51">
        <f>K276-K280</f>
        <v>7.2380000000000004</v>
      </c>
    </row>
    <row r="284" spans="1:11" x14ac:dyDescent="0.25">
      <c r="A284" s="18"/>
      <c r="B284" s="10"/>
      <c r="C284" s="11" t="s">
        <v>105</v>
      </c>
      <c r="D284" s="12">
        <f>D277-D280</f>
        <v>0</v>
      </c>
      <c r="E284" s="12">
        <f>E277-E280</f>
        <v>1.3260000000000001</v>
      </c>
      <c r="F284" s="12">
        <f>F277-F280</f>
        <v>2.0230000000000001</v>
      </c>
      <c r="G284" s="12">
        <f>G277-G280</f>
        <v>2.0230000000000001</v>
      </c>
      <c r="H284" s="12">
        <f>H277-H280</f>
        <v>2.0230000000000001</v>
      </c>
      <c r="I284" s="12">
        <f>I277-I280</f>
        <v>2.0230000000000001</v>
      </c>
      <c r="J284" s="46">
        <f>J277-J280</f>
        <v>9.418000000000001</v>
      </c>
      <c r="K284" s="50"/>
    </row>
    <row r="285" spans="1:11" x14ac:dyDescent="0.25">
      <c r="A285" s="18"/>
      <c r="B285" s="10"/>
      <c r="C285" s="11" t="s">
        <v>106</v>
      </c>
      <c r="D285" s="12">
        <f>D278-D281</f>
        <v>0</v>
      </c>
      <c r="E285" s="12">
        <f>E278-E281</f>
        <v>0</v>
      </c>
      <c r="F285" s="12">
        <f>F278-F281</f>
        <v>0</v>
      </c>
      <c r="G285" s="12">
        <f>G278-G281</f>
        <v>0</v>
      </c>
      <c r="H285" s="12">
        <f>H278-H281</f>
        <v>0</v>
      </c>
      <c r="I285" s="12">
        <f>I278-I281</f>
        <v>0</v>
      </c>
      <c r="J285" s="46">
        <f>J278-J281</f>
        <v>0</v>
      </c>
      <c r="K285" s="50"/>
    </row>
    <row r="286" spans="1:11" x14ac:dyDescent="0.25">
      <c r="A286" s="17"/>
      <c r="B286" s="7"/>
      <c r="C286" s="8" t="s">
        <v>107</v>
      </c>
      <c r="D286" s="9">
        <f>IFERROR(D285/D281,0)</f>
        <v>0</v>
      </c>
      <c r="E286" s="9">
        <f>IFERROR(E285/E281,0)</f>
        <v>0</v>
      </c>
      <c r="F286" s="9">
        <f>IFERROR(F285/F281,0)</f>
        <v>0</v>
      </c>
      <c r="G286" s="9">
        <f>IFERROR(G285/G281,0)</f>
        <v>0</v>
      </c>
      <c r="H286" s="9">
        <f>IFERROR(H285/H281,0)</f>
        <v>0</v>
      </c>
      <c r="I286" s="9">
        <f>IFERROR(I285/I281,0)</f>
        <v>0</v>
      </c>
      <c r="J286" s="45">
        <f>IFERROR(J285/J281,0)</f>
        <v>0</v>
      </c>
      <c r="K286" s="50">
        <f>IFERROR(K285/K281,0)</f>
        <v>0</v>
      </c>
    </row>
    <row r="287" spans="1:11" x14ac:dyDescent="0.25">
      <c r="A287" s="19"/>
      <c r="B287" s="19"/>
      <c r="C287" s="19"/>
      <c r="D287" s="19"/>
      <c r="E287" s="19"/>
      <c r="F287" s="19"/>
      <c r="G287" s="19"/>
      <c r="H287" s="19"/>
      <c r="I287" s="19"/>
      <c r="J287" s="47"/>
      <c r="K287" s="50"/>
    </row>
    <row r="288" spans="1:11" x14ac:dyDescent="0.25">
      <c r="A288" s="6" t="s">
        <v>711</v>
      </c>
      <c r="B288" s="7" t="s">
        <v>710</v>
      </c>
      <c r="C288" s="8" t="s">
        <v>94</v>
      </c>
      <c r="D288" s="9">
        <f>SUMIFS(Benefits!$S:$S,Benefits!$A:$A,$A$288,Benefits!$E:$E,"Revenue",Benefits!$F:$F,"USD",Benefits!$D:$D,"Plan Base")</f>
        <v>0.59799999999999998</v>
      </c>
      <c r="E288" s="9">
        <f>SUMIFS(Benefits!$T:$T,Benefits!$A:$A,$A$288,Benefits!$E:$E,"Revenue",Benefits!$F:$F,"USD",Benefits!$D:$D,"Plan Base")</f>
        <v>1.2649999999999999</v>
      </c>
      <c r="F288" s="9">
        <f>SUMIFS(Benefits!$U:$U,Benefits!$A:$A,$A$288,Benefits!$E:$E,"Revenue",Benefits!$F:$F,"USD",Benefits!$D:$D,"Plan Base")</f>
        <v>1.2649999999999999</v>
      </c>
      <c r="G288" s="9">
        <f>SUMIFS(Benefits!$V:$V,Benefits!$A:$A,$A$288,Benefits!$E:$E,"Revenue",Benefits!$F:$F,"USD",Benefits!$D:$D,"Plan Base")</f>
        <v>1.2649999999999999</v>
      </c>
      <c r="H288" s="9">
        <f>SUMIFS(Benefits!$W:$W,Benefits!$A:$A,$A$288,Benefits!$E:$E,"Revenue",Benefits!$F:$F,"USD",Benefits!$D:$D,"Plan Base")</f>
        <v>1.2649999999999999</v>
      </c>
      <c r="I288" s="9">
        <f>H288</f>
        <v>1.2649999999999999</v>
      </c>
      <c r="J288" s="45">
        <f>SUM(D288:I288)</f>
        <v>6.9229999999999992</v>
      </c>
      <c r="K288" s="49">
        <v>6.2560000000000002</v>
      </c>
    </row>
    <row r="289" spans="1:11" x14ac:dyDescent="0.25">
      <c r="A289" s="17"/>
      <c r="B289" s="7"/>
      <c r="C289" s="8" t="s">
        <v>95</v>
      </c>
      <c r="D289" s="9">
        <f>SUMIFS(Benefits!$S:$S,Benefits!$A:$A,$A$288,Benefits!$E:$E,"Revenue",Benefits!$F:$F,"USD",Benefits!$D:$D,"Plan High")</f>
        <v>0.89700000000000002</v>
      </c>
      <c r="E289" s="9">
        <f>SUMIFS(Benefits!$T:$T,Benefits!$A:$A,$A$288,Benefits!$E:$E,"Revenue",Benefits!$F:$F,"USD",Benefits!$D:$D,"Plan High")</f>
        <v>1.794</v>
      </c>
      <c r="F289" s="9">
        <f>SUMIFS(Benefits!$U:$U,Benefits!$A:$A,$A$288,Benefits!$E:$E,"Revenue",Benefits!$F:$F,"USD",Benefits!$D:$D,"Plan High")</f>
        <v>1.794</v>
      </c>
      <c r="G289" s="9">
        <f>SUMIFS(Benefits!$V:$V,Benefits!$A:$A,$A$288,Benefits!$E:$E,"Revenue",Benefits!$F:$F,"USD",Benefits!$D:$D,"Plan High")</f>
        <v>1.794</v>
      </c>
      <c r="H289" s="9">
        <f>SUMIFS(Benefits!$W:$W,Benefits!$A:$A,$A$288,Benefits!$E:$E,"Revenue",Benefits!$F:$F,"USD",Benefits!$D:$D,"Plan High")</f>
        <v>1.794</v>
      </c>
      <c r="I289" s="9">
        <f>H289</f>
        <v>1.794</v>
      </c>
      <c r="J289" s="45">
        <f>SUM(D289:I289)</f>
        <v>9.8670000000000009</v>
      </c>
      <c r="K289" s="50"/>
    </row>
    <row r="290" spans="1:11" x14ac:dyDescent="0.25">
      <c r="A290" s="17"/>
      <c r="B290" s="7"/>
      <c r="C290" s="8" t="s">
        <v>96</v>
      </c>
      <c r="D290" s="9">
        <f>SUMIFS(Benefits!$S:$S,Benefits!$A:$A,$A$288,Benefits!$E:$E,"Revenue",Benefits!$F:$F,"USD",Benefits!$D:$D,"Actual")</f>
        <v>0</v>
      </c>
      <c r="E290" s="9">
        <f>SUMIFS(Benefits!$T:$T,Benefits!$A:$A,$A$288,Benefits!$E:$E,"Revenue",Benefits!$F:$F,"USD",Benefits!$D:$D,"Actual")</f>
        <v>0</v>
      </c>
      <c r="F290" s="9">
        <f>SUMIFS(Benefits!$U:$U,Benefits!$A:$A,$A$288,Benefits!$E:$E,"Revenue",Benefits!$F:$F,"USD",Benefits!$D:$D,"Actual")</f>
        <v>0</v>
      </c>
      <c r="G290" s="9">
        <f>SUMIFS(Benefits!$V:$V,Benefits!$A:$A,$A$288,Benefits!$E:$E,"Revenue",Benefits!$F:$F,"USD",Benefits!$D:$D,"Actual")</f>
        <v>0</v>
      </c>
      <c r="H290" s="9">
        <f>SUMIFS(Benefits!$W:$W,Benefits!$A:$A,$A$288,Benefits!$E:$E,"Revenue",Benefits!$F:$F,"USD",Benefits!$D:$D,"Actual")</f>
        <v>0</v>
      </c>
      <c r="I290" s="9">
        <f>H290</f>
        <v>0</v>
      </c>
      <c r="J290" s="45">
        <f>SUM(D290:I290)</f>
        <v>0</v>
      </c>
      <c r="K290" s="50"/>
    </row>
    <row r="291" spans="1:11" x14ac:dyDescent="0.25">
      <c r="A291" s="17"/>
      <c r="B291" s="7"/>
      <c r="C291" s="8" t="s">
        <v>97</v>
      </c>
      <c r="D291" s="9">
        <f>SUMIFS(Benefits!$S:$S,Benefits!$A:$A,$A$288,Benefits!$E:$E,"Gross Margin",Benefits!$F:$F,"USD",Benefits!$D:$D,"Plan Base")</f>
        <v>0.32200000000000001</v>
      </c>
      <c r="E291" s="9">
        <f>SUMIFS(Benefits!$T:$T,Benefits!$A:$A,$A$288,Benefits!$E:$E,"Gross Margin",Benefits!$F:$F,"USD",Benefits!$D:$D,"Plan Base")</f>
        <v>0.82799999999999996</v>
      </c>
      <c r="F291" s="9">
        <f>SUMIFS(Benefits!$U:$U,Benefits!$A:$A,$A$288,Benefits!$E:$E,"Gross Margin",Benefits!$F:$F,"USD",Benefits!$D:$D,"Plan Base")</f>
        <v>0.82799999999999996</v>
      </c>
      <c r="G291" s="9">
        <f>SUMIFS(Benefits!$V:$V,Benefits!$A:$A,$A$288,Benefits!$E:$E,"Gross Margin",Benefits!$F:$F,"USD",Benefits!$D:$D,"Plan Base")</f>
        <v>0.82799999999999996</v>
      </c>
      <c r="H291" s="9">
        <f>SUMIFS(Benefits!$W:$W,Benefits!$A:$A,$A$288,Benefits!$E:$E,"Gross Margin",Benefits!$F:$F,"USD",Benefits!$D:$D,"Plan Base")</f>
        <v>0.82799999999999996</v>
      </c>
      <c r="I291" s="9">
        <f>H291</f>
        <v>0.82799999999999996</v>
      </c>
      <c r="J291" s="45">
        <f>SUM(D291:I291)</f>
        <v>4.4619999999999997</v>
      </c>
      <c r="K291" s="49">
        <v>3.109</v>
      </c>
    </row>
    <row r="292" spans="1:11" x14ac:dyDescent="0.25">
      <c r="A292" s="17"/>
      <c r="B292" s="7"/>
      <c r="C292" s="8" t="s">
        <v>98</v>
      </c>
      <c r="D292" s="9">
        <f>SUMIFS(Benefits!$S:$S,Benefits!$A:$A,$A$288,Benefits!$E:$E,"Gross Margin",Benefits!$F:$F,"USD",Benefits!$D:$D,"Plan High")</f>
        <v>0.41399999999999998</v>
      </c>
      <c r="E292" s="9">
        <f>SUMIFS(Benefits!$T:$T,Benefits!$A:$A,$A$288,Benefits!$E:$E,"Gross Margin",Benefits!$F:$F,"USD",Benefits!$D:$D,"Plan High")</f>
        <v>1.173</v>
      </c>
      <c r="F292" s="9">
        <f>SUMIFS(Benefits!$U:$U,Benefits!$A:$A,$A$288,Benefits!$E:$E,"Gross Margin",Benefits!$F:$F,"USD",Benefits!$D:$D,"Plan High")</f>
        <v>1.173</v>
      </c>
      <c r="G292" s="9">
        <f>SUMIFS(Benefits!$V:$V,Benefits!$A:$A,$A$288,Benefits!$E:$E,"Gross Margin",Benefits!$F:$F,"USD",Benefits!$D:$D,"Plan High")</f>
        <v>1.173</v>
      </c>
      <c r="H292" s="9">
        <f>SUMIFS(Benefits!$W:$W,Benefits!$A:$A,$A$288,Benefits!$E:$E,"Gross Margin",Benefits!$F:$F,"USD",Benefits!$D:$D,"Plan High")</f>
        <v>1.173</v>
      </c>
      <c r="I292" s="9">
        <f>H292</f>
        <v>1.173</v>
      </c>
      <c r="J292" s="45">
        <f>SUM(D292:I292)</f>
        <v>6.2789999999999999</v>
      </c>
      <c r="K292" s="50"/>
    </row>
    <row r="293" spans="1:11" x14ac:dyDescent="0.25">
      <c r="A293" s="17"/>
      <c r="B293" s="7"/>
      <c r="C293" s="8" t="s">
        <v>99</v>
      </c>
      <c r="D293" s="9">
        <f>SUMIFS(Benefits!$S:$S,Benefits!$A:$A,$A$288,Benefits!$E:$E,"Gross Margin",Benefits!$F:$F,"USD",Benefits!$D:$D,"Actual")</f>
        <v>0</v>
      </c>
      <c r="E293" s="9">
        <f>SUMIFS(Benefits!$T:$T,Benefits!$A:$A,$A$288,Benefits!$E:$E,"Gross Margin",Benefits!$F:$F,"USD",Benefits!$D:$D,"Actual")</f>
        <v>0</v>
      </c>
      <c r="F293" s="9">
        <f>SUMIFS(Benefits!$U:$U,Benefits!$A:$A,$A$288,Benefits!$E:$E,"Gross Margin",Benefits!$F:$F,"USD",Benefits!$D:$D,"Actual")</f>
        <v>0</v>
      </c>
      <c r="G293" s="9">
        <f>SUMIFS(Benefits!$V:$V,Benefits!$A:$A,$A$288,Benefits!$E:$E,"Gross Margin",Benefits!$F:$F,"USD",Benefits!$D:$D,"Actual")</f>
        <v>0</v>
      </c>
      <c r="H293" s="9">
        <f>SUMIFS(Benefits!$W:$W,Benefits!$A:$A,$A$288,Benefits!$E:$E,"Gross Margin",Benefits!$F:$F,"USD",Benefits!$D:$D,"Actual")</f>
        <v>0</v>
      </c>
      <c r="I293" s="9">
        <f>H293</f>
        <v>0</v>
      </c>
      <c r="J293" s="45">
        <f>SUM(D293:I293)</f>
        <v>0</v>
      </c>
      <c r="K293" s="50"/>
    </row>
    <row r="294" spans="1:11" x14ac:dyDescent="0.25">
      <c r="A294" s="17"/>
      <c r="B294" s="7"/>
      <c r="C294" s="8" t="s">
        <v>100</v>
      </c>
      <c r="D294" s="9"/>
      <c r="E294" s="9"/>
      <c r="F294" s="9"/>
      <c r="G294" s="9"/>
      <c r="H294" s="9"/>
      <c r="I294" s="9"/>
      <c r="J294" s="45"/>
      <c r="K294" s="50"/>
    </row>
    <row r="295" spans="1:11" x14ac:dyDescent="0.25">
      <c r="A295" s="18"/>
      <c r="B295" s="10"/>
      <c r="C295" s="11" t="s">
        <v>101</v>
      </c>
      <c r="D295" s="12">
        <f>SUMIFS(Costs!$AB:$AB,Costs!$A:$A,$A$288,Costs!$D:$D,"Plan")</f>
        <v>0.71299999999999997</v>
      </c>
      <c r="E295" s="12">
        <f>SUMIFS(Costs!$AC:$AC,Costs!$A:$A,$A$288,Costs!$D:$D,"Plan")</f>
        <v>0.73599999999999999</v>
      </c>
      <c r="F295" s="12">
        <f>SUMIFS(Costs!$AD:$AD,Costs!$A:$A,$A$288,Costs!$D:$D,"Plan")</f>
        <v>0.73599999999999999</v>
      </c>
      <c r="G295" s="12">
        <f>SUMIFS(Costs!$AE:$AE,Costs!$A:$A,$A$288,Costs!$D:$D,"Plan")</f>
        <v>0.73599999999999999</v>
      </c>
      <c r="H295" s="12">
        <f>SUMIFS(Costs!$AF:$AF,Costs!$A:$A,$A$288,Costs!$D:$D,"Plan")</f>
        <v>0.73599999999999999</v>
      </c>
      <c r="I295" s="12">
        <f>H295</f>
        <v>0.73599999999999999</v>
      </c>
      <c r="J295" s="46">
        <f>SUM(D295:I295)</f>
        <v>4.3929999999999989</v>
      </c>
      <c r="K295" s="51">
        <v>3.03</v>
      </c>
    </row>
    <row r="296" spans="1:11" x14ac:dyDescent="0.25">
      <c r="A296" s="17"/>
      <c r="B296" s="7"/>
      <c r="C296" s="8" t="s">
        <v>102</v>
      </c>
      <c r="D296" s="9">
        <f>SUMIFS(Costs!$AB:$AB,Costs!$A:$A,$A$288,Costs!$D:$D,"Actual")</f>
        <v>0</v>
      </c>
      <c r="E296" s="9">
        <f>SUMIFS(Costs!$AC:$AC,Costs!$A:$A,$A$288,Costs!$D:$D,"Actual")</f>
        <v>0</v>
      </c>
      <c r="F296" s="9">
        <f>SUMIFS(Costs!$AD:$AD,Costs!$A:$A,$A$288,Costs!$D:$D,"Actual")</f>
        <v>0</v>
      </c>
      <c r="G296" s="9">
        <f>SUMIFS(Costs!$AE:$AE,Costs!$A:$A,$A$288,Costs!$D:$D,"Actual")</f>
        <v>0</v>
      </c>
      <c r="H296" s="9">
        <f>SUMIFS(Costs!$AF:$AF,Costs!$A:$A,$A$288,Costs!$D:$D,"Actual")</f>
        <v>0</v>
      </c>
      <c r="I296" s="9">
        <f>H296</f>
        <v>0</v>
      </c>
      <c r="J296" s="45">
        <f>SUM(D296:I296)</f>
        <v>0</v>
      </c>
      <c r="K296" s="50"/>
    </row>
    <row r="297" spans="1:11" x14ac:dyDescent="0.25">
      <c r="A297" s="17"/>
      <c r="B297" s="7"/>
      <c r="C297" s="8" t="s">
        <v>103</v>
      </c>
      <c r="D297" s="9"/>
      <c r="E297" s="9"/>
      <c r="F297" s="9"/>
      <c r="G297" s="9"/>
      <c r="H297" s="9"/>
      <c r="I297" s="9"/>
      <c r="J297" s="45"/>
      <c r="K297" s="50"/>
    </row>
    <row r="298" spans="1:11" x14ac:dyDescent="0.25">
      <c r="A298" s="18"/>
      <c r="B298" s="10"/>
      <c r="C298" s="11" t="s">
        <v>104</v>
      </c>
      <c r="D298" s="12">
        <f>D291-D295</f>
        <v>-0.39099999999999996</v>
      </c>
      <c r="E298" s="12">
        <f>E291-E295</f>
        <v>9.1999999999999971E-2</v>
      </c>
      <c r="F298" s="12">
        <f>F291-F295</f>
        <v>9.1999999999999971E-2</v>
      </c>
      <c r="G298" s="12">
        <f>G291-G295</f>
        <v>9.1999999999999971E-2</v>
      </c>
      <c r="H298" s="12">
        <f>H291-H295</f>
        <v>9.1999999999999971E-2</v>
      </c>
      <c r="I298" s="12">
        <f>I291-I295</f>
        <v>9.1999999999999971E-2</v>
      </c>
      <c r="J298" s="46">
        <f>J291-J295</f>
        <v>6.9000000000000838E-2</v>
      </c>
      <c r="K298" s="51">
        <f>K291-K295</f>
        <v>7.9000000000000181E-2</v>
      </c>
    </row>
    <row r="299" spans="1:11" x14ac:dyDescent="0.25">
      <c r="A299" s="18"/>
      <c r="B299" s="10"/>
      <c r="C299" s="11" t="s">
        <v>105</v>
      </c>
      <c r="D299" s="12">
        <f>D292-D295</f>
        <v>-0.29899999999999999</v>
      </c>
      <c r="E299" s="12">
        <f>E292-E295</f>
        <v>0.43700000000000006</v>
      </c>
      <c r="F299" s="12">
        <f>F292-F295</f>
        <v>0.43700000000000006</v>
      </c>
      <c r="G299" s="12">
        <f>G292-G295</f>
        <v>0.43700000000000006</v>
      </c>
      <c r="H299" s="12">
        <f>H292-H295</f>
        <v>0.43700000000000006</v>
      </c>
      <c r="I299" s="12">
        <f>I292-I295</f>
        <v>0.43700000000000006</v>
      </c>
      <c r="J299" s="46">
        <f>J292-J295</f>
        <v>1.886000000000001</v>
      </c>
      <c r="K299" s="50"/>
    </row>
    <row r="300" spans="1:11" x14ac:dyDescent="0.25">
      <c r="A300" s="18"/>
      <c r="B300" s="10"/>
      <c r="C300" s="11" t="s">
        <v>106</v>
      </c>
      <c r="D300" s="12">
        <f>D293-D296</f>
        <v>0</v>
      </c>
      <c r="E300" s="12">
        <f>E293-E296</f>
        <v>0</v>
      </c>
      <c r="F300" s="12">
        <f>F293-F296</f>
        <v>0</v>
      </c>
      <c r="G300" s="12">
        <f>G293-G296</f>
        <v>0</v>
      </c>
      <c r="H300" s="12">
        <f>H293-H296</f>
        <v>0</v>
      </c>
      <c r="I300" s="12">
        <f>I293-I296</f>
        <v>0</v>
      </c>
      <c r="J300" s="46">
        <f>J293-J296</f>
        <v>0</v>
      </c>
      <c r="K300" s="50"/>
    </row>
    <row r="301" spans="1:11" x14ac:dyDescent="0.25">
      <c r="A301" s="17"/>
      <c r="B301" s="7"/>
      <c r="C301" s="8" t="s">
        <v>107</v>
      </c>
      <c r="D301" s="9">
        <f>IFERROR(D300/D296,0)</f>
        <v>0</v>
      </c>
      <c r="E301" s="9">
        <f>IFERROR(E300/E296,0)</f>
        <v>0</v>
      </c>
      <c r="F301" s="9">
        <f>IFERROR(F300/F296,0)</f>
        <v>0</v>
      </c>
      <c r="G301" s="9">
        <f>IFERROR(G300/G296,0)</f>
        <v>0</v>
      </c>
      <c r="H301" s="9">
        <f>IFERROR(H300/H296,0)</f>
        <v>0</v>
      </c>
      <c r="I301" s="9">
        <f>IFERROR(I300/I296,0)</f>
        <v>0</v>
      </c>
      <c r="J301" s="45">
        <f>IFERROR(J300/J296,0)</f>
        <v>0</v>
      </c>
      <c r="K301" s="50">
        <f>IFERROR(K300/K296,0)</f>
        <v>0</v>
      </c>
    </row>
    <row r="302" spans="1:11" x14ac:dyDescent="0.25">
      <c r="A302" s="19"/>
      <c r="B302" s="19"/>
      <c r="C302" s="19"/>
      <c r="D302" s="19"/>
      <c r="E302" s="19"/>
      <c r="F302" s="19"/>
      <c r="G302" s="19"/>
      <c r="H302" s="19"/>
      <c r="I302" s="19"/>
      <c r="J302" s="47"/>
      <c r="K302" s="50"/>
    </row>
    <row r="303" spans="1:11" ht="24" x14ac:dyDescent="0.25">
      <c r="A303" s="6" t="s">
        <v>715</v>
      </c>
      <c r="B303" s="7" t="s">
        <v>714</v>
      </c>
      <c r="C303" s="8" t="s">
        <v>94</v>
      </c>
      <c r="D303" s="9">
        <f>SUMIFS(Benefits!$S:$S,Benefits!$A:$A,$A$303,Benefits!$E:$E,"Revenue",Benefits!$F:$F,"USD",Benefits!$D:$D,"Plan Base")</f>
        <v>0</v>
      </c>
      <c r="E303" s="9">
        <f>SUMIFS(Benefits!$T:$T,Benefits!$A:$A,$A$303,Benefits!$E:$E,"Revenue",Benefits!$F:$F,"USD",Benefits!$D:$D,"Plan Base")</f>
        <v>0.77900000000000003</v>
      </c>
      <c r="F303" s="9">
        <f>SUMIFS(Benefits!$U:$U,Benefits!$A:$A,$A$303,Benefits!$E:$E,"Revenue",Benefits!$F:$F,"USD",Benefits!$D:$D,"Plan Base")</f>
        <v>2.3370000000000002</v>
      </c>
      <c r="G303" s="9">
        <f>SUMIFS(Benefits!$V:$V,Benefits!$A:$A,$A$303,Benefits!$E:$E,"Revenue",Benefits!$F:$F,"USD",Benefits!$D:$D,"Plan Base")</f>
        <v>2.3370000000000002</v>
      </c>
      <c r="H303" s="9">
        <f>SUMIFS(Benefits!$W:$W,Benefits!$A:$A,$A$303,Benefits!$E:$E,"Revenue",Benefits!$F:$F,"USD",Benefits!$D:$D,"Plan Base")</f>
        <v>2.3370000000000002</v>
      </c>
      <c r="I303" s="9">
        <f>H303</f>
        <v>2.3370000000000002</v>
      </c>
      <c r="J303" s="45">
        <f>SUM(D303:I303)</f>
        <v>10.127000000000001</v>
      </c>
      <c r="K303" s="49">
        <v>11.006</v>
      </c>
    </row>
    <row r="304" spans="1:11" x14ac:dyDescent="0.25">
      <c r="A304" s="17"/>
      <c r="B304" s="7"/>
      <c r="C304" s="8" t="s">
        <v>95</v>
      </c>
      <c r="D304" s="9">
        <f>SUMIFS(Benefits!$S:$S,Benefits!$A:$A,$A$303,Benefits!$E:$E,"Revenue",Benefits!$F:$F,"USD",Benefits!$D:$D,"Plan High")</f>
        <v>0</v>
      </c>
      <c r="E304" s="9">
        <f>SUMIFS(Benefits!$T:$T,Benefits!$A:$A,$A$303,Benefits!$E:$E,"Revenue",Benefits!$F:$F,"USD",Benefits!$D:$D,"Plan High")</f>
        <v>0.96899999999999997</v>
      </c>
      <c r="F304" s="9">
        <f>SUMIFS(Benefits!$U:$U,Benefits!$A:$A,$A$303,Benefits!$E:$E,"Revenue",Benefits!$F:$F,"USD",Benefits!$D:$D,"Plan High")</f>
        <v>2.9260000000000002</v>
      </c>
      <c r="G304" s="9">
        <f>SUMIFS(Benefits!$V:$V,Benefits!$A:$A,$A$303,Benefits!$E:$E,"Revenue",Benefits!$F:$F,"USD",Benefits!$D:$D,"Plan High")</f>
        <v>2.9260000000000002</v>
      </c>
      <c r="H304" s="9">
        <f>SUMIFS(Benefits!$W:$W,Benefits!$A:$A,$A$303,Benefits!$E:$E,"Revenue",Benefits!$F:$F,"USD",Benefits!$D:$D,"Plan High")</f>
        <v>2.9260000000000002</v>
      </c>
      <c r="I304" s="9">
        <f>H304</f>
        <v>2.9260000000000002</v>
      </c>
      <c r="J304" s="45">
        <f>SUM(D304:I304)</f>
        <v>12.673</v>
      </c>
      <c r="K304" s="50"/>
    </row>
    <row r="305" spans="1:11" x14ac:dyDescent="0.25">
      <c r="A305" s="17"/>
      <c r="B305" s="7"/>
      <c r="C305" s="8" t="s">
        <v>96</v>
      </c>
      <c r="D305" s="9">
        <f>SUMIFS(Benefits!$S:$S,Benefits!$A:$A,$A$303,Benefits!$E:$E,"Revenue",Benefits!$F:$F,"USD",Benefits!$D:$D,"Actual")</f>
        <v>0</v>
      </c>
      <c r="E305" s="9">
        <f>SUMIFS(Benefits!$T:$T,Benefits!$A:$A,$A$303,Benefits!$E:$E,"Revenue",Benefits!$F:$F,"USD",Benefits!$D:$D,"Actual")</f>
        <v>0</v>
      </c>
      <c r="F305" s="9">
        <f>SUMIFS(Benefits!$U:$U,Benefits!$A:$A,$A$303,Benefits!$E:$E,"Revenue",Benefits!$F:$F,"USD",Benefits!$D:$D,"Actual")</f>
        <v>0</v>
      </c>
      <c r="G305" s="9">
        <f>SUMIFS(Benefits!$V:$V,Benefits!$A:$A,$A$303,Benefits!$E:$E,"Revenue",Benefits!$F:$F,"USD",Benefits!$D:$D,"Actual")</f>
        <v>0</v>
      </c>
      <c r="H305" s="9">
        <f>SUMIFS(Benefits!$W:$W,Benefits!$A:$A,$A$303,Benefits!$E:$E,"Revenue",Benefits!$F:$F,"USD",Benefits!$D:$D,"Actual")</f>
        <v>0</v>
      </c>
      <c r="I305" s="9">
        <f>H305</f>
        <v>0</v>
      </c>
      <c r="J305" s="45">
        <f>SUM(D305:I305)</f>
        <v>0</v>
      </c>
      <c r="K305" s="50"/>
    </row>
    <row r="306" spans="1:11" x14ac:dyDescent="0.25">
      <c r="A306" s="17"/>
      <c r="B306" s="7"/>
      <c r="C306" s="8" t="s">
        <v>97</v>
      </c>
      <c r="D306" s="9">
        <f>SUMIFS(Benefits!$S:$S,Benefits!$A:$A,$A$303,Benefits!$E:$E,"Gross Margin",Benefits!$F:$F,"USD",Benefits!$D:$D,"Plan Base")</f>
        <v>0</v>
      </c>
      <c r="E306" s="9">
        <f>SUMIFS(Benefits!$T:$T,Benefits!$A:$A,$A$303,Benefits!$E:$E,"Gross Margin",Benefits!$F:$F,"USD",Benefits!$D:$D,"Plan Base")</f>
        <v>0.45600000000000002</v>
      </c>
      <c r="F306" s="9">
        <f>SUMIFS(Benefits!$U:$U,Benefits!$A:$A,$A$303,Benefits!$E:$E,"Gross Margin",Benefits!$F:$F,"USD",Benefits!$D:$D,"Plan Base")</f>
        <v>1.349</v>
      </c>
      <c r="G306" s="9">
        <f>SUMIFS(Benefits!$V:$V,Benefits!$A:$A,$A$303,Benefits!$E:$E,"Gross Margin",Benefits!$F:$F,"USD",Benefits!$D:$D,"Plan Base")</f>
        <v>1.349</v>
      </c>
      <c r="H306" s="9">
        <f>SUMIFS(Benefits!$W:$W,Benefits!$A:$A,$A$303,Benefits!$E:$E,"Gross Margin",Benefits!$F:$F,"USD",Benefits!$D:$D,"Plan Base")</f>
        <v>1.349</v>
      </c>
      <c r="I306" s="9">
        <f>H306</f>
        <v>1.349</v>
      </c>
      <c r="J306" s="45">
        <f>SUM(D306:I306)</f>
        <v>5.8520000000000003</v>
      </c>
      <c r="K306" s="49">
        <v>4.5869999999999997</v>
      </c>
    </row>
    <row r="307" spans="1:11" x14ac:dyDescent="0.25">
      <c r="A307" s="17"/>
      <c r="B307" s="7"/>
      <c r="C307" s="8" t="s">
        <v>98</v>
      </c>
      <c r="D307" s="9">
        <f>SUMIFS(Benefits!$S:$S,Benefits!$A:$A,$A$303,Benefits!$E:$E,"Gross Margin",Benefits!$F:$F,"USD",Benefits!$D:$D,"Plan High")</f>
        <v>0</v>
      </c>
      <c r="E307" s="9">
        <f>SUMIFS(Benefits!$T:$T,Benefits!$A:$A,$A$303,Benefits!$E:$E,"Gross Margin",Benefits!$F:$F,"USD",Benefits!$D:$D,"Plan High")</f>
        <v>0.60799999999999998</v>
      </c>
      <c r="F307" s="9">
        <f>SUMIFS(Benefits!$U:$U,Benefits!$A:$A,$A$303,Benefits!$E:$E,"Gross Margin",Benefits!$F:$F,"USD",Benefits!$D:$D,"Plan High")</f>
        <v>1.8240000000000001</v>
      </c>
      <c r="G307" s="9">
        <f>SUMIFS(Benefits!$V:$V,Benefits!$A:$A,$A$303,Benefits!$E:$E,"Gross Margin",Benefits!$F:$F,"USD",Benefits!$D:$D,"Plan High")</f>
        <v>1.8240000000000001</v>
      </c>
      <c r="H307" s="9">
        <f>SUMIFS(Benefits!$W:$W,Benefits!$A:$A,$A$303,Benefits!$E:$E,"Gross Margin",Benefits!$F:$F,"USD",Benefits!$D:$D,"Plan High")</f>
        <v>1.8240000000000001</v>
      </c>
      <c r="I307" s="9">
        <f>H307</f>
        <v>1.8240000000000001</v>
      </c>
      <c r="J307" s="45">
        <f>SUM(D307:I307)</f>
        <v>7.9039999999999999</v>
      </c>
      <c r="K307" s="50"/>
    </row>
    <row r="308" spans="1:11" x14ac:dyDescent="0.25">
      <c r="A308" s="17"/>
      <c r="B308" s="7"/>
      <c r="C308" s="8" t="s">
        <v>99</v>
      </c>
      <c r="D308" s="9">
        <f>SUMIFS(Benefits!$S:$S,Benefits!$A:$A,$A$303,Benefits!$E:$E,"Gross Margin",Benefits!$F:$F,"USD",Benefits!$D:$D,"Actual")</f>
        <v>0</v>
      </c>
      <c r="E308" s="9">
        <f>SUMIFS(Benefits!$T:$T,Benefits!$A:$A,$A$303,Benefits!$E:$E,"Gross Margin",Benefits!$F:$F,"USD",Benefits!$D:$D,"Actual")</f>
        <v>0</v>
      </c>
      <c r="F308" s="9">
        <f>SUMIFS(Benefits!$U:$U,Benefits!$A:$A,$A$303,Benefits!$E:$E,"Gross Margin",Benefits!$F:$F,"USD",Benefits!$D:$D,"Actual")</f>
        <v>0</v>
      </c>
      <c r="G308" s="9">
        <f>SUMIFS(Benefits!$V:$V,Benefits!$A:$A,$A$303,Benefits!$E:$E,"Gross Margin",Benefits!$F:$F,"USD",Benefits!$D:$D,"Actual")</f>
        <v>0</v>
      </c>
      <c r="H308" s="9">
        <f>SUMIFS(Benefits!$W:$W,Benefits!$A:$A,$A$303,Benefits!$E:$E,"Gross Margin",Benefits!$F:$F,"USD",Benefits!$D:$D,"Actual")</f>
        <v>0</v>
      </c>
      <c r="I308" s="9">
        <f>H308</f>
        <v>0</v>
      </c>
      <c r="J308" s="45">
        <f>SUM(D308:I308)</f>
        <v>0</v>
      </c>
      <c r="K308" s="50"/>
    </row>
    <row r="309" spans="1:11" x14ac:dyDescent="0.25">
      <c r="A309" s="17"/>
      <c r="B309" s="7"/>
      <c r="C309" s="8" t="s">
        <v>100</v>
      </c>
      <c r="D309" s="9"/>
      <c r="E309" s="9"/>
      <c r="F309" s="9"/>
      <c r="G309" s="9"/>
      <c r="H309" s="9"/>
      <c r="I309" s="9"/>
      <c r="J309" s="45"/>
      <c r="K309" s="50"/>
    </row>
    <row r="310" spans="1:11" x14ac:dyDescent="0.25">
      <c r="A310" s="18"/>
      <c r="B310" s="10"/>
      <c r="C310" s="11" t="s">
        <v>101</v>
      </c>
      <c r="D310" s="12">
        <f>SUMIFS(Costs!$AB:$AB,Costs!$A:$A,$A$303,Costs!$D:$D,"Plan")</f>
        <v>0</v>
      </c>
      <c r="E310" s="12">
        <f>SUMIFS(Costs!$AC:$AC,Costs!$A:$A,$A$303,Costs!$D:$D,"Plan")</f>
        <v>0</v>
      </c>
      <c r="F310" s="12">
        <f>SUMIFS(Costs!$AD:$AD,Costs!$A:$A,$A$303,Costs!$D:$D,"Plan")</f>
        <v>0</v>
      </c>
      <c r="G310" s="12">
        <f>SUMIFS(Costs!$AE:$AE,Costs!$A:$A,$A$303,Costs!$D:$D,"Plan")</f>
        <v>0</v>
      </c>
      <c r="H310" s="12">
        <f>SUMIFS(Costs!$AF:$AF,Costs!$A:$A,$A$303,Costs!$D:$D,"Plan")</f>
        <v>0</v>
      </c>
      <c r="I310" s="12">
        <f>H310</f>
        <v>0</v>
      </c>
      <c r="J310" s="46">
        <f>SUM(D310:I310)</f>
        <v>0</v>
      </c>
      <c r="K310" s="51">
        <v>0</v>
      </c>
    </row>
    <row r="311" spans="1:11" x14ac:dyDescent="0.25">
      <c r="A311" s="17"/>
      <c r="B311" s="7"/>
      <c r="C311" s="8" t="s">
        <v>102</v>
      </c>
      <c r="D311" s="9">
        <f>SUMIFS(Costs!$AB:$AB,Costs!$A:$A,$A$303,Costs!$D:$D,"Actual")</f>
        <v>0</v>
      </c>
      <c r="E311" s="9">
        <f>SUMIFS(Costs!$AC:$AC,Costs!$A:$A,$A$303,Costs!$D:$D,"Actual")</f>
        <v>0</v>
      </c>
      <c r="F311" s="9">
        <f>SUMIFS(Costs!$AD:$AD,Costs!$A:$A,$A$303,Costs!$D:$D,"Actual")</f>
        <v>0</v>
      </c>
      <c r="G311" s="9">
        <f>SUMIFS(Costs!$AE:$AE,Costs!$A:$A,$A$303,Costs!$D:$D,"Actual")</f>
        <v>0</v>
      </c>
      <c r="H311" s="9">
        <f>SUMIFS(Costs!$AF:$AF,Costs!$A:$A,$A$303,Costs!$D:$D,"Actual")</f>
        <v>0</v>
      </c>
      <c r="I311" s="9">
        <f>H311</f>
        <v>0</v>
      </c>
      <c r="J311" s="45">
        <f>SUM(D311:I311)</f>
        <v>0</v>
      </c>
      <c r="K311" s="50"/>
    </row>
    <row r="312" spans="1:11" x14ac:dyDescent="0.25">
      <c r="A312" s="17"/>
      <c r="B312" s="7"/>
      <c r="C312" s="8" t="s">
        <v>103</v>
      </c>
      <c r="D312" s="9"/>
      <c r="E312" s="9"/>
      <c r="F312" s="9"/>
      <c r="G312" s="9"/>
      <c r="H312" s="9"/>
      <c r="I312" s="9"/>
      <c r="J312" s="45"/>
      <c r="K312" s="50"/>
    </row>
    <row r="313" spans="1:11" x14ac:dyDescent="0.25">
      <c r="A313" s="18"/>
      <c r="B313" s="10"/>
      <c r="C313" s="11" t="s">
        <v>104</v>
      </c>
      <c r="D313" s="12">
        <f>D306-D310</f>
        <v>0</v>
      </c>
      <c r="E313" s="12">
        <f>E306-E310</f>
        <v>0.45600000000000002</v>
      </c>
      <c r="F313" s="12">
        <f>F306-F310</f>
        <v>1.349</v>
      </c>
      <c r="G313" s="12">
        <f>G306-G310</f>
        <v>1.349</v>
      </c>
      <c r="H313" s="12">
        <f>H306-H310</f>
        <v>1.349</v>
      </c>
      <c r="I313" s="12">
        <f>I306-I310</f>
        <v>1.349</v>
      </c>
      <c r="J313" s="46">
        <f>J306-J310</f>
        <v>5.8520000000000003</v>
      </c>
      <c r="K313" s="51">
        <f>K306-K310</f>
        <v>4.5869999999999997</v>
      </c>
    </row>
    <row r="314" spans="1:11" x14ac:dyDescent="0.25">
      <c r="A314" s="18"/>
      <c r="B314" s="10"/>
      <c r="C314" s="11" t="s">
        <v>105</v>
      </c>
      <c r="D314" s="12">
        <f>D307-D310</f>
        <v>0</v>
      </c>
      <c r="E314" s="12">
        <f>E307-E310</f>
        <v>0.60799999999999998</v>
      </c>
      <c r="F314" s="12">
        <f>F307-F310</f>
        <v>1.8240000000000001</v>
      </c>
      <c r="G314" s="12">
        <f>G307-G310</f>
        <v>1.8240000000000001</v>
      </c>
      <c r="H314" s="12">
        <f>H307-H310</f>
        <v>1.8240000000000001</v>
      </c>
      <c r="I314" s="12">
        <f>I307-I310</f>
        <v>1.8240000000000001</v>
      </c>
      <c r="J314" s="46">
        <f>J307-J310</f>
        <v>7.9039999999999999</v>
      </c>
      <c r="K314" s="50"/>
    </row>
    <row r="315" spans="1:11" x14ac:dyDescent="0.25">
      <c r="A315" s="18"/>
      <c r="B315" s="10"/>
      <c r="C315" s="11" t="s">
        <v>106</v>
      </c>
      <c r="D315" s="12">
        <f>D308-D311</f>
        <v>0</v>
      </c>
      <c r="E315" s="12">
        <f>E308-E311</f>
        <v>0</v>
      </c>
      <c r="F315" s="12">
        <f>F308-F311</f>
        <v>0</v>
      </c>
      <c r="G315" s="12">
        <f>G308-G311</f>
        <v>0</v>
      </c>
      <c r="H315" s="12">
        <f>H308-H311</f>
        <v>0</v>
      </c>
      <c r="I315" s="12">
        <f>I308-I311</f>
        <v>0</v>
      </c>
      <c r="J315" s="46">
        <f>J308-J311</f>
        <v>0</v>
      </c>
      <c r="K315" s="50"/>
    </row>
    <row r="316" spans="1:11" x14ac:dyDescent="0.25">
      <c r="A316" s="17"/>
      <c r="B316" s="7"/>
      <c r="C316" s="8" t="s">
        <v>107</v>
      </c>
      <c r="D316" s="9">
        <f>IFERROR(D315/D311,0)</f>
        <v>0</v>
      </c>
      <c r="E316" s="9">
        <f>IFERROR(E315/E311,0)</f>
        <v>0</v>
      </c>
      <c r="F316" s="9">
        <f>IFERROR(F315/F311,0)</f>
        <v>0</v>
      </c>
      <c r="G316" s="9">
        <f>IFERROR(G315/G311,0)</f>
        <v>0</v>
      </c>
      <c r="H316" s="9">
        <f>IFERROR(H315/H311,0)</f>
        <v>0</v>
      </c>
      <c r="I316" s="9">
        <f>IFERROR(I315/I311,0)</f>
        <v>0</v>
      </c>
      <c r="J316" s="45">
        <f>IFERROR(J315/J311,0)</f>
        <v>0</v>
      </c>
      <c r="K316" s="52">
        <f>IFERROR(K315/K311,0)</f>
        <v>0</v>
      </c>
    </row>
  </sheetData>
  <mergeCells count="1">
    <mergeCell ref="A1:J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S191"/>
  <sheetViews>
    <sheetView showGridLines="0" zoomScaleNormal="100" workbookViewId="0">
      <pane xSplit="2" ySplit="2" topLeftCell="BV3" activePane="bottomRight" state="frozen"/>
      <selection pane="topRight" activeCell="C1" sqref="C1"/>
      <selection pane="bottomLeft" activeCell="A3" sqref="A3"/>
      <selection pane="bottomRight" activeCell="CS2" sqref="CS2"/>
    </sheetView>
  </sheetViews>
  <sheetFormatPr defaultColWidth="8.7109375" defaultRowHeight="15" x14ac:dyDescent="0.25"/>
  <cols>
    <col min="1" max="1" width="10" customWidth="1"/>
    <col min="2" max="2" width="56.85546875" customWidth="1"/>
    <col min="3" max="10" width="16" customWidth="1"/>
    <col min="11" max="11" width="40" customWidth="1"/>
    <col min="12" max="18" width="16" customWidth="1"/>
    <col min="19" max="96" width="8" customWidth="1"/>
  </cols>
  <sheetData>
    <row r="1" spans="1:97" ht="21.75" customHeight="1" x14ac:dyDescent="0.25">
      <c r="A1" s="1" t="s">
        <v>108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97" ht="23.25" customHeight="1" x14ac:dyDescent="0.25">
      <c r="A2" s="5" t="s">
        <v>1</v>
      </c>
      <c r="B2" s="5" t="s">
        <v>2</v>
      </c>
      <c r="C2" s="5" t="s">
        <v>54</v>
      </c>
      <c r="D2" s="5" t="s">
        <v>109</v>
      </c>
      <c r="E2" s="5" t="s">
        <v>110</v>
      </c>
      <c r="F2" s="5" t="s">
        <v>111</v>
      </c>
      <c r="G2" s="5" t="s">
        <v>112</v>
      </c>
      <c r="H2" s="5" t="s">
        <v>58</v>
      </c>
      <c r="I2" s="5" t="s">
        <v>113</v>
      </c>
      <c r="J2" s="5" t="s">
        <v>114</v>
      </c>
      <c r="K2" s="5" t="s">
        <v>65</v>
      </c>
      <c r="L2" s="5" t="s">
        <v>115</v>
      </c>
      <c r="M2" s="5" t="s">
        <v>116</v>
      </c>
      <c r="N2" s="5" t="s">
        <v>117</v>
      </c>
      <c r="O2" s="5" t="s">
        <v>118</v>
      </c>
      <c r="P2" s="5" t="s">
        <v>119</v>
      </c>
      <c r="Q2" s="5" t="s">
        <v>120</v>
      </c>
      <c r="R2" s="5" t="s">
        <v>121</v>
      </c>
      <c r="S2" s="5" t="s">
        <v>87</v>
      </c>
      <c r="T2" s="5" t="s">
        <v>88</v>
      </c>
      <c r="U2" s="5" t="s">
        <v>89</v>
      </c>
      <c r="V2" s="5" t="s">
        <v>90</v>
      </c>
      <c r="W2" s="5" t="s">
        <v>91</v>
      </c>
      <c r="X2" s="5" t="s">
        <v>122</v>
      </c>
      <c r="Y2" s="5" t="s">
        <v>123</v>
      </c>
      <c r="Z2" s="5" t="s">
        <v>124</v>
      </c>
      <c r="AA2" s="5" t="s">
        <v>125</v>
      </c>
      <c r="AB2" s="5" t="s">
        <v>126</v>
      </c>
      <c r="AC2" s="5" t="s">
        <v>127</v>
      </c>
      <c r="AD2" s="5" t="s">
        <v>128</v>
      </c>
      <c r="AE2" s="5" t="s">
        <v>129</v>
      </c>
      <c r="AF2" s="5" t="s">
        <v>130</v>
      </c>
      <c r="AG2" s="5" t="s">
        <v>131</v>
      </c>
      <c r="AH2" s="5" t="s">
        <v>132</v>
      </c>
      <c r="AI2" s="5" t="s">
        <v>133</v>
      </c>
      <c r="AJ2" s="5" t="s">
        <v>134</v>
      </c>
      <c r="AK2" s="5" t="s">
        <v>135</v>
      </c>
      <c r="AL2" s="5" t="s">
        <v>136</v>
      </c>
      <c r="AM2" s="5" t="s">
        <v>137</v>
      </c>
      <c r="AN2" s="5" t="s">
        <v>138</v>
      </c>
      <c r="AO2" s="5" t="s">
        <v>139</v>
      </c>
      <c r="AP2" s="5" t="s">
        <v>140</v>
      </c>
      <c r="AQ2" s="5" t="s">
        <v>141</v>
      </c>
      <c r="AR2" s="5" t="s">
        <v>142</v>
      </c>
      <c r="AS2" s="5" t="s">
        <v>143</v>
      </c>
      <c r="AT2" s="5" t="s">
        <v>144</v>
      </c>
      <c r="AU2" s="5" t="s">
        <v>145</v>
      </c>
      <c r="AV2" s="5" t="s">
        <v>146</v>
      </c>
      <c r="AW2" s="5" t="s">
        <v>147</v>
      </c>
      <c r="AX2" s="5" t="s">
        <v>148</v>
      </c>
      <c r="AY2" s="5" t="s">
        <v>149</v>
      </c>
      <c r="AZ2" s="5" t="s">
        <v>150</v>
      </c>
      <c r="BA2" s="5" t="s">
        <v>151</v>
      </c>
      <c r="BB2" s="5" t="s">
        <v>152</v>
      </c>
      <c r="BC2" s="5" t="s">
        <v>153</v>
      </c>
      <c r="BD2" s="5" t="s">
        <v>154</v>
      </c>
      <c r="BE2" s="5" t="s">
        <v>155</v>
      </c>
      <c r="BF2" s="5" t="s">
        <v>156</v>
      </c>
      <c r="BG2" s="5" t="s">
        <v>157</v>
      </c>
      <c r="BH2" s="5" t="s">
        <v>158</v>
      </c>
      <c r="BI2" s="5" t="s">
        <v>159</v>
      </c>
      <c r="BJ2" s="5" t="s">
        <v>160</v>
      </c>
      <c r="BK2" s="5" t="s">
        <v>161</v>
      </c>
      <c r="BL2" s="5" t="s">
        <v>162</v>
      </c>
      <c r="BM2" s="5" t="s">
        <v>163</v>
      </c>
      <c r="BN2" s="5" t="s">
        <v>164</v>
      </c>
      <c r="BO2" s="5" t="s">
        <v>165</v>
      </c>
      <c r="BP2" s="5" t="s">
        <v>166</v>
      </c>
      <c r="BQ2" s="5" t="s">
        <v>167</v>
      </c>
      <c r="BR2" s="5" t="s">
        <v>168</v>
      </c>
      <c r="BS2" s="5" t="s">
        <v>169</v>
      </c>
      <c r="BT2" s="5" t="s">
        <v>170</v>
      </c>
      <c r="BU2" s="5" t="s">
        <v>171</v>
      </c>
      <c r="BV2" s="5" t="s">
        <v>172</v>
      </c>
      <c r="BW2" s="5" t="s">
        <v>173</v>
      </c>
      <c r="BX2" s="5" t="s">
        <v>174</v>
      </c>
      <c r="BY2" s="5" t="s">
        <v>175</v>
      </c>
      <c r="BZ2" s="5" t="s">
        <v>176</v>
      </c>
      <c r="CA2" s="5" t="s">
        <v>177</v>
      </c>
      <c r="CB2" s="5" t="s">
        <v>178</v>
      </c>
      <c r="CC2" s="5" t="s">
        <v>179</v>
      </c>
      <c r="CD2" s="5" t="s">
        <v>180</v>
      </c>
      <c r="CE2" s="5" t="s">
        <v>181</v>
      </c>
      <c r="CF2" s="5" t="s">
        <v>92</v>
      </c>
      <c r="CG2" s="5" t="s">
        <v>182</v>
      </c>
      <c r="CH2" s="5" t="s">
        <v>183</v>
      </c>
      <c r="CI2" s="5" t="s">
        <v>184</v>
      </c>
      <c r="CJ2" s="5" t="s">
        <v>185</v>
      </c>
      <c r="CK2" s="5" t="s">
        <v>186</v>
      </c>
      <c r="CL2" s="5" t="s">
        <v>187</v>
      </c>
      <c r="CM2" s="5" t="s">
        <v>188</v>
      </c>
      <c r="CN2" s="5" t="s">
        <v>189</v>
      </c>
      <c r="CO2" s="5" t="s">
        <v>190</v>
      </c>
      <c r="CP2" s="5" t="s">
        <v>191</v>
      </c>
      <c r="CQ2" s="5" t="s">
        <v>192</v>
      </c>
      <c r="CR2" s="5" t="s">
        <v>193</v>
      </c>
      <c r="CS2" s="87" t="s">
        <v>3</v>
      </c>
    </row>
    <row r="3" spans="1:97" ht="21.75" customHeight="1" x14ac:dyDescent="0.25">
      <c r="A3" s="6" t="s">
        <v>19</v>
      </c>
      <c r="B3" s="10" t="s">
        <v>20</v>
      </c>
      <c r="C3" s="11" t="s">
        <v>194</v>
      </c>
      <c r="D3" s="11" t="s">
        <v>195</v>
      </c>
      <c r="E3" s="11" t="s">
        <v>196</v>
      </c>
      <c r="F3" s="11" t="s">
        <v>197</v>
      </c>
      <c r="G3" s="11"/>
      <c r="H3" s="11"/>
      <c r="I3" s="11"/>
      <c r="J3" s="11"/>
      <c r="K3" s="10"/>
      <c r="L3" s="11" t="s">
        <v>198</v>
      </c>
      <c r="M3" s="11" t="s">
        <v>199</v>
      </c>
      <c r="N3" s="20">
        <v>0</v>
      </c>
      <c r="O3" s="11" t="b">
        <v>0</v>
      </c>
      <c r="P3" s="11" t="s">
        <v>201</v>
      </c>
      <c r="Q3" s="11" t="s">
        <v>202</v>
      </c>
      <c r="R3" s="11" t="s">
        <v>202</v>
      </c>
      <c r="S3" s="11">
        <v>0</v>
      </c>
      <c r="T3" s="20">
        <v>0</v>
      </c>
      <c r="U3" s="20">
        <v>0</v>
      </c>
      <c r="V3" s="20">
        <v>0</v>
      </c>
      <c r="W3" s="20">
        <v>0</v>
      </c>
      <c r="X3" s="11">
        <v>0</v>
      </c>
      <c r="Y3" s="11">
        <v>0</v>
      </c>
      <c r="Z3" s="11">
        <v>0</v>
      </c>
      <c r="AA3" s="11">
        <v>0</v>
      </c>
      <c r="AB3" s="11">
        <v>0</v>
      </c>
      <c r="AC3" s="11">
        <v>0</v>
      </c>
      <c r="AD3" s="11">
        <v>0</v>
      </c>
      <c r="AE3" s="11">
        <v>0</v>
      </c>
      <c r="AF3" s="11">
        <v>0</v>
      </c>
      <c r="AG3" s="11">
        <v>0</v>
      </c>
      <c r="AH3" s="11">
        <v>0</v>
      </c>
      <c r="AI3" s="11">
        <v>0</v>
      </c>
      <c r="AJ3" s="20">
        <v>0</v>
      </c>
      <c r="AK3" s="20">
        <v>0</v>
      </c>
      <c r="AL3" s="20">
        <v>0</v>
      </c>
      <c r="AM3" s="20">
        <v>0</v>
      </c>
      <c r="AN3" s="20">
        <v>0</v>
      </c>
      <c r="AO3" s="20">
        <v>0</v>
      </c>
      <c r="AP3" s="20">
        <v>0</v>
      </c>
      <c r="AQ3" s="20">
        <v>0</v>
      </c>
      <c r="AR3" s="20">
        <v>0</v>
      </c>
      <c r="AS3" s="20">
        <v>0</v>
      </c>
      <c r="AT3" s="20">
        <v>0</v>
      </c>
      <c r="AU3" s="20">
        <v>0</v>
      </c>
      <c r="AV3" s="20">
        <v>0</v>
      </c>
      <c r="AW3" s="20">
        <v>0</v>
      </c>
      <c r="AX3" s="20">
        <v>0</v>
      </c>
      <c r="AY3" s="20">
        <v>0</v>
      </c>
      <c r="AZ3" s="20">
        <v>0</v>
      </c>
      <c r="BA3" s="20">
        <v>0</v>
      </c>
      <c r="BB3" s="20">
        <v>0</v>
      </c>
      <c r="BC3" s="20">
        <v>0</v>
      </c>
      <c r="BD3" s="20">
        <v>0</v>
      </c>
      <c r="BE3" s="20">
        <v>0</v>
      </c>
      <c r="BF3" s="20">
        <v>0</v>
      </c>
      <c r="BG3" s="20">
        <v>0</v>
      </c>
      <c r="BH3" s="20">
        <v>0</v>
      </c>
      <c r="BI3" s="20">
        <v>0</v>
      </c>
      <c r="BJ3" s="20">
        <v>0</v>
      </c>
      <c r="BK3" s="20">
        <v>0</v>
      </c>
      <c r="BL3" s="20">
        <v>0</v>
      </c>
      <c r="BM3" s="20">
        <v>0</v>
      </c>
      <c r="BN3" s="20">
        <v>0</v>
      </c>
      <c r="BO3" s="20">
        <v>0</v>
      </c>
      <c r="BP3" s="20">
        <v>0</v>
      </c>
      <c r="BQ3" s="20">
        <v>0</v>
      </c>
      <c r="BR3" s="20">
        <v>0</v>
      </c>
      <c r="BS3" s="20">
        <v>0</v>
      </c>
      <c r="BT3" s="20">
        <v>0</v>
      </c>
      <c r="BU3" s="20">
        <v>0</v>
      </c>
      <c r="BV3" s="20">
        <v>0</v>
      </c>
      <c r="BW3" s="20">
        <v>0</v>
      </c>
      <c r="BX3" s="20">
        <v>0</v>
      </c>
      <c r="BY3" s="20">
        <v>0</v>
      </c>
      <c r="BZ3" s="20">
        <v>0</v>
      </c>
      <c r="CA3" s="20">
        <v>0</v>
      </c>
      <c r="CB3" s="20">
        <v>0</v>
      </c>
      <c r="CC3" s="20">
        <v>0</v>
      </c>
      <c r="CD3" s="20">
        <v>0</v>
      </c>
      <c r="CE3" s="20">
        <v>0</v>
      </c>
      <c r="CF3" s="11">
        <v>0</v>
      </c>
      <c r="CG3" s="11">
        <v>0</v>
      </c>
      <c r="CH3" s="11">
        <v>0</v>
      </c>
      <c r="CI3" s="11">
        <v>0</v>
      </c>
      <c r="CJ3" s="11">
        <v>0</v>
      </c>
      <c r="CK3" s="11">
        <v>0</v>
      </c>
      <c r="CL3" s="11">
        <v>0</v>
      </c>
      <c r="CM3" s="11">
        <v>0</v>
      </c>
      <c r="CN3" s="11">
        <v>0</v>
      </c>
      <c r="CO3" s="11">
        <v>0</v>
      </c>
      <c r="CP3" s="11">
        <v>0</v>
      </c>
      <c r="CQ3" s="11">
        <v>0</v>
      </c>
      <c r="CR3" s="11">
        <v>0</v>
      </c>
      <c r="CS3" t="str">
        <f>IFERROR(INDEX('Initiative Summary'!$C$5:$C$25,MATCH($A3,'Initiative Summary'!$A$5:$A$25,0)),"")</f>
        <v>Westmark Region</v>
      </c>
    </row>
    <row r="4" spans="1:97" ht="21.75" customHeight="1" x14ac:dyDescent="0.25">
      <c r="A4" s="6" t="s">
        <v>19</v>
      </c>
      <c r="B4" s="7" t="s">
        <v>20</v>
      </c>
      <c r="C4" s="8" t="s">
        <v>194</v>
      </c>
      <c r="D4" s="8" t="s">
        <v>203</v>
      </c>
      <c r="E4" s="8" t="s">
        <v>196</v>
      </c>
      <c r="F4" s="8" t="s">
        <v>197</v>
      </c>
      <c r="G4" s="8"/>
      <c r="H4" s="8"/>
      <c r="I4" s="8"/>
      <c r="J4" s="8"/>
      <c r="K4" s="7"/>
      <c r="L4" s="8" t="s">
        <v>198</v>
      </c>
      <c r="M4" s="8" t="s">
        <v>199</v>
      </c>
      <c r="N4" s="21">
        <v>0</v>
      </c>
      <c r="O4" s="8" t="b">
        <v>0</v>
      </c>
      <c r="P4" s="8" t="s">
        <v>201</v>
      </c>
      <c r="Q4" s="8" t="s">
        <v>202</v>
      </c>
      <c r="R4" s="8" t="s">
        <v>202</v>
      </c>
      <c r="S4" s="8">
        <v>0</v>
      </c>
      <c r="T4" s="21">
        <v>0</v>
      </c>
      <c r="U4" s="21">
        <v>0</v>
      </c>
      <c r="V4" s="21">
        <v>0</v>
      </c>
      <c r="W4" s="21">
        <v>0</v>
      </c>
      <c r="X4" s="8">
        <v>0</v>
      </c>
      <c r="Y4" s="8">
        <v>0</v>
      </c>
      <c r="Z4" s="8">
        <v>0</v>
      </c>
      <c r="AA4" s="8">
        <v>0</v>
      </c>
      <c r="AB4" s="8">
        <v>0</v>
      </c>
      <c r="AC4" s="8">
        <v>0</v>
      </c>
      <c r="AD4" s="8">
        <v>0</v>
      </c>
      <c r="AE4" s="8">
        <v>0</v>
      </c>
      <c r="AF4" s="8">
        <v>0</v>
      </c>
      <c r="AG4" s="8">
        <v>0</v>
      </c>
      <c r="AH4" s="8">
        <v>0</v>
      </c>
      <c r="AI4" s="8">
        <v>0</v>
      </c>
      <c r="AJ4" s="21">
        <v>0</v>
      </c>
      <c r="AK4" s="21">
        <v>0</v>
      </c>
      <c r="AL4" s="21">
        <v>0</v>
      </c>
      <c r="AM4" s="21">
        <v>0</v>
      </c>
      <c r="AN4" s="21">
        <v>0</v>
      </c>
      <c r="AO4" s="21">
        <v>0</v>
      </c>
      <c r="AP4" s="21">
        <v>0</v>
      </c>
      <c r="AQ4" s="21">
        <v>0</v>
      </c>
      <c r="AR4" s="21">
        <v>0</v>
      </c>
      <c r="AS4" s="21">
        <v>0</v>
      </c>
      <c r="AT4" s="21">
        <v>0</v>
      </c>
      <c r="AU4" s="21">
        <v>0</v>
      </c>
      <c r="AV4" s="21">
        <v>0</v>
      </c>
      <c r="AW4" s="21">
        <v>0</v>
      </c>
      <c r="AX4" s="21">
        <v>0</v>
      </c>
      <c r="AY4" s="21">
        <v>0</v>
      </c>
      <c r="AZ4" s="21">
        <v>0</v>
      </c>
      <c r="BA4" s="21">
        <v>0</v>
      </c>
      <c r="BB4" s="21">
        <v>0</v>
      </c>
      <c r="BC4" s="21">
        <v>0</v>
      </c>
      <c r="BD4" s="21">
        <v>0</v>
      </c>
      <c r="BE4" s="21">
        <v>0</v>
      </c>
      <c r="BF4" s="21">
        <v>0</v>
      </c>
      <c r="BG4" s="21">
        <v>0</v>
      </c>
      <c r="BH4" s="21">
        <v>0</v>
      </c>
      <c r="BI4" s="21">
        <v>0</v>
      </c>
      <c r="BJ4" s="21">
        <v>0</v>
      </c>
      <c r="BK4" s="21">
        <v>0</v>
      </c>
      <c r="BL4" s="21">
        <v>0</v>
      </c>
      <c r="BM4" s="21">
        <v>0</v>
      </c>
      <c r="BN4" s="21">
        <v>0</v>
      </c>
      <c r="BO4" s="21">
        <v>0</v>
      </c>
      <c r="BP4" s="21">
        <v>0</v>
      </c>
      <c r="BQ4" s="21">
        <v>0</v>
      </c>
      <c r="BR4" s="21">
        <v>0</v>
      </c>
      <c r="BS4" s="21">
        <v>0</v>
      </c>
      <c r="BT4" s="21">
        <v>0</v>
      </c>
      <c r="BU4" s="21">
        <v>0</v>
      </c>
      <c r="BV4" s="21">
        <v>0</v>
      </c>
      <c r="BW4" s="21">
        <v>0</v>
      </c>
      <c r="BX4" s="21">
        <v>0</v>
      </c>
      <c r="BY4" s="21">
        <v>0</v>
      </c>
      <c r="BZ4" s="21">
        <v>0</v>
      </c>
      <c r="CA4" s="21">
        <v>0</v>
      </c>
      <c r="CB4" s="21">
        <v>0</v>
      </c>
      <c r="CC4" s="21">
        <v>0</v>
      </c>
      <c r="CD4" s="21">
        <v>0</v>
      </c>
      <c r="CE4" s="21">
        <v>0</v>
      </c>
      <c r="CF4" s="8">
        <v>0</v>
      </c>
      <c r="CG4" s="8">
        <v>0</v>
      </c>
      <c r="CH4" s="8">
        <v>0</v>
      </c>
      <c r="CI4" s="8">
        <v>0</v>
      </c>
      <c r="CJ4" s="8">
        <v>0</v>
      </c>
      <c r="CK4" s="8">
        <v>0</v>
      </c>
      <c r="CL4" s="8">
        <v>0</v>
      </c>
      <c r="CM4" s="8">
        <v>0</v>
      </c>
      <c r="CN4" s="8">
        <v>0</v>
      </c>
      <c r="CO4" s="8">
        <v>0</v>
      </c>
      <c r="CP4" s="8">
        <v>0</v>
      </c>
      <c r="CQ4" s="8">
        <v>0</v>
      </c>
      <c r="CR4" s="8">
        <v>0</v>
      </c>
      <c r="CS4" t="str">
        <f>IFERROR(INDEX('Initiative Summary'!$C$5:$C$25,MATCH($A4,'Initiative Summary'!$A$5:$A$25,0)),"")</f>
        <v>Westmark Region</v>
      </c>
    </row>
    <row r="5" spans="1:97" ht="21.75" customHeight="1" x14ac:dyDescent="0.25">
      <c r="A5" s="6" t="s">
        <v>19</v>
      </c>
      <c r="B5" s="10" t="s">
        <v>20</v>
      </c>
      <c r="C5" s="11" t="s">
        <v>194</v>
      </c>
      <c r="D5" s="11" t="s">
        <v>204</v>
      </c>
      <c r="E5" s="11" t="s">
        <v>196</v>
      </c>
      <c r="F5" s="11" t="s">
        <v>197</v>
      </c>
      <c r="G5" s="11"/>
      <c r="H5" s="11"/>
      <c r="I5" s="11"/>
      <c r="J5" s="11"/>
      <c r="K5" s="10"/>
      <c r="L5" s="11" t="s">
        <v>198</v>
      </c>
      <c r="M5" s="11" t="s">
        <v>199</v>
      </c>
      <c r="N5" s="20">
        <v>0</v>
      </c>
      <c r="O5" s="11" t="b">
        <v>0</v>
      </c>
      <c r="P5" s="11" t="s">
        <v>201</v>
      </c>
      <c r="Q5" s="11" t="s">
        <v>202</v>
      </c>
      <c r="R5" s="11" t="s">
        <v>202</v>
      </c>
      <c r="S5" s="11">
        <v>0</v>
      </c>
      <c r="T5" s="11">
        <v>0</v>
      </c>
      <c r="U5" s="11">
        <v>0</v>
      </c>
      <c r="V5" s="11">
        <v>0</v>
      </c>
      <c r="W5" s="11">
        <v>0</v>
      </c>
      <c r="X5" s="11">
        <v>0</v>
      </c>
      <c r="Y5" s="11">
        <v>0</v>
      </c>
      <c r="Z5" s="11">
        <v>0</v>
      </c>
      <c r="AA5" s="11">
        <v>0</v>
      </c>
      <c r="AB5" s="11">
        <v>0</v>
      </c>
      <c r="AC5" s="11">
        <v>0</v>
      </c>
      <c r="AD5" s="11">
        <v>0</v>
      </c>
      <c r="AE5" s="11">
        <v>0</v>
      </c>
      <c r="AF5" s="11">
        <v>0</v>
      </c>
      <c r="AG5" s="11">
        <v>0</v>
      </c>
      <c r="AH5" s="11">
        <v>0</v>
      </c>
      <c r="AI5" s="11">
        <v>0</v>
      </c>
      <c r="AJ5" s="11">
        <v>0</v>
      </c>
      <c r="AK5" s="11">
        <v>0</v>
      </c>
      <c r="AL5" s="11">
        <v>0</v>
      </c>
      <c r="AM5" s="11">
        <v>0</v>
      </c>
      <c r="AN5" s="11">
        <v>0</v>
      </c>
      <c r="AO5" s="11">
        <v>0</v>
      </c>
      <c r="AP5" s="11">
        <v>0</v>
      </c>
      <c r="AQ5" s="11">
        <v>0</v>
      </c>
      <c r="AR5" s="11">
        <v>0</v>
      </c>
      <c r="AS5" s="11">
        <v>0</v>
      </c>
      <c r="AT5" s="11">
        <v>0</v>
      </c>
      <c r="AU5" s="11">
        <v>0</v>
      </c>
      <c r="AV5" s="11">
        <v>0</v>
      </c>
      <c r="AW5" s="11">
        <v>0</v>
      </c>
      <c r="AX5" s="11">
        <v>0</v>
      </c>
      <c r="AY5" s="11">
        <v>0</v>
      </c>
      <c r="AZ5" s="11">
        <v>0</v>
      </c>
      <c r="BA5" s="11">
        <v>0</v>
      </c>
      <c r="BB5" s="11">
        <v>0</v>
      </c>
      <c r="BC5" s="11">
        <v>0</v>
      </c>
      <c r="BD5" s="11">
        <v>0</v>
      </c>
      <c r="BE5" s="11">
        <v>0</v>
      </c>
      <c r="BF5" s="11">
        <v>0</v>
      </c>
      <c r="BG5" s="11">
        <v>0</v>
      </c>
      <c r="BH5" s="11">
        <v>0</v>
      </c>
      <c r="BI5" s="11">
        <v>0</v>
      </c>
      <c r="BJ5" s="11">
        <v>0</v>
      </c>
      <c r="BK5" s="11">
        <v>0</v>
      </c>
      <c r="BL5" s="11">
        <v>0</v>
      </c>
      <c r="BM5" s="11">
        <v>0</v>
      </c>
      <c r="BN5" s="11">
        <v>0</v>
      </c>
      <c r="BO5" s="11">
        <v>0</v>
      </c>
      <c r="BP5" s="11">
        <v>0</v>
      </c>
      <c r="BQ5" s="11">
        <v>0</v>
      </c>
      <c r="BR5" s="11">
        <v>0</v>
      </c>
      <c r="BS5" s="11">
        <v>0</v>
      </c>
      <c r="BT5" s="11">
        <v>0</v>
      </c>
      <c r="BU5" s="11">
        <v>0</v>
      </c>
      <c r="BV5" s="11">
        <v>0</v>
      </c>
      <c r="BW5" s="11">
        <v>0</v>
      </c>
      <c r="BX5" s="11">
        <v>0</v>
      </c>
      <c r="BY5" s="11">
        <v>0</v>
      </c>
      <c r="BZ5" s="11">
        <v>0</v>
      </c>
      <c r="CA5" s="11">
        <v>0</v>
      </c>
      <c r="CB5" s="11">
        <v>0</v>
      </c>
      <c r="CC5" s="11">
        <v>0</v>
      </c>
      <c r="CD5" s="11">
        <v>0</v>
      </c>
      <c r="CE5" s="11">
        <v>0</v>
      </c>
      <c r="CF5" s="11">
        <v>0</v>
      </c>
      <c r="CG5" s="11">
        <v>0</v>
      </c>
      <c r="CH5" s="11">
        <v>0</v>
      </c>
      <c r="CI5" s="11">
        <v>0</v>
      </c>
      <c r="CJ5" s="11">
        <v>0</v>
      </c>
      <c r="CK5" s="11">
        <v>0</v>
      </c>
      <c r="CL5" s="11">
        <v>0</v>
      </c>
      <c r="CM5" s="11">
        <v>0</v>
      </c>
      <c r="CN5" s="11">
        <v>0</v>
      </c>
      <c r="CO5" s="11">
        <v>0</v>
      </c>
      <c r="CP5" s="11">
        <v>0</v>
      </c>
      <c r="CQ5" s="11">
        <v>0</v>
      </c>
      <c r="CR5" s="11">
        <v>0</v>
      </c>
      <c r="CS5" t="str">
        <f>IFERROR(INDEX('Initiative Summary'!$C$5:$C$25,MATCH($A5,'Initiative Summary'!$A$5:$A$25,0)),"")</f>
        <v>Westmark Region</v>
      </c>
    </row>
    <row r="6" spans="1:97" ht="21.75" customHeight="1" x14ac:dyDescent="0.25">
      <c r="A6" s="6" t="s">
        <v>19</v>
      </c>
      <c r="B6" s="7" t="s">
        <v>20</v>
      </c>
      <c r="C6" s="8" t="s">
        <v>205</v>
      </c>
      <c r="D6" s="8" t="s">
        <v>195</v>
      </c>
      <c r="E6" s="8" t="s">
        <v>206</v>
      </c>
      <c r="F6" s="8" t="s">
        <v>207</v>
      </c>
      <c r="G6" s="8"/>
      <c r="H6" s="8"/>
      <c r="I6" s="8"/>
      <c r="J6" s="8"/>
      <c r="K6" s="7"/>
      <c r="L6" s="8" t="s">
        <v>208</v>
      </c>
      <c r="M6" s="8" t="s">
        <v>199</v>
      </c>
      <c r="N6" s="21">
        <v>3</v>
      </c>
      <c r="O6" s="8" t="b">
        <v>0</v>
      </c>
      <c r="P6" s="8" t="s">
        <v>201</v>
      </c>
      <c r="Q6" s="8" t="s">
        <v>202</v>
      </c>
      <c r="R6" s="8" t="s">
        <v>202</v>
      </c>
      <c r="S6" s="8"/>
      <c r="T6" s="21">
        <v>10.34</v>
      </c>
      <c r="U6" s="21">
        <v>14.98</v>
      </c>
      <c r="V6" s="21">
        <v>14.98</v>
      </c>
      <c r="W6" s="21">
        <v>14.98</v>
      </c>
      <c r="X6" s="8">
        <v>0</v>
      </c>
      <c r="Y6" s="8">
        <v>0</v>
      </c>
      <c r="Z6" s="8">
        <v>0</v>
      </c>
      <c r="AA6" s="8">
        <v>0</v>
      </c>
      <c r="AB6" s="8">
        <v>0</v>
      </c>
      <c r="AC6" s="8">
        <v>0</v>
      </c>
      <c r="AD6" s="8">
        <v>0</v>
      </c>
      <c r="AE6" s="8">
        <v>0</v>
      </c>
      <c r="AF6" s="8">
        <v>0</v>
      </c>
      <c r="AG6" s="8">
        <v>0</v>
      </c>
      <c r="AH6" s="8">
        <v>0</v>
      </c>
      <c r="AI6" s="8">
        <v>0</v>
      </c>
      <c r="AJ6" s="21">
        <v>0</v>
      </c>
      <c r="AK6" s="21">
        <v>0</v>
      </c>
      <c r="AL6" s="21">
        <v>0</v>
      </c>
      <c r="AM6" s="21">
        <v>0</v>
      </c>
      <c r="AN6" s="21">
        <v>0</v>
      </c>
      <c r="AO6" s="21">
        <v>0</v>
      </c>
      <c r="AP6" s="21">
        <v>0</v>
      </c>
      <c r="AQ6" s="21">
        <v>0</v>
      </c>
      <c r="AR6" s="21">
        <v>10.34</v>
      </c>
      <c r="AS6" s="21">
        <v>10.34</v>
      </c>
      <c r="AT6" s="21">
        <v>10.34</v>
      </c>
      <c r="AU6" s="21">
        <v>10.34</v>
      </c>
      <c r="AV6" s="21">
        <v>14.98</v>
      </c>
      <c r="AW6" s="21">
        <v>14.98</v>
      </c>
      <c r="AX6" s="21">
        <v>14.98</v>
      </c>
      <c r="AY6" s="21">
        <v>14.98</v>
      </c>
      <c r="AZ6" s="21">
        <v>14.98</v>
      </c>
      <c r="BA6" s="21">
        <v>14.98</v>
      </c>
      <c r="BB6" s="21">
        <v>14.98</v>
      </c>
      <c r="BC6" s="21">
        <v>14.98</v>
      </c>
      <c r="BD6" s="21">
        <v>14.98</v>
      </c>
      <c r="BE6" s="21">
        <v>14.98</v>
      </c>
      <c r="BF6" s="21">
        <v>14.98</v>
      </c>
      <c r="BG6" s="21">
        <v>14.98</v>
      </c>
      <c r="BH6" s="21">
        <v>14.98</v>
      </c>
      <c r="BI6" s="21">
        <v>14.98</v>
      </c>
      <c r="BJ6" s="21">
        <v>14.98</v>
      </c>
      <c r="BK6" s="21">
        <v>14.98</v>
      </c>
      <c r="BL6" s="21">
        <v>14.98</v>
      </c>
      <c r="BM6" s="21">
        <v>14.98</v>
      </c>
      <c r="BN6" s="21">
        <v>14.98</v>
      </c>
      <c r="BO6" s="21">
        <v>14.98</v>
      </c>
      <c r="BP6" s="21">
        <v>14.98</v>
      </c>
      <c r="BQ6" s="21">
        <v>14.98</v>
      </c>
      <c r="BR6" s="21">
        <v>14.98</v>
      </c>
      <c r="BS6" s="21">
        <v>14.98</v>
      </c>
      <c r="BT6" s="21">
        <v>14.98</v>
      </c>
      <c r="BU6" s="21">
        <v>14.98</v>
      </c>
      <c r="BV6" s="21">
        <v>14.98</v>
      </c>
      <c r="BW6" s="21">
        <v>14.98</v>
      </c>
      <c r="BX6" s="21">
        <v>14.98</v>
      </c>
      <c r="BY6" s="21">
        <v>14.98</v>
      </c>
      <c r="BZ6" s="21">
        <v>14.98</v>
      </c>
      <c r="CA6" s="21">
        <v>14.98</v>
      </c>
      <c r="CB6" s="21">
        <v>14.98</v>
      </c>
      <c r="CC6" s="21">
        <v>14.98</v>
      </c>
      <c r="CD6" s="21">
        <v>14.98</v>
      </c>
      <c r="CE6" s="21">
        <v>14.98</v>
      </c>
      <c r="CF6" s="8">
        <v>14.98</v>
      </c>
      <c r="CG6" s="8">
        <v>14.98</v>
      </c>
      <c r="CH6" s="8">
        <v>14.98</v>
      </c>
      <c r="CI6" s="8">
        <v>14.98</v>
      </c>
      <c r="CJ6" s="8">
        <v>14.98</v>
      </c>
      <c r="CK6" s="8">
        <v>14.98</v>
      </c>
      <c r="CL6" s="8">
        <v>14.98</v>
      </c>
      <c r="CM6" s="8">
        <v>14.98</v>
      </c>
      <c r="CN6" s="8">
        <v>14.98</v>
      </c>
      <c r="CO6" s="8">
        <v>14.98</v>
      </c>
      <c r="CP6" s="8">
        <v>14.98</v>
      </c>
      <c r="CQ6" s="8">
        <v>14.98</v>
      </c>
      <c r="CR6" s="8">
        <v>14.98</v>
      </c>
      <c r="CS6" t="str">
        <f>IFERROR(INDEX('Initiative Summary'!$C$5:$C$25,MATCH($A6,'Initiative Summary'!$A$5:$A$25,0)),"")</f>
        <v>Westmark Region</v>
      </c>
    </row>
    <row r="7" spans="1:97" ht="21.75" customHeight="1" x14ac:dyDescent="0.25">
      <c r="A7" s="6" t="s">
        <v>19</v>
      </c>
      <c r="B7" s="10" t="s">
        <v>20</v>
      </c>
      <c r="C7" s="11" t="s">
        <v>205</v>
      </c>
      <c r="D7" s="11" t="s">
        <v>203</v>
      </c>
      <c r="E7" s="11" t="s">
        <v>206</v>
      </c>
      <c r="F7" s="11" t="s">
        <v>207</v>
      </c>
      <c r="G7" s="11"/>
      <c r="H7" s="11"/>
      <c r="I7" s="11"/>
      <c r="J7" s="11"/>
      <c r="K7" s="10"/>
      <c r="L7" s="11" t="s">
        <v>208</v>
      </c>
      <c r="M7" s="11" t="s">
        <v>199</v>
      </c>
      <c r="N7" s="20">
        <v>3</v>
      </c>
      <c r="O7" s="11" t="b">
        <v>0</v>
      </c>
      <c r="P7" s="11" t="s">
        <v>201</v>
      </c>
      <c r="Q7" s="11" t="s">
        <v>202</v>
      </c>
      <c r="R7" s="11" t="s">
        <v>202</v>
      </c>
      <c r="S7" s="11"/>
      <c r="T7" s="20">
        <v>12.66</v>
      </c>
      <c r="U7" s="20">
        <v>17.98</v>
      </c>
      <c r="V7" s="20">
        <v>17.98</v>
      </c>
      <c r="W7" s="20">
        <v>17.98</v>
      </c>
      <c r="X7" s="11">
        <v>0</v>
      </c>
      <c r="Y7" s="11">
        <v>0</v>
      </c>
      <c r="Z7" s="11">
        <v>0</v>
      </c>
      <c r="AA7" s="11">
        <v>0</v>
      </c>
      <c r="AB7" s="11">
        <v>0</v>
      </c>
      <c r="AC7" s="11">
        <v>0</v>
      </c>
      <c r="AD7" s="11">
        <v>0</v>
      </c>
      <c r="AE7" s="11">
        <v>0</v>
      </c>
      <c r="AF7" s="11">
        <v>0</v>
      </c>
      <c r="AG7" s="11">
        <v>0</v>
      </c>
      <c r="AH7" s="11">
        <v>0</v>
      </c>
      <c r="AI7" s="11">
        <v>0</v>
      </c>
      <c r="AJ7" s="20">
        <v>0</v>
      </c>
      <c r="AK7" s="20">
        <v>0</v>
      </c>
      <c r="AL7" s="20">
        <v>0</v>
      </c>
      <c r="AM7" s="20">
        <v>0</v>
      </c>
      <c r="AN7" s="20">
        <v>0</v>
      </c>
      <c r="AO7" s="20">
        <v>0</v>
      </c>
      <c r="AP7" s="20">
        <v>0</v>
      </c>
      <c r="AQ7" s="20">
        <v>0</v>
      </c>
      <c r="AR7" s="20">
        <v>12.66</v>
      </c>
      <c r="AS7" s="20">
        <v>12.66</v>
      </c>
      <c r="AT7" s="20">
        <v>12.66</v>
      </c>
      <c r="AU7" s="20">
        <v>12.66</v>
      </c>
      <c r="AV7" s="20">
        <v>17.98</v>
      </c>
      <c r="AW7" s="20">
        <v>17.98</v>
      </c>
      <c r="AX7" s="20">
        <v>17.98</v>
      </c>
      <c r="AY7" s="20">
        <v>17.98</v>
      </c>
      <c r="AZ7" s="20">
        <v>17.98</v>
      </c>
      <c r="BA7" s="20">
        <v>17.98</v>
      </c>
      <c r="BB7" s="20">
        <v>17.98</v>
      </c>
      <c r="BC7" s="20">
        <v>17.98</v>
      </c>
      <c r="BD7" s="20">
        <v>17.98</v>
      </c>
      <c r="BE7" s="20">
        <v>17.98</v>
      </c>
      <c r="BF7" s="20">
        <v>17.98</v>
      </c>
      <c r="BG7" s="20">
        <v>17.98</v>
      </c>
      <c r="BH7" s="20">
        <v>17.98</v>
      </c>
      <c r="BI7" s="20">
        <v>17.98</v>
      </c>
      <c r="BJ7" s="20">
        <v>17.98</v>
      </c>
      <c r="BK7" s="20">
        <v>17.98</v>
      </c>
      <c r="BL7" s="20">
        <v>17.98</v>
      </c>
      <c r="BM7" s="20">
        <v>17.98</v>
      </c>
      <c r="BN7" s="20">
        <v>17.98</v>
      </c>
      <c r="BO7" s="20">
        <v>17.98</v>
      </c>
      <c r="BP7" s="20">
        <v>17.98</v>
      </c>
      <c r="BQ7" s="20">
        <v>17.98</v>
      </c>
      <c r="BR7" s="20">
        <v>17.98</v>
      </c>
      <c r="BS7" s="20">
        <v>17.98</v>
      </c>
      <c r="BT7" s="20">
        <v>17.98</v>
      </c>
      <c r="BU7" s="20">
        <v>17.98</v>
      </c>
      <c r="BV7" s="20">
        <v>17.98</v>
      </c>
      <c r="BW7" s="20">
        <v>17.98</v>
      </c>
      <c r="BX7" s="20">
        <v>17.98</v>
      </c>
      <c r="BY7" s="20">
        <v>17.98</v>
      </c>
      <c r="BZ7" s="20">
        <v>17.98</v>
      </c>
      <c r="CA7" s="20">
        <v>17.98</v>
      </c>
      <c r="CB7" s="20">
        <v>17.98</v>
      </c>
      <c r="CC7" s="20">
        <v>17.98</v>
      </c>
      <c r="CD7" s="20">
        <v>17.98</v>
      </c>
      <c r="CE7" s="20">
        <v>17.98</v>
      </c>
      <c r="CF7" s="11">
        <v>17.98</v>
      </c>
      <c r="CG7" s="11">
        <v>17.98</v>
      </c>
      <c r="CH7" s="11">
        <v>17.98</v>
      </c>
      <c r="CI7" s="11">
        <v>17.98</v>
      </c>
      <c r="CJ7" s="11">
        <v>17.98</v>
      </c>
      <c r="CK7" s="11">
        <v>17.98</v>
      </c>
      <c r="CL7" s="11">
        <v>17.98</v>
      </c>
      <c r="CM7" s="11">
        <v>17.98</v>
      </c>
      <c r="CN7" s="11">
        <v>17.98</v>
      </c>
      <c r="CO7" s="11">
        <v>17.98</v>
      </c>
      <c r="CP7" s="11">
        <v>17.98</v>
      </c>
      <c r="CQ7" s="11">
        <v>17.98</v>
      </c>
      <c r="CR7" s="11">
        <v>17.98</v>
      </c>
      <c r="CS7" t="str">
        <f>IFERROR(INDEX('Initiative Summary'!$C$5:$C$25,MATCH($A7,'Initiative Summary'!$A$5:$A$25,0)),"")</f>
        <v>Westmark Region</v>
      </c>
    </row>
    <row r="8" spans="1:97" ht="21.75" customHeight="1" x14ac:dyDescent="0.25">
      <c r="A8" s="6" t="s">
        <v>19</v>
      </c>
      <c r="B8" s="7" t="s">
        <v>20</v>
      </c>
      <c r="C8" s="8" t="s">
        <v>205</v>
      </c>
      <c r="D8" s="8" t="s">
        <v>204</v>
      </c>
      <c r="E8" s="8" t="s">
        <v>206</v>
      </c>
      <c r="F8" s="8" t="s">
        <v>207</v>
      </c>
      <c r="G8" s="8"/>
      <c r="H8" s="8"/>
      <c r="I8" s="8"/>
      <c r="J8" s="8"/>
      <c r="K8" s="7"/>
      <c r="L8" s="8" t="s">
        <v>208</v>
      </c>
      <c r="M8" s="8" t="s">
        <v>199</v>
      </c>
      <c r="N8" s="21">
        <v>3</v>
      </c>
      <c r="O8" s="8" t="b">
        <v>0</v>
      </c>
      <c r="P8" s="8" t="s">
        <v>201</v>
      </c>
      <c r="Q8" s="8" t="s">
        <v>202</v>
      </c>
      <c r="R8" s="8" t="s">
        <v>202</v>
      </c>
      <c r="S8" s="8"/>
      <c r="T8" s="8"/>
      <c r="U8" s="8"/>
      <c r="V8" s="8"/>
      <c r="W8" s="8"/>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c r="CE8" s="8">
        <v>0</v>
      </c>
      <c r="CF8" s="8">
        <v>0</v>
      </c>
      <c r="CG8" s="8">
        <v>0</v>
      </c>
      <c r="CH8" s="8">
        <v>0</v>
      </c>
      <c r="CI8" s="8">
        <v>0</v>
      </c>
      <c r="CJ8" s="8">
        <v>0</v>
      </c>
      <c r="CK8" s="8">
        <v>0</v>
      </c>
      <c r="CL8" s="8">
        <v>0</v>
      </c>
      <c r="CM8" s="8">
        <v>0</v>
      </c>
      <c r="CN8" s="8">
        <v>0</v>
      </c>
      <c r="CO8" s="8">
        <v>0</v>
      </c>
      <c r="CP8" s="8">
        <v>0</v>
      </c>
      <c r="CQ8" s="8">
        <v>0</v>
      </c>
      <c r="CR8" s="8">
        <v>0</v>
      </c>
      <c r="CS8" t="str">
        <f>IFERROR(INDEX('Initiative Summary'!$C$5:$C$25,MATCH($A8,'Initiative Summary'!$A$5:$A$25,0)),"")</f>
        <v>Westmark Region</v>
      </c>
    </row>
    <row r="9" spans="1:97" ht="21.75" customHeight="1" x14ac:dyDescent="0.25">
      <c r="A9" s="6" t="s">
        <v>19</v>
      </c>
      <c r="B9" s="10" t="s">
        <v>20</v>
      </c>
      <c r="C9" s="11" t="s">
        <v>206</v>
      </c>
      <c r="D9" s="11" t="s">
        <v>195</v>
      </c>
      <c r="E9" s="11" t="s">
        <v>206</v>
      </c>
      <c r="F9" s="11" t="s">
        <v>197</v>
      </c>
      <c r="G9" s="11"/>
      <c r="H9" s="11"/>
      <c r="I9" s="11"/>
      <c r="J9" s="11"/>
      <c r="K9" s="10"/>
      <c r="L9" s="11" t="s">
        <v>209</v>
      </c>
      <c r="M9" s="11" t="s">
        <v>199</v>
      </c>
      <c r="N9" s="20">
        <v>100</v>
      </c>
      <c r="O9" s="11" t="b">
        <v>0</v>
      </c>
      <c r="P9" s="11" t="s">
        <v>201</v>
      </c>
      <c r="Q9" s="11" t="s">
        <v>210</v>
      </c>
      <c r="R9" s="11" t="s">
        <v>210</v>
      </c>
      <c r="S9" s="11">
        <v>0</v>
      </c>
      <c r="T9" s="20">
        <v>0.42</v>
      </c>
      <c r="U9" s="20">
        <v>0.62</v>
      </c>
      <c r="V9" s="20">
        <v>0.62</v>
      </c>
      <c r="W9" s="20">
        <v>0.62</v>
      </c>
      <c r="X9" s="11">
        <v>0</v>
      </c>
      <c r="Y9" s="11">
        <v>0</v>
      </c>
      <c r="Z9" s="11">
        <v>0</v>
      </c>
      <c r="AA9" s="11">
        <v>0</v>
      </c>
      <c r="AB9" s="11">
        <v>0</v>
      </c>
      <c r="AC9" s="11">
        <v>0</v>
      </c>
      <c r="AD9" s="11">
        <v>0</v>
      </c>
      <c r="AE9" s="11">
        <v>0</v>
      </c>
      <c r="AF9" s="11">
        <v>0</v>
      </c>
      <c r="AG9" s="11">
        <v>0</v>
      </c>
      <c r="AH9" s="11">
        <v>0</v>
      </c>
      <c r="AI9" s="11">
        <v>0</v>
      </c>
      <c r="AJ9" s="20">
        <v>0</v>
      </c>
      <c r="AK9" s="20">
        <v>0</v>
      </c>
      <c r="AL9" s="20">
        <v>0</v>
      </c>
      <c r="AM9" s="20">
        <v>0</v>
      </c>
      <c r="AN9" s="20">
        <v>0</v>
      </c>
      <c r="AO9" s="20">
        <v>0</v>
      </c>
      <c r="AP9" s="20">
        <v>0</v>
      </c>
      <c r="AQ9" s="20">
        <v>0</v>
      </c>
      <c r="AR9" s="20">
        <v>0.105</v>
      </c>
      <c r="AS9" s="20">
        <v>0.105</v>
      </c>
      <c r="AT9" s="20">
        <v>0.105</v>
      </c>
      <c r="AU9" s="20">
        <v>0.105</v>
      </c>
      <c r="AV9" s="20">
        <v>5.1666666666666666E-2</v>
      </c>
      <c r="AW9" s="20">
        <v>5.1666666666666666E-2</v>
      </c>
      <c r="AX9" s="20">
        <v>5.1666666666666666E-2</v>
      </c>
      <c r="AY9" s="20">
        <v>5.1666666666666666E-2</v>
      </c>
      <c r="AZ9" s="20">
        <v>5.1666666666666666E-2</v>
      </c>
      <c r="BA9" s="20">
        <v>5.1666666666666666E-2</v>
      </c>
      <c r="BB9" s="20">
        <v>5.1666666666666666E-2</v>
      </c>
      <c r="BC9" s="20">
        <v>5.1666666666666666E-2</v>
      </c>
      <c r="BD9" s="20">
        <v>5.1666666666666666E-2</v>
      </c>
      <c r="BE9" s="20">
        <v>5.1666666666666666E-2</v>
      </c>
      <c r="BF9" s="20">
        <v>5.1666666666666666E-2</v>
      </c>
      <c r="BG9" s="20">
        <v>5.1666666666666666E-2</v>
      </c>
      <c r="BH9" s="20">
        <v>5.1666666666666666E-2</v>
      </c>
      <c r="BI9" s="20">
        <v>5.1666666666666666E-2</v>
      </c>
      <c r="BJ9" s="20">
        <v>5.1666666666666666E-2</v>
      </c>
      <c r="BK9" s="20">
        <v>5.1666666666666666E-2</v>
      </c>
      <c r="BL9" s="20">
        <v>5.1666666666666666E-2</v>
      </c>
      <c r="BM9" s="20">
        <v>5.1666666666666666E-2</v>
      </c>
      <c r="BN9" s="20">
        <v>5.1666666666666666E-2</v>
      </c>
      <c r="BO9" s="20">
        <v>5.1666666666666666E-2</v>
      </c>
      <c r="BP9" s="20">
        <v>5.1666666666666666E-2</v>
      </c>
      <c r="BQ9" s="20">
        <v>5.1666666666666666E-2</v>
      </c>
      <c r="BR9" s="20">
        <v>5.1666666666666666E-2</v>
      </c>
      <c r="BS9" s="20">
        <v>5.1666666666666666E-2</v>
      </c>
      <c r="BT9" s="20">
        <v>5.1666666666666666E-2</v>
      </c>
      <c r="BU9" s="20">
        <v>5.1666666666666666E-2</v>
      </c>
      <c r="BV9" s="20">
        <v>5.1666666666666666E-2</v>
      </c>
      <c r="BW9" s="20">
        <v>5.1666666666666666E-2</v>
      </c>
      <c r="BX9" s="20">
        <v>5.1666666666666666E-2</v>
      </c>
      <c r="BY9" s="20">
        <v>5.1666666666666666E-2</v>
      </c>
      <c r="BZ9" s="20">
        <v>5.1666666666666666E-2</v>
      </c>
      <c r="CA9" s="20">
        <v>5.1666666666666666E-2</v>
      </c>
      <c r="CB9" s="20">
        <v>5.1666666666666666E-2</v>
      </c>
      <c r="CC9" s="20">
        <v>5.1666666666666666E-2</v>
      </c>
      <c r="CD9" s="20">
        <v>5.1666666666666666E-2</v>
      </c>
      <c r="CE9" s="20">
        <v>5.1666666666666666E-2</v>
      </c>
      <c r="CF9" s="11">
        <v>0.62</v>
      </c>
      <c r="CG9" s="11">
        <v>5.1666666666666666E-2</v>
      </c>
      <c r="CH9" s="11">
        <v>5.1666666666666666E-2</v>
      </c>
      <c r="CI9" s="11">
        <v>5.1666666666666666E-2</v>
      </c>
      <c r="CJ9" s="11">
        <v>5.1666666666666666E-2</v>
      </c>
      <c r="CK9" s="11">
        <v>5.1666666666666666E-2</v>
      </c>
      <c r="CL9" s="11">
        <v>5.1666666666666666E-2</v>
      </c>
      <c r="CM9" s="11">
        <v>5.1666666666666666E-2</v>
      </c>
      <c r="CN9" s="11">
        <v>5.1666666666666666E-2</v>
      </c>
      <c r="CO9" s="11">
        <v>5.1666666666666666E-2</v>
      </c>
      <c r="CP9" s="11">
        <v>5.1666666666666666E-2</v>
      </c>
      <c r="CQ9" s="11">
        <v>5.1666666666666666E-2</v>
      </c>
      <c r="CR9" s="11">
        <v>5.1666666666666666E-2</v>
      </c>
      <c r="CS9" t="str">
        <f>IFERROR(INDEX('Initiative Summary'!$C$5:$C$25,MATCH($A9,'Initiative Summary'!$A$5:$A$25,0)),"")</f>
        <v>Westmark Region</v>
      </c>
    </row>
    <row r="10" spans="1:97" ht="21.75" customHeight="1" x14ac:dyDescent="0.25">
      <c r="A10" s="6" t="s">
        <v>19</v>
      </c>
      <c r="B10" s="7" t="s">
        <v>20</v>
      </c>
      <c r="C10" s="8" t="s">
        <v>206</v>
      </c>
      <c r="D10" s="8" t="s">
        <v>203</v>
      </c>
      <c r="E10" s="8" t="s">
        <v>206</v>
      </c>
      <c r="F10" s="8" t="s">
        <v>197</v>
      </c>
      <c r="G10" s="8"/>
      <c r="H10" s="8"/>
      <c r="I10" s="8"/>
      <c r="J10" s="8"/>
      <c r="K10" s="7"/>
      <c r="L10" s="8" t="s">
        <v>209</v>
      </c>
      <c r="M10" s="8" t="s">
        <v>199</v>
      </c>
      <c r="N10" s="21">
        <v>100</v>
      </c>
      <c r="O10" s="8" t="b">
        <v>0</v>
      </c>
      <c r="P10" s="8" t="s">
        <v>201</v>
      </c>
      <c r="Q10" s="8" t="s">
        <v>210</v>
      </c>
      <c r="R10" s="8" t="s">
        <v>210</v>
      </c>
      <c r="S10" s="8">
        <v>0</v>
      </c>
      <c r="T10" s="21">
        <v>0.52</v>
      </c>
      <c r="U10" s="21">
        <v>0.74</v>
      </c>
      <c r="V10" s="21">
        <v>0.74</v>
      </c>
      <c r="W10" s="21">
        <v>0.74</v>
      </c>
      <c r="X10" s="8">
        <v>0</v>
      </c>
      <c r="Y10" s="8">
        <v>0</v>
      </c>
      <c r="Z10" s="8">
        <v>0</v>
      </c>
      <c r="AA10" s="8">
        <v>0</v>
      </c>
      <c r="AB10" s="8">
        <v>0</v>
      </c>
      <c r="AC10" s="8">
        <v>0</v>
      </c>
      <c r="AD10" s="8">
        <v>0</v>
      </c>
      <c r="AE10" s="8">
        <v>0</v>
      </c>
      <c r="AF10" s="8">
        <v>0</v>
      </c>
      <c r="AG10" s="8">
        <v>0</v>
      </c>
      <c r="AH10" s="8">
        <v>0</v>
      </c>
      <c r="AI10" s="8">
        <v>0</v>
      </c>
      <c r="AJ10" s="21">
        <v>0</v>
      </c>
      <c r="AK10" s="21">
        <v>0</v>
      </c>
      <c r="AL10" s="21">
        <v>0</v>
      </c>
      <c r="AM10" s="21">
        <v>0</v>
      </c>
      <c r="AN10" s="21">
        <v>0</v>
      </c>
      <c r="AO10" s="21">
        <v>0</v>
      </c>
      <c r="AP10" s="21">
        <v>0</v>
      </c>
      <c r="AQ10" s="21">
        <v>0</v>
      </c>
      <c r="AR10" s="21">
        <v>0.13</v>
      </c>
      <c r="AS10" s="21">
        <v>0.13</v>
      </c>
      <c r="AT10" s="21">
        <v>0.13</v>
      </c>
      <c r="AU10" s="21">
        <v>0.13</v>
      </c>
      <c r="AV10" s="21">
        <v>6.1666666666666668E-2</v>
      </c>
      <c r="AW10" s="21">
        <v>6.1666666666666668E-2</v>
      </c>
      <c r="AX10" s="21">
        <v>6.1666666666666668E-2</v>
      </c>
      <c r="AY10" s="21">
        <v>6.1666666666666668E-2</v>
      </c>
      <c r="AZ10" s="21">
        <v>6.1666666666666668E-2</v>
      </c>
      <c r="BA10" s="21">
        <v>6.1666666666666668E-2</v>
      </c>
      <c r="BB10" s="21">
        <v>6.1666666666666668E-2</v>
      </c>
      <c r="BC10" s="21">
        <v>6.1666666666666668E-2</v>
      </c>
      <c r="BD10" s="21">
        <v>6.1666666666666668E-2</v>
      </c>
      <c r="BE10" s="21">
        <v>6.1666666666666668E-2</v>
      </c>
      <c r="BF10" s="21">
        <v>6.1666666666666668E-2</v>
      </c>
      <c r="BG10" s="21">
        <v>6.1666666666666668E-2</v>
      </c>
      <c r="BH10" s="21">
        <v>6.1666666666666668E-2</v>
      </c>
      <c r="BI10" s="21">
        <v>6.1666666666666668E-2</v>
      </c>
      <c r="BJ10" s="21">
        <v>6.1666666666666668E-2</v>
      </c>
      <c r="BK10" s="21">
        <v>6.1666666666666668E-2</v>
      </c>
      <c r="BL10" s="21">
        <v>6.1666666666666668E-2</v>
      </c>
      <c r="BM10" s="21">
        <v>6.1666666666666668E-2</v>
      </c>
      <c r="BN10" s="21">
        <v>6.1666666666666668E-2</v>
      </c>
      <c r="BO10" s="21">
        <v>6.1666666666666668E-2</v>
      </c>
      <c r="BP10" s="21">
        <v>6.1666666666666668E-2</v>
      </c>
      <c r="BQ10" s="21">
        <v>6.1666666666666668E-2</v>
      </c>
      <c r="BR10" s="21">
        <v>6.1666666666666668E-2</v>
      </c>
      <c r="BS10" s="21">
        <v>6.1666666666666668E-2</v>
      </c>
      <c r="BT10" s="21">
        <v>6.1666666666666668E-2</v>
      </c>
      <c r="BU10" s="21">
        <v>6.1666666666666668E-2</v>
      </c>
      <c r="BV10" s="21">
        <v>6.1666666666666668E-2</v>
      </c>
      <c r="BW10" s="21">
        <v>6.1666666666666668E-2</v>
      </c>
      <c r="BX10" s="21">
        <v>6.1666666666666668E-2</v>
      </c>
      <c r="BY10" s="21">
        <v>6.1666666666666668E-2</v>
      </c>
      <c r="BZ10" s="21">
        <v>6.1666666666666668E-2</v>
      </c>
      <c r="CA10" s="21">
        <v>6.1666666666666668E-2</v>
      </c>
      <c r="CB10" s="21">
        <v>6.1666666666666668E-2</v>
      </c>
      <c r="CC10" s="21">
        <v>6.1666666666666668E-2</v>
      </c>
      <c r="CD10" s="21">
        <v>6.1666666666666668E-2</v>
      </c>
      <c r="CE10" s="21">
        <v>6.1666666666666668E-2</v>
      </c>
      <c r="CF10" s="8">
        <v>0.74</v>
      </c>
      <c r="CG10" s="8">
        <v>6.1666666666666668E-2</v>
      </c>
      <c r="CH10" s="8">
        <v>6.1666666666666668E-2</v>
      </c>
      <c r="CI10" s="8">
        <v>6.1666666666666668E-2</v>
      </c>
      <c r="CJ10" s="8">
        <v>6.1666666666666668E-2</v>
      </c>
      <c r="CK10" s="8">
        <v>6.1666666666666668E-2</v>
      </c>
      <c r="CL10" s="8">
        <v>6.1666666666666668E-2</v>
      </c>
      <c r="CM10" s="8">
        <v>6.1666666666666668E-2</v>
      </c>
      <c r="CN10" s="8">
        <v>6.1666666666666668E-2</v>
      </c>
      <c r="CO10" s="8">
        <v>6.1666666666666668E-2</v>
      </c>
      <c r="CP10" s="8">
        <v>6.1666666666666668E-2</v>
      </c>
      <c r="CQ10" s="8">
        <v>6.1666666666666668E-2</v>
      </c>
      <c r="CR10" s="8">
        <v>6.1666666666666668E-2</v>
      </c>
      <c r="CS10" t="str">
        <f>IFERROR(INDEX('Initiative Summary'!$C$5:$C$25,MATCH($A10,'Initiative Summary'!$A$5:$A$25,0)),"")</f>
        <v>Westmark Region</v>
      </c>
    </row>
    <row r="11" spans="1:97" ht="21.75" customHeight="1" x14ac:dyDescent="0.25">
      <c r="A11" s="6" t="s">
        <v>19</v>
      </c>
      <c r="B11" s="10" t="s">
        <v>20</v>
      </c>
      <c r="C11" s="11" t="s">
        <v>206</v>
      </c>
      <c r="D11" s="11" t="s">
        <v>204</v>
      </c>
      <c r="E11" s="11" t="s">
        <v>206</v>
      </c>
      <c r="F11" s="11" t="s">
        <v>197</v>
      </c>
      <c r="G11" s="11"/>
      <c r="H11" s="11"/>
      <c r="I11" s="11"/>
      <c r="J11" s="11"/>
      <c r="K11" s="10"/>
      <c r="L11" s="11" t="s">
        <v>209</v>
      </c>
      <c r="M11" s="11" t="s">
        <v>199</v>
      </c>
      <c r="N11" s="20">
        <v>100</v>
      </c>
      <c r="O11" s="11" t="b">
        <v>0</v>
      </c>
      <c r="P11" s="11" t="s">
        <v>201</v>
      </c>
      <c r="Q11" s="11" t="s">
        <v>210</v>
      </c>
      <c r="R11" s="11" t="s">
        <v>210</v>
      </c>
      <c r="S11" s="11"/>
      <c r="T11" s="11"/>
      <c r="U11" s="11"/>
      <c r="V11" s="11"/>
      <c r="W11" s="11"/>
      <c r="X11" s="11">
        <v>0</v>
      </c>
      <c r="Y11" s="11">
        <v>0</v>
      </c>
      <c r="Z11" s="11">
        <v>0</v>
      </c>
      <c r="AA11" s="11">
        <v>0</v>
      </c>
      <c r="AB11" s="11">
        <v>0</v>
      </c>
      <c r="AC11" s="11">
        <v>0</v>
      </c>
      <c r="AD11" s="11">
        <v>0</v>
      </c>
      <c r="AE11" s="11">
        <v>0</v>
      </c>
      <c r="AF11" s="11">
        <v>0</v>
      </c>
      <c r="AG11" s="11">
        <v>0</v>
      </c>
      <c r="AH11" s="11">
        <v>0</v>
      </c>
      <c r="AI11" s="11">
        <v>0</v>
      </c>
      <c r="AJ11" s="11">
        <v>0</v>
      </c>
      <c r="AK11" s="11">
        <v>0</v>
      </c>
      <c r="AL11" s="11">
        <v>0</v>
      </c>
      <c r="AM11" s="11">
        <v>0</v>
      </c>
      <c r="AN11" s="11">
        <v>0</v>
      </c>
      <c r="AO11" s="11">
        <v>0</v>
      </c>
      <c r="AP11" s="11">
        <v>0</v>
      </c>
      <c r="AQ11" s="11">
        <v>0</v>
      </c>
      <c r="AR11" s="11">
        <v>0</v>
      </c>
      <c r="AS11" s="11">
        <v>0</v>
      </c>
      <c r="AT11" s="11">
        <v>0</v>
      </c>
      <c r="AU11" s="11">
        <v>0</v>
      </c>
      <c r="AV11" s="11">
        <v>0</v>
      </c>
      <c r="AW11" s="11">
        <v>0</v>
      </c>
      <c r="AX11" s="11">
        <v>0</v>
      </c>
      <c r="AY11" s="11">
        <v>0</v>
      </c>
      <c r="AZ11" s="11">
        <v>0</v>
      </c>
      <c r="BA11" s="11">
        <v>0</v>
      </c>
      <c r="BB11" s="11">
        <v>0</v>
      </c>
      <c r="BC11" s="11">
        <v>0</v>
      </c>
      <c r="BD11" s="11">
        <v>0</v>
      </c>
      <c r="BE11" s="11">
        <v>0</v>
      </c>
      <c r="BF11" s="11">
        <v>0</v>
      </c>
      <c r="BG11" s="11">
        <v>0</v>
      </c>
      <c r="BH11" s="11">
        <v>0</v>
      </c>
      <c r="BI11" s="11">
        <v>0</v>
      </c>
      <c r="BJ11" s="11">
        <v>0</v>
      </c>
      <c r="BK11" s="11">
        <v>0</v>
      </c>
      <c r="BL11" s="11">
        <v>0</v>
      </c>
      <c r="BM11" s="11">
        <v>0</v>
      </c>
      <c r="BN11" s="11">
        <v>0</v>
      </c>
      <c r="BO11" s="11">
        <v>0</v>
      </c>
      <c r="BP11" s="11">
        <v>0</v>
      </c>
      <c r="BQ11" s="11">
        <v>0</v>
      </c>
      <c r="BR11" s="11">
        <v>0</v>
      </c>
      <c r="BS11" s="11">
        <v>0</v>
      </c>
      <c r="BT11" s="11">
        <v>0</v>
      </c>
      <c r="BU11" s="11">
        <v>0</v>
      </c>
      <c r="BV11" s="11">
        <v>0</v>
      </c>
      <c r="BW11" s="11">
        <v>0</v>
      </c>
      <c r="BX11" s="11">
        <v>0</v>
      </c>
      <c r="BY11" s="11">
        <v>0</v>
      </c>
      <c r="BZ11" s="11">
        <v>0</v>
      </c>
      <c r="CA11" s="11">
        <v>0</v>
      </c>
      <c r="CB11" s="11">
        <v>0</v>
      </c>
      <c r="CC11" s="11">
        <v>0</v>
      </c>
      <c r="CD11" s="11">
        <v>0</v>
      </c>
      <c r="CE11" s="11">
        <v>0</v>
      </c>
      <c r="CF11" s="11">
        <v>0</v>
      </c>
      <c r="CG11" s="11">
        <v>0</v>
      </c>
      <c r="CH11" s="11">
        <v>0</v>
      </c>
      <c r="CI11" s="11">
        <v>0</v>
      </c>
      <c r="CJ11" s="11">
        <v>0</v>
      </c>
      <c r="CK11" s="11">
        <v>0</v>
      </c>
      <c r="CL11" s="11">
        <v>0</v>
      </c>
      <c r="CM11" s="11">
        <v>0</v>
      </c>
      <c r="CN11" s="11">
        <v>0</v>
      </c>
      <c r="CO11" s="11">
        <v>0</v>
      </c>
      <c r="CP11" s="11">
        <v>0</v>
      </c>
      <c r="CQ11" s="11">
        <v>0</v>
      </c>
      <c r="CR11" s="11">
        <v>0</v>
      </c>
      <c r="CS11" t="str">
        <f>IFERROR(INDEX('Initiative Summary'!$C$5:$C$25,MATCH($A11,'Initiative Summary'!$A$5:$A$25,0)),"")</f>
        <v>Westmark Region</v>
      </c>
    </row>
    <row r="12" spans="1:97" ht="21.75" customHeight="1" x14ac:dyDescent="0.25">
      <c r="A12" s="6" t="s">
        <v>29</v>
      </c>
      <c r="B12" s="7" t="s">
        <v>30</v>
      </c>
      <c r="C12" s="8" t="s">
        <v>194</v>
      </c>
      <c r="D12" s="8" t="s">
        <v>195</v>
      </c>
      <c r="E12" s="8" t="s">
        <v>196</v>
      </c>
      <c r="F12" s="8" t="s">
        <v>197</v>
      </c>
      <c r="G12" s="8"/>
      <c r="H12" s="8"/>
      <c r="I12" s="8"/>
      <c r="J12" s="8"/>
      <c r="K12" s="7"/>
      <c r="L12" s="8" t="s">
        <v>211</v>
      </c>
      <c r="M12" s="8" t="s">
        <v>199</v>
      </c>
      <c r="N12" s="21">
        <v>0</v>
      </c>
      <c r="O12" s="8" t="b">
        <v>0</v>
      </c>
      <c r="P12" s="8" t="s">
        <v>201</v>
      </c>
      <c r="Q12" s="8" t="s">
        <v>212</v>
      </c>
      <c r="R12" s="8" t="s">
        <v>212</v>
      </c>
      <c r="S12" s="8">
        <v>0</v>
      </c>
      <c r="T12" s="21">
        <v>0</v>
      </c>
      <c r="U12" s="21">
        <v>0</v>
      </c>
      <c r="V12" s="21">
        <v>0</v>
      </c>
      <c r="W12" s="21">
        <v>0</v>
      </c>
      <c r="X12" s="8">
        <v>0</v>
      </c>
      <c r="Y12" s="8">
        <v>0</v>
      </c>
      <c r="Z12" s="8">
        <v>0</v>
      </c>
      <c r="AA12" s="8">
        <v>0</v>
      </c>
      <c r="AB12" s="8">
        <v>0</v>
      </c>
      <c r="AC12" s="8">
        <v>0</v>
      </c>
      <c r="AD12" s="8">
        <v>0</v>
      </c>
      <c r="AE12" s="8">
        <v>0</v>
      </c>
      <c r="AF12" s="8">
        <v>0</v>
      </c>
      <c r="AG12" s="8">
        <v>0</v>
      </c>
      <c r="AH12" s="8">
        <v>0</v>
      </c>
      <c r="AI12" s="8">
        <v>0</v>
      </c>
      <c r="AJ12" s="21">
        <v>0</v>
      </c>
      <c r="AK12" s="21">
        <v>0</v>
      </c>
      <c r="AL12" s="21">
        <v>0</v>
      </c>
      <c r="AM12" s="21">
        <v>0</v>
      </c>
      <c r="AN12" s="21">
        <v>0</v>
      </c>
      <c r="AO12" s="21">
        <v>0</v>
      </c>
      <c r="AP12" s="21">
        <v>0</v>
      </c>
      <c r="AQ12" s="21">
        <v>0</v>
      </c>
      <c r="AR12" s="21">
        <v>0</v>
      </c>
      <c r="AS12" s="21">
        <v>0</v>
      </c>
      <c r="AT12" s="21">
        <v>0</v>
      </c>
      <c r="AU12" s="21">
        <v>0</v>
      </c>
      <c r="AV12" s="21">
        <v>0</v>
      </c>
      <c r="AW12" s="21">
        <v>0</v>
      </c>
      <c r="AX12" s="21">
        <v>0</v>
      </c>
      <c r="AY12" s="21">
        <v>0</v>
      </c>
      <c r="AZ12" s="21">
        <v>0</v>
      </c>
      <c r="BA12" s="21">
        <v>0</v>
      </c>
      <c r="BB12" s="21">
        <v>0</v>
      </c>
      <c r="BC12" s="21">
        <v>0</v>
      </c>
      <c r="BD12" s="21">
        <v>0</v>
      </c>
      <c r="BE12" s="21">
        <v>0</v>
      </c>
      <c r="BF12" s="21">
        <v>0</v>
      </c>
      <c r="BG12" s="21">
        <v>0</v>
      </c>
      <c r="BH12" s="21">
        <v>0</v>
      </c>
      <c r="BI12" s="21">
        <v>0</v>
      </c>
      <c r="BJ12" s="21">
        <v>0</v>
      </c>
      <c r="BK12" s="21">
        <v>0</v>
      </c>
      <c r="BL12" s="21">
        <v>0</v>
      </c>
      <c r="BM12" s="21">
        <v>0</v>
      </c>
      <c r="BN12" s="21">
        <v>0</v>
      </c>
      <c r="BO12" s="21">
        <v>0</v>
      </c>
      <c r="BP12" s="21">
        <v>0</v>
      </c>
      <c r="BQ12" s="21">
        <v>0</v>
      </c>
      <c r="BR12" s="21">
        <v>0</v>
      </c>
      <c r="BS12" s="21">
        <v>0</v>
      </c>
      <c r="BT12" s="21">
        <v>0</v>
      </c>
      <c r="BU12" s="21">
        <v>0</v>
      </c>
      <c r="BV12" s="21">
        <v>0</v>
      </c>
      <c r="BW12" s="21">
        <v>0</v>
      </c>
      <c r="BX12" s="21">
        <v>0</v>
      </c>
      <c r="BY12" s="21">
        <v>0</v>
      </c>
      <c r="BZ12" s="21">
        <v>0</v>
      </c>
      <c r="CA12" s="21">
        <v>0</v>
      </c>
      <c r="CB12" s="21">
        <v>0</v>
      </c>
      <c r="CC12" s="21">
        <v>0</v>
      </c>
      <c r="CD12" s="21">
        <v>0</v>
      </c>
      <c r="CE12" s="21">
        <v>0</v>
      </c>
      <c r="CF12" s="8">
        <v>0</v>
      </c>
      <c r="CG12" s="8">
        <v>0</v>
      </c>
      <c r="CH12" s="8">
        <v>0</v>
      </c>
      <c r="CI12" s="8">
        <v>0</v>
      </c>
      <c r="CJ12" s="8">
        <v>0</v>
      </c>
      <c r="CK12" s="8">
        <v>0</v>
      </c>
      <c r="CL12" s="8">
        <v>0</v>
      </c>
      <c r="CM12" s="8">
        <v>0</v>
      </c>
      <c r="CN12" s="8">
        <v>0</v>
      </c>
      <c r="CO12" s="8">
        <v>0</v>
      </c>
      <c r="CP12" s="8">
        <v>0</v>
      </c>
      <c r="CQ12" s="8">
        <v>0</v>
      </c>
      <c r="CR12" s="8">
        <v>0</v>
      </c>
      <c r="CS12" t="str">
        <f>IFERROR(INDEX('Initiative Summary'!$C$5:$C$25,MATCH($A12,'Initiative Summary'!$A$5:$A$25,0)),"")</f>
        <v>Westmark Region</v>
      </c>
    </row>
    <row r="13" spans="1:97" ht="21.75" customHeight="1" x14ac:dyDescent="0.25">
      <c r="A13" s="6" t="s">
        <v>29</v>
      </c>
      <c r="B13" s="10" t="s">
        <v>30</v>
      </c>
      <c r="C13" s="11" t="s">
        <v>194</v>
      </c>
      <c r="D13" s="11" t="s">
        <v>203</v>
      </c>
      <c r="E13" s="11" t="s">
        <v>196</v>
      </c>
      <c r="F13" s="11" t="s">
        <v>197</v>
      </c>
      <c r="G13" s="11"/>
      <c r="H13" s="11"/>
      <c r="I13" s="11"/>
      <c r="J13" s="11"/>
      <c r="K13" s="10"/>
      <c r="L13" s="11" t="s">
        <v>211</v>
      </c>
      <c r="M13" s="11" t="s">
        <v>199</v>
      </c>
      <c r="N13" s="20">
        <v>0</v>
      </c>
      <c r="O13" s="11" t="b">
        <v>0</v>
      </c>
      <c r="P13" s="11" t="s">
        <v>201</v>
      </c>
      <c r="Q13" s="11" t="s">
        <v>212</v>
      </c>
      <c r="R13" s="11" t="s">
        <v>212</v>
      </c>
      <c r="S13" s="11">
        <v>0</v>
      </c>
      <c r="T13" s="20">
        <v>0</v>
      </c>
      <c r="U13" s="20">
        <v>0</v>
      </c>
      <c r="V13" s="20">
        <v>0</v>
      </c>
      <c r="W13" s="20">
        <v>0</v>
      </c>
      <c r="X13" s="11">
        <v>0</v>
      </c>
      <c r="Y13" s="11">
        <v>0</v>
      </c>
      <c r="Z13" s="11">
        <v>0</v>
      </c>
      <c r="AA13" s="11">
        <v>0</v>
      </c>
      <c r="AB13" s="11">
        <v>0</v>
      </c>
      <c r="AC13" s="11">
        <v>0</v>
      </c>
      <c r="AD13" s="11">
        <v>0</v>
      </c>
      <c r="AE13" s="11">
        <v>0</v>
      </c>
      <c r="AF13" s="11">
        <v>0</v>
      </c>
      <c r="AG13" s="11">
        <v>0</v>
      </c>
      <c r="AH13" s="11">
        <v>0</v>
      </c>
      <c r="AI13" s="11">
        <v>0</v>
      </c>
      <c r="AJ13" s="20">
        <v>0</v>
      </c>
      <c r="AK13" s="20">
        <v>0</v>
      </c>
      <c r="AL13" s="20">
        <v>0</v>
      </c>
      <c r="AM13" s="20">
        <v>0</v>
      </c>
      <c r="AN13" s="20">
        <v>0</v>
      </c>
      <c r="AO13" s="20">
        <v>0</v>
      </c>
      <c r="AP13" s="20">
        <v>0</v>
      </c>
      <c r="AQ13" s="20">
        <v>0</v>
      </c>
      <c r="AR13" s="20">
        <v>0</v>
      </c>
      <c r="AS13" s="20">
        <v>0</v>
      </c>
      <c r="AT13" s="20">
        <v>0</v>
      </c>
      <c r="AU13" s="20">
        <v>0</v>
      </c>
      <c r="AV13" s="20">
        <v>0</v>
      </c>
      <c r="AW13" s="20">
        <v>0</v>
      </c>
      <c r="AX13" s="20">
        <v>0</v>
      </c>
      <c r="AY13" s="20">
        <v>0</v>
      </c>
      <c r="AZ13" s="20">
        <v>0</v>
      </c>
      <c r="BA13" s="20">
        <v>0</v>
      </c>
      <c r="BB13" s="20">
        <v>0</v>
      </c>
      <c r="BC13" s="20">
        <v>0</v>
      </c>
      <c r="BD13" s="20">
        <v>0</v>
      </c>
      <c r="BE13" s="20">
        <v>0</v>
      </c>
      <c r="BF13" s="20">
        <v>0</v>
      </c>
      <c r="BG13" s="20">
        <v>0</v>
      </c>
      <c r="BH13" s="20">
        <v>0</v>
      </c>
      <c r="BI13" s="20">
        <v>0</v>
      </c>
      <c r="BJ13" s="20">
        <v>0</v>
      </c>
      <c r="BK13" s="20">
        <v>0</v>
      </c>
      <c r="BL13" s="20">
        <v>0</v>
      </c>
      <c r="BM13" s="20">
        <v>0</v>
      </c>
      <c r="BN13" s="20">
        <v>0</v>
      </c>
      <c r="BO13" s="20">
        <v>0</v>
      </c>
      <c r="BP13" s="20">
        <v>0</v>
      </c>
      <c r="BQ13" s="20">
        <v>0</v>
      </c>
      <c r="BR13" s="20">
        <v>0</v>
      </c>
      <c r="BS13" s="20">
        <v>0</v>
      </c>
      <c r="BT13" s="20">
        <v>0</v>
      </c>
      <c r="BU13" s="20">
        <v>0</v>
      </c>
      <c r="BV13" s="20">
        <v>0</v>
      </c>
      <c r="BW13" s="20">
        <v>0</v>
      </c>
      <c r="BX13" s="20">
        <v>0</v>
      </c>
      <c r="BY13" s="20">
        <v>0</v>
      </c>
      <c r="BZ13" s="20">
        <v>0</v>
      </c>
      <c r="CA13" s="20">
        <v>0</v>
      </c>
      <c r="CB13" s="20">
        <v>0</v>
      </c>
      <c r="CC13" s="20">
        <v>0</v>
      </c>
      <c r="CD13" s="20">
        <v>0</v>
      </c>
      <c r="CE13" s="20">
        <v>0</v>
      </c>
      <c r="CF13" s="11">
        <v>0</v>
      </c>
      <c r="CG13" s="11">
        <v>0</v>
      </c>
      <c r="CH13" s="11">
        <v>0</v>
      </c>
      <c r="CI13" s="11">
        <v>0</v>
      </c>
      <c r="CJ13" s="11">
        <v>0</v>
      </c>
      <c r="CK13" s="11">
        <v>0</v>
      </c>
      <c r="CL13" s="11">
        <v>0</v>
      </c>
      <c r="CM13" s="11">
        <v>0</v>
      </c>
      <c r="CN13" s="11">
        <v>0</v>
      </c>
      <c r="CO13" s="11">
        <v>0</v>
      </c>
      <c r="CP13" s="11">
        <v>0</v>
      </c>
      <c r="CQ13" s="11">
        <v>0</v>
      </c>
      <c r="CR13" s="11">
        <v>0</v>
      </c>
      <c r="CS13" t="str">
        <f>IFERROR(INDEX('Initiative Summary'!$C$5:$C$25,MATCH($A13,'Initiative Summary'!$A$5:$A$25,0)),"")</f>
        <v>Westmark Region</v>
      </c>
    </row>
    <row r="14" spans="1:97" ht="21.75" customHeight="1" x14ac:dyDescent="0.25">
      <c r="A14" s="6" t="s">
        <v>29</v>
      </c>
      <c r="B14" s="7" t="s">
        <v>30</v>
      </c>
      <c r="C14" s="8" t="s">
        <v>194</v>
      </c>
      <c r="D14" s="8" t="s">
        <v>204</v>
      </c>
      <c r="E14" s="8" t="s">
        <v>196</v>
      </c>
      <c r="F14" s="8" t="s">
        <v>197</v>
      </c>
      <c r="G14" s="8"/>
      <c r="H14" s="8"/>
      <c r="I14" s="8"/>
      <c r="J14" s="8"/>
      <c r="K14" s="7"/>
      <c r="L14" s="8" t="s">
        <v>211</v>
      </c>
      <c r="M14" s="8" t="s">
        <v>199</v>
      </c>
      <c r="N14" s="21">
        <v>0</v>
      </c>
      <c r="O14" s="8" t="b">
        <v>0</v>
      </c>
      <c r="P14" s="8" t="s">
        <v>201</v>
      </c>
      <c r="Q14" s="8" t="s">
        <v>212</v>
      </c>
      <c r="R14" s="8" t="s">
        <v>212</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c r="BQ14" s="8">
        <v>0</v>
      </c>
      <c r="BR14" s="8">
        <v>0</v>
      </c>
      <c r="BS14" s="8">
        <v>0</v>
      </c>
      <c r="BT14" s="8">
        <v>0</v>
      </c>
      <c r="BU14" s="8">
        <v>0</v>
      </c>
      <c r="BV14" s="8">
        <v>0</v>
      </c>
      <c r="BW14" s="8">
        <v>0</v>
      </c>
      <c r="BX14" s="8">
        <v>0</v>
      </c>
      <c r="BY14" s="8">
        <v>0</v>
      </c>
      <c r="BZ14" s="8">
        <v>0</v>
      </c>
      <c r="CA14" s="8">
        <v>0</v>
      </c>
      <c r="CB14" s="8">
        <v>0</v>
      </c>
      <c r="CC14" s="8">
        <v>0</v>
      </c>
      <c r="CD14" s="8">
        <v>0</v>
      </c>
      <c r="CE14" s="8">
        <v>0</v>
      </c>
      <c r="CF14" s="8">
        <v>0</v>
      </c>
      <c r="CG14" s="8">
        <v>0</v>
      </c>
      <c r="CH14" s="8">
        <v>0</v>
      </c>
      <c r="CI14" s="8">
        <v>0</v>
      </c>
      <c r="CJ14" s="8">
        <v>0</v>
      </c>
      <c r="CK14" s="8">
        <v>0</v>
      </c>
      <c r="CL14" s="8">
        <v>0</v>
      </c>
      <c r="CM14" s="8">
        <v>0</v>
      </c>
      <c r="CN14" s="8">
        <v>0</v>
      </c>
      <c r="CO14" s="8">
        <v>0</v>
      </c>
      <c r="CP14" s="8">
        <v>0</v>
      </c>
      <c r="CQ14" s="8">
        <v>0</v>
      </c>
      <c r="CR14" s="8">
        <v>0</v>
      </c>
      <c r="CS14" t="str">
        <f>IFERROR(INDEX('Initiative Summary'!$C$5:$C$25,MATCH($A14,'Initiative Summary'!$A$5:$A$25,0)),"")</f>
        <v>Westmark Region</v>
      </c>
    </row>
    <row r="15" spans="1:97" ht="21.75" customHeight="1" x14ac:dyDescent="0.25">
      <c r="A15" s="6" t="s">
        <v>29</v>
      </c>
      <c r="B15" s="10" t="s">
        <v>30</v>
      </c>
      <c r="C15" s="11" t="s">
        <v>205</v>
      </c>
      <c r="D15" s="11" t="s">
        <v>195</v>
      </c>
      <c r="E15" s="11" t="s">
        <v>206</v>
      </c>
      <c r="F15" s="11" t="s">
        <v>207</v>
      </c>
      <c r="G15" s="11"/>
      <c r="H15" s="11"/>
      <c r="I15" s="11"/>
      <c r="J15" s="11"/>
      <c r="K15" s="10"/>
      <c r="L15" s="11" t="s">
        <v>213</v>
      </c>
      <c r="M15" s="11" t="s">
        <v>199</v>
      </c>
      <c r="N15" s="20">
        <v>3</v>
      </c>
      <c r="O15" s="11" t="b">
        <v>0</v>
      </c>
      <c r="P15" s="11" t="s">
        <v>201</v>
      </c>
      <c r="Q15" s="11" t="s">
        <v>212</v>
      </c>
      <c r="R15" s="11" t="s">
        <v>212</v>
      </c>
      <c r="S15" s="11"/>
      <c r="T15" s="20">
        <v>8.1999999999999993</v>
      </c>
      <c r="U15" s="20">
        <v>12.36</v>
      </c>
      <c r="V15" s="20">
        <v>12.36</v>
      </c>
      <c r="W15" s="20">
        <v>12.36</v>
      </c>
      <c r="X15" s="11">
        <v>0</v>
      </c>
      <c r="Y15" s="11">
        <v>0</v>
      </c>
      <c r="Z15" s="11">
        <v>0</v>
      </c>
      <c r="AA15" s="11">
        <v>0</v>
      </c>
      <c r="AB15" s="11">
        <v>0</v>
      </c>
      <c r="AC15" s="11">
        <v>0</v>
      </c>
      <c r="AD15" s="11">
        <v>0</v>
      </c>
      <c r="AE15" s="11">
        <v>0</v>
      </c>
      <c r="AF15" s="11">
        <v>0</v>
      </c>
      <c r="AG15" s="11">
        <v>0</v>
      </c>
      <c r="AH15" s="11">
        <v>0</v>
      </c>
      <c r="AI15" s="11">
        <v>0</v>
      </c>
      <c r="AJ15" s="20">
        <v>0</v>
      </c>
      <c r="AK15" s="20">
        <v>0</v>
      </c>
      <c r="AL15" s="20">
        <v>8.1999999999999993</v>
      </c>
      <c r="AM15" s="20">
        <v>8.1999999999999993</v>
      </c>
      <c r="AN15" s="20">
        <v>8.1999999999999993</v>
      </c>
      <c r="AO15" s="20">
        <v>8.1999999999999993</v>
      </c>
      <c r="AP15" s="20">
        <v>8.1999999999999993</v>
      </c>
      <c r="AQ15" s="20">
        <v>8.1999999999999993</v>
      </c>
      <c r="AR15" s="20">
        <v>8.1999999999999993</v>
      </c>
      <c r="AS15" s="20">
        <v>8.1999999999999993</v>
      </c>
      <c r="AT15" s="20">
        <v>8.1999999999999993</v>
      </c>
      <c r="AU15" s="20">
        <v>8.1999999999999993</v>
      </c>
      <c r="AV15" s="20">
        <v>12.36</v>
      </c>
      <c r="AW15" s="20">
        <v>12.36</v>
      </c>
      <c r="AX15" s="20">
        <v>12.36</v>
      </c>
      <c r="AY15" s="20">
        <v>12.36</v>
      </c>
      <c r="AZ15" s="20">
        <v>12.36</v>
      </c>
      <c r="BA15" s="20">
        <v>12.36</v>
      </c>
      <c r="BB15" s="20">
        <v>12.36</v>
      </c>
      <c r="BC15" s="20">
        <v>12.36</v>
      </c>
      <c r="BD15" s="20">
        <v>12.36</v>
      </c>
      <c r="BE15" s="20">
        <v>12.36</v>
      </c>
      <c r="BF15" s="20">
        <v>12.36</v>
      </c>
      <c r="BG15" s="20">
        <v>12.36</v>
      </c>
      <c r="BH15" s="20">
        <v>12.36</v>
      </c>
      <c r="BI15" s="20">
        <v>12.36</v>
      </c>
      <c r="BJ15" s="20">
        <v>12.36</v>
      </c>
      <c r="BK15" s="20">
        <v>12.36</v>
      </c>
      <c r="BL15" s="20">
        <v>12.36</v>
      </c>
      <c r="BM15" s="20">
        <v>12.36</v>
      </c>
      <c r="BN15" s="20">
        <v>12.36</v>
      </c>
      <c r="BO15" s="20">
        <v>12.36</v>
      </c>
      <c r="BP15" s="20">
        <v>12.36</v>
      </c>
      <c r="BQ15" s="20">
        <v>12.36</v>
      </c>
      <c r="BR15" s="20">
        <v>12.36</v>
      </c>
      <c r="BS15" s="20">
        <v>12.36</v>
      </c>
      <c r="BT15" s="20">
        <v>12.36</v>
      </c>
      <c r="BU15" s="20">
        <v>12.36</v>
      </c>
      <c r="BV15" s="20">
        <v>12.36</v>
      </c>
      <c r="BW15" s="20">
        <v>12.36</v>
      </c>
      <c r="BX15" s="20">
        <v>12.36</v>
      </c>
      <c r="BY15" s="20">
        <v>12.36</v>
      </c>
      <c r="BZ15" s="20">
        <v>12.36</v>
      </c>
      <c r="CA15" s="20">
        <v>12.36</v>
      </c>
      <c r="CB15" s="20">
        <v>12.36</v>
      </c>
      <c r="CC15" s="20">
        <v>12.36</v>
      </c>
      <c r="CD15" s="20">
        <v>12.36</v>
      </c>
      <c r="CE15" s="20">
        <v>12.36</v>
      </c>
      <c r="CF15" s="11">
        <v>12.36</v>
      </c>
      <c r="CG15" s="11">
        <v>12.36</v>
      </c>
      <c r="CH15" s="11">
        <v>12.36</v>
      </c>
      <c r="CI15" s="11">
        <v>12.36</v>
      </c>
      <c r="CJ15" s="11">
        <v>12.36</v>
      </c>
      <c r="CK15" s="11">
        <v>12.36</v>
      </c>
      <c r="CL15" s="11">
        <v>12.36</v>
      </c>
      <c r="CM15" s="11">
        <v>12.36</v>
      </c>
      <c r="CN15" s="11">
        <v>12.36</v>
      </c>
      <c r="CO15" s="11">
        <v>12.36</v>
      </c>
      <c r="CP15" s="11">
        <v>12.36</v>
      </c>
      <c r="CQ15" s="11">
        <v>12.36</v>
      </c>
      <c r="CR15" s="11">
        <v>12.36</v>
      </c>
      <c r="CS15" t="str">
        <f>IFERROR(INDEX('Initiative Summary'!$C$5:$C$25,MATCH($A15,'Initiative Summary'!$A$5:$A$25,0)),"")</f>
        <v>Westmark Region</v>
      </c>
    </row>
    <row r="16" spans="1:97" ht="21.75" customHeight="1" x14ac:dyDescent="0.25">
      <c r="A16" s="6" t="s">
        <v>29</v>
      </c>
      <c r="B16" s="7" t="s">
        <v>30</v>
      </c>
      <c r="C16" s="8" t="s">
        <v>205</v>
      </c>
      <c r="D16" s="8" t="s">
        <v>203</v>
      </c>
      <c r="E16" s="8" t="s">
        <v>206</v>
      </c>
      <c r="F16" s="8" t="s">
        <v>207</v>
      </c>
      <c r="G16" s="8"/>
      <c r="H16" s="8"/>
      <c r="I16" s="8"/>
      <c r="J16" s="8"/>
      <c r="K16" s="7"/>
      <c r="L16" s="8" t="s">
        <v>213</v>
      </c>
      <c r="M16" s="8" t="s">
        <v>199</v>
      </c>
      <c r="N16" s="21">
        <v>3</v>
      </c>
      <c r="O16" s="8" t="b">
        <v>0</v>
      </c>
      <c r="P16" s="8" t="s">
        <v>201</v>
      </c>
      <c r="Q16" s="8" t="s">
        <v>212</v>
      </c>
      <c r="R16" s="8" t="s">
        <v>212</v>
      </c>
      <c r="S16" s="8"/>
      <c r="T16" s="21">
        <v>11.14</v>
      </c>
      <c r="U16" s="21">
        <v>16.48</v>
      </c>
      <c r="V16" s="21">
        <v>16.48</v>
      </c>
      <c r="W16" s="21">
        <v>16.48</v>
      </c>
      <c r="X16" s="8">
        <v>0</v>
      </c>
      <c r="Y16" s="8">
        <v>0</v>
      </c>
      <c r="Z16" s="8">
        <v>0</v>
      </c>
      <c r="AA16" s="8">
        <v>0</v>
      </c>
      <c r="AB16" s="8">
        <v>0</v>
      </c>
      <c r="AC16" s="8">
        <v>0</v>
      </c>
      <c r="AD16" s="8">
        <v>0</v>
      </c>
      <c r="AE16" s="8">
        <v>0</v>
      </c>
      <c r="AF16" s="8">
        <v>0</v>
      </c>
      <c r="AG16" s="8">
        <v>0</v>
      </c>
      <c r="AH16" s="8">
        <v>0</v>
      </c>
      <c r="AI16" s="8">
        <v>0</v>
      </c>
      <c r="AJ16" s="21">
        <v>0</v>
      </c>
      <c r="AK16" s="21">
        <v>0</v>
      </c>
      <c r="AL16" s="21">
        <v>11.14</v>
      </c>
      <c r="AM16" s="21">
        <v>11.14</v>
      </c>
      <c r="AN16" s="21">
        <v>11.14</v>
      </c>
      <c r="AO16" s="21">
        <v>11.14</v>
      </c>
      <c r="AP16" s="21">
        <v>11.14</v>
      </c>
      <c r="AQ16" s="21">
        <v>11.14</v>
      </c>
      <c r="AR16" s="21">
        <v>11.14</v>
      </c>
      <c r="AS16" s="21">
        <v>11.14</v>
      </c>
      <c r="AT16" s="21">
        <v>11.14</v>
      </c>
      <c r="AU16" s="21">
        <v>11.14</v>
      </c>
      <c r="AV16" s="21">
        <v>16.48</v>
      </c>
      <c r="AW16" s="21">
        <v>16.48</v>
      </c>
      <c r="AX16" s="21">
        <v>16.48</v>
      </c>
      <c r="AY16" s="21">
        <v>16.48</v>
      </c>
      <c r="AZ16" s="21">
        <v>16.48</v>
      </c>
      <c r="BA16" s="21">
        <v>16.48</v>
      </c>
      <c r="BB16" s="21">
        <v>16.48</v>
      </c>
      <c r="BC16" s="21">
        <v>16.48</v>
      </c>
      <c r="BD16" s="21">
        <v>16.48</v>
      </c>
      <c r="BE16" s="21">
        <v>16.48</v>
      </c>
      <c r="BF16" s="21">
        <v>16.48</v>
      </c>
      <c r="BG16" s="21">
        <v>16.48</v>
      </c>
      <c r="BH16" s="21">
        <v>16.48</v>
      </c>
      <c r="BI16" s="21">
        <v>16.48</v>
      </c>
      <c r="BJ16" s="21">
        <v>16.48</v>
      </c>
      <c r="BK16" s="21">
        <v>16.48</v>
      </c>
      <c r="BL16" s="21">
        <v>16.48</v>
      </c>
      <c r="BM16" s="21">
        <v>16.48</v>
      </c>
      <c r="BN16" s="21">
        <v>16.48</v>
      </c>
      <c r="BO16" s="21">
        <v>16.48</v>
      </c>
      <c r="BP16" s="21">
        <v>16.48</v>
      </c>
      <c r="BQ16" s="21">
        <v>16.48</v>
      </c>
      <c r="BR16" s="21">
        <v>16.48</v>
      </c>
      <c r="BS16" s="21">
        <v>16.48</v>
      </c>
      <c r="BT16" s="21">
        <v>16.48</v>
      </c>
      <c r="BU16" s="21">
        <v>16.48</v>
      </c>
      <c r="BV16" s="21">
        <v>16.48</v>
      </c>
      <c r="BW16" s="21">
        <v>16.48</v>
      </c>
      <c r="BX16" s="21">
        <v>16.48</v>
      </c>
      <c r="BY16" s="21">
        <v>16.48</v>
      </c>
      <c r="BZ16" s="21">
        <v>16.48</v>
      </c>
      <c r="CA16" s="21">
        <v>16.48</v>
      </c>
      <c r="CB16" s="21">
        <v>16.48</v>
      </c>
      <c r="CC16" s="21">
        <v>16.48</v>
      </c>
      <c r="CD16" s="21">
        <v>16.48</v>
      </c>
      <c r="CE16" s="21">
        <v>16.48</v>
      </c>
      <c r="CF16" s="8">
        <v>16.48</v>
      </c>
      <c r="CG16" s="8">
        <v>16.48</v>
      </c>
      <c r="CH16" s="8">
        <v>16.48</v>
      </c>
      <c r="CI16" s="8">
        <v>16.48</v>
      </c>
      <c r="CJ16" s="8">
        <v>16.48</v>
      </c>
      <c r="CK16" s="8">
        <v>16.48</v>
      </c>
      <c r="CL16" s="8">
        <v>16.48</v>
      </c>
      <c r="CM16" s="8">
        <v>16.48</v>
      </c>
      <c r="CN16" s="8">
        <v>16.48</v>
      </c>
      <c r="CO16" s="8">
        <v>16.48</v>
      </c>
      <c r="CP16" s="8">
        <v>16.48</v>
      </c>
      <c r="CQ16" s="8">
        <v>16.48</v>
      </c>
      <c r="CR16" s="8">
        <v>16.48</v>
      </c>
      <c r="CS16" t="str">
        <f>IFERROR(INDEX('Initiative Summary'!$C$5:$C$25,MATCH($A16,'Initiative Summary'!$A$5:$A$25,0)),"")</f>
        <v>Westmark Region</v>
      </c>
    </row>
    <row r="17" spans="1:97" ht="21.75" customHeight="1" x14ac:dyDescent="0.25">
      <c r="A17" s="6" t="s">
        <v>29</v>
      </c>
      <c r="B17" s="10" t="s">
        <v>30</v>
      </c>
      <c r="C17" s="11" t="s">
        <v>205</v>
      </c>
      <c r="D17" s="11" t="s">
        <v>204</v>
      </c>
      <c r="E17" s="11" t="s">
        <v>206</v>
      </c>
      <c r="F17" s="11" t="s">
        <v>207</v>
      </c>
      <c r="G17" s="11"/>
      <c r="H17" s="11"/>
      <c r="I17" s="11"/>
      <c r="J17" s="11"/>
      <c r="K17" s="10"/>
      <c r="L17" s="11" t="s">
        <v>213</v>
      </c>
      <c r="M17" s="11" t="s">
        <v>199</v>
      </c>
      <c r="N17" s="20">
        <v>3</v>
      </c>
      <c r="O17" s="11" t="b">
        <v>0</v>
      </c>
      <c r="P17" s="11" t="s">
        <v>201</v>
      </c>
      <c r="Q17" s="11" t="s">
        <v>212</v>
      </c>
      <c r="R17" s="11" t="s">
        <v>212</v>
      </c>
      <c r="S17" s="11"/>
      <c r="T17" s="11"/>
      <c r="U17" s="11"/>
      <c r="V17" s="11"/>
      <c r="W17" s="11"/>
      <c r="X17" s="11">
        <v>0</v>
      </c>
      <c r="Y17" s="11">
        <v>0</v>
      </c>
      <c r="Z17" s="11">
        <v>0</v>
      </c>
      <c r="AA17" s="11">
        <v>0</v>
      </c>
      <c r="AB17" s="11">
        <v>0</v>
      </c>
      <c r="AC17" s="11">
        <v>0</v>
      </c>
      <c r="AD17" s="11">
        <v>0</v>
      </c>
      <c r="AE17" s="11">
        <v>0</v>
      </c>
      <c r="AF17" s="11">
        <v>0</v>
      </c>
      <c r="AG17" s="11">
        <v>0</v>
      </c>
      <c r="AH17" s="11">
        <v>0</v>
      </c>
      <c r="AI17" s="11">
        <v>0</v>
      </c>
      <c r="AJ17" s="11">
        <v>0</v>
      </c>
      <c r="AK17" s="11">
        <v>0</v>
      </c>
      <c r="AL17" s="11">
        <v>0</v>
      </c>
      <c r="AM17" s="11">
        <v>0</v>
      </c>
      <c r="AN17" s="11">
        <v>0</v>
      </c>
      <c r="AO17" s="11">
        <v>0</v>
      </c>
      <c r="AP17" s="11">
        <v>0</v>
      </c>
      <c r="AQ17" s="11">
        <v>0</v>
      </c>
      <c r="AR17" s="11">
        <v>0</v>
      </c>
      <c r="AS17" s="11">
        <v>0</v>
      </c>
      <c r="AT17" s="11">
        <v>0</v>
      </c>
      <c r="AU17" s="11">
        <v>0</v>
      </c>
      <c r="AV17" s="11">
        <v>0</v>
      </c>
      <c r="AW17" s="11">
        <v>0</v>
      </c>
      <c r="AX17" s="11">
        <v>0</v>
      </c>
      <c r="AY17" s="11">
        <v>0</v>
      </c>
      <c r="AZ17" s="11">
        <v>0</v>
      </c>
      <c r="BA17" s="11">
        <v>0</v>
      </c>
      <c r="BB17" s="11">
        <v>0</v>
      </c>
      <c r="BC17" s="11">
        <v>0</v>
      </c>
      <c r="BD17" s="11">
        <v>0</v>
      </c>
      <c r="BE17" s="11">
        <v>0</v>
      </c>
      <c r="BF17" s="11">
        <v>0</v>
      </c>
      <c r="BG17" s="11">
        <v>0</v>
      </c>
      <c r="BH17" s="11">
        <v>0</v>
      </c>
      <c r="BI17" s="11">
        <v>0</v>
      </c>
      <c r="BJ17" s="11">
        <v>0</v>
      </c>
      <c r="BK17" s="11">
        <v>0</v>
      </c>
      <c r="BL17" s="11">
        <v>0</v>
      </c>
      <c r="BM17" s="11">
        <v>0</v>
      </c>
      <c r="BN17" s="11">
        <v>0</v>
      </c>
      <c r="BO17" s="11">
        <v>0</v>
      </c>
      <c r="BP17" s="11">
        <v>0</v>
      </c>
      <c r="BQ17" s="11">
        <v>0</v>
      </c>
      <c r="BR17" s="11">
        <v>0</v>
      </c>
      <c r="BS17" s="11">
        <v>0</v>
      </c>
      <c r="BT17" s="11">
        <v>0</v>
      </c>
      <c r="BU17" s="11">
        <v>0</v>
      </c>
      <c r="BV17" s="11">
        <v>0</v>
      </c>
      <c r="BW17" s="11">
        <v>0</v>
      </c>
      <c r="BX17" s="11">
        <v>0</v>
      </c>
      <c r="BY17" s="11">
        <v>0</v>
      </c>
      <c r="BZ17" s="11">
        <v>0</v>
      </c>
      <c r="CA17" s="11">
        <v>0</v>
      </c>
      <c r="CB17" s="11">
        <v>0</v>
      </c>
      <c r="CC17" s="11">
        <v>0</v>
      </c>
      <c r="CD17" s="11">
        <v>0</v>
      </c>
      <c r="CE17" s="11">
        <v>0</v>
      </c>
      <c r="CF17" s="11">
        <v>0</v>
      </c>
      <c r="CG17" s="11">
        <v>0</v>
      </c>
      <c r="CH17" s="11">
        <v>0</v>
      </c>
      <c r="CI17" s="11">
        <v>0</v>
      </c>
      <c r="CJ17" s="11">
        <v>0</v>
      </c>
      <c r="CK17" s="11">
        <v>0</v>
      </c>
      <c r="CL17" s="11">
        <v>0</v>
      </c>
      <c r="CM17" s="11">
        <v>0</v>
      </c>
      <c r="CN17" s="11">
        <v>0</v>
      </c>
      <c r="CO17" s="11">
        <v>0</v>
      </c>
      <c r="CP17" s="11">
        <v>0</v>
      </c>
      <c r="CQ17" s="11">
        <v>0</v>
      </c>
      <c r="CR17" s="11">
        <v>0</v>
      </c>
      <c r="CS17" t="str">
        <f>IFERROR(INDEX('Initiative Summary'!$C$5:$C$25,MATCH($A17,'Initiative Summary'!$A$5:$A$25,0)),"")</f>
        <v>Westmark Region</v>
      </c>
    </row>
    <row r="18" spans="1:97" ht="21.75" customHeight="1" x14ac:dyDescent="0.25">
      <c r="A18" s="6" t="s">
        <v>29</v>
      </c>
      <c r="B18" s="7" t="s">
        <v>30</v>
      </c>
      <c r="C18" s="8" t="s">
        <v>206</v>
      </c>
      <c r="D18" s="8" t="s">
        <v>195</v>
      </c>
      <c r="E18" s="8" t="s">
        <v>206</v>
      </c>
      <c r="F18" s="8" t="s">
        <v>197</v>
      </c>
      <c r="G18" s="8"/>
      <c r="H18" s="8"/>
      <c r="I18" s="8"/>
      <c r="J18" s="8"/>
      <c r="K18" s="7"/>
      <c r="L18" s="8" t="s">
        <v>214</v>
      </c>
      <c r="M18" s="8" t="s">
        <v>199</v>
      </c>
      <c r="N18" s="21">
        <v>100</v>
      </c>
      <c r="O18" s="8" t="b">
        <v>0</v>
      </c>
      <c r="P18" s="8" t="s">
        <v>201</v>
      </c>
      <c r="Q18" s="8" t="s">
        <v>210</v>
      </c>
      <c r="R18" s="8" t="s">
        <v>210</v>
      </c>
      <c r="S18" s="8">
        <v>0</v>
      </c>
      <c r="T18" s="21">
        <v>0.62</v>
      </c>
      <c r="U18" s="21">
        <v>0.92</v>
      </c>
      <c r="V18" s="21">
        <v>0.92</v>
      </c>
      <c r="W18" s="21">
        <v>0.92</v>
      </c>
      <c r="X18" s="8">
        <v>0</v>
      </c>
      <c r="Y18" s="8">
        <v>0</v>
      </c>
      <c r="Z18" s="8">
        <v>0</v>
      </c>
      <c r="AA18" s="8">
        <v>0</v>
      </c>
      <c r="AB18" s="8">
        <v>0</v>
      </c>
      <c r="AC18" s="8">
        <v>0</v>
      </c>
      <c r="AD18" s="8">
        <v>0</v>
      </c>
      <c r="AE18" s="8">
        <v>0</v>
      </c>
      <c r="AF18" s="8">
        <v>0</v>
      </c>
      <c r="AG18" s="8">
        <v>0</v>
      </c>
      <c r="AH18" s="8">
        <v>0</v>
      </c>
      <c r="AI18" s="8">
        <v>0</v>
      </c>
      <c r="AJ18" s="21">
        <v>0</v>
      </c>
      <c r="AK18" s="21">
        <v>0</v>
      </c>
      <c r="AL18" s="21">
        <v>6.2E-2</v>
      </c>
      <c r="AM18" s="21">
        <v>6.2E-2</v>
      </c>
      <c r="AN18" s="21">
        <v>6.2E-2</v>
      </c>
      <c r="AO18" s="21">
        <v>6.2E-2</v>
      </c>
      <c r="AP18" s="21">
        <v>6.2E-2</v>
      </c>
      <c r="AQ18" s="21">
        <v>6.2E-2</v>
      </c>
      <c r="AR18" s="21">
        <v>6.2E-2</v>
      </c>
      <c r="AS18" s="21">
        <v>6.2E-2</v>
      </c>
      <c r="AT18" s="21">
        <v>6.2E-2</v>
      </c>
      <c r="AU18" s="21">
        <v>6.2E-2</v>
      </c>
      <c r="AV18" s="21">
        <v>7.6666666666666675E-2</v>
      </c>
      <c r="AW18" s="21">
        <v>7.6666666666666675E-2</v>
      </c>
      <c r="AX18" s="21">
        <v>7.6666666666666675E-2</v>
      </c>
      <c r="AY18" s="21">
        <v>7.6666666666666675E-2</v>
      </c>
      <c r="AZ18" s="21">
        <v>7.6666666666666675E-2</v>
      </c>
      <c r="BA18" s="21">
        <v>7.6666666666666675E-2</v>
      </c>
      <c r="BB18" s="21">
        <v>7.6666666666666675E-2</v>
      </c>
      <c r="BC18" s="21">
        <v>7.6666666666666675E-2</v>
      </c>
      <c r="BD18" s="21">
        <v>7.6666666666666675E-2</v>
      </c>
      <c r="BE18" s="21">
        <v>7.6666666666666675E-2</v>
      </c>
      <c r="BF18" s="21">
        <v>7.6666666666666675E-2</v>
      </c>
      <c r="BG18" s="21">
        <v>7.6666666666666675E-2</v>
      </c>
      <c r="BH18" s="21">
        <v>7.6666666666666675E-2</v>
      </c>
      <c r="BI18" s="21">
        <v>7.6666666666666675E-2</v>
      </c>
      <c r="BJ18" s="21">
        <v>7.6666666666666675E-2</v>
      </c>
      <c r="BK18" s="21">
        <v>7.6666666666666675E-2</v>
      </c>
      <c r="BL18" s="21">
        <v>7.6666666666666675E-2</v>
      </c>
      <c r="BM18" s="21">
        <v>7.6666666666666675E-2</v>
      </c>
      <c r="BN18" s="21">
        <v>7.6666666666666675E-2</v>
      </c>
      <c r="BO18" s="21">
        <v>7.6666666666666675E-2</v>
      </c>
      <c r="BP18" s="21">
        <v>7.6666666666666675E-2</v>
      </c>
      <c r="BQ18" s="21">
        <v>7.6666666666666675E-2</v>
      </c>
      <c r="BR18" s="21">
        <v>7.6666666666666675E-2</v>
      </c>
      <c r="BS18" s="21">
        <v>7.6666666666666675E-2</v>
      </c>
      <c r="BT18" s="21">
        <v>7.6666666666666675E-2</v>
      </c>
      <c r="BU18" s="21">
        <v>7.6666666666666675E-2</v>
      </c>
      <c r="BV18" s="21">
        <v>7.6666666666666675E-2</v>
      </c>
      <c r="BW18" s="21">
        <v>7.6666666666666675E-2</v>
      </c>
      <c r="BX18" s="21">
        <v>7.6666666666666675E-2</v>
      </c>
      <c r="BY18" s="21">
        <v>7.6666666666666675E-2</v>
      </c>
      <c r="BZ18" s="21">
        <v>7.6666666666666675E-2</v>
      </c>
      <c r="CA18" s="21">
        <v>7.6666666666666675E-2</v>
      </c>
      <c r="CB18" s="21">
        <v>7.6666666666666675E-2</v>
      </c>
      <c r="CC18" s="21">
        <v>7.6666666666666675E-2</v>
      </c>
      <c r="CD18" s="21">
        <v>7.6666666666666675E-2</v>
      </c>
      <c r="CE18" s="21">
        <v>7.6666666666666675E-2</v>
      </c>
      <c r="CF18" s="8">
        <v>0.92</v>
      </c>
      <c r="CG18" s="8">
        <v>7.6666666666666675E-2</v>
      </c>
      <c r="CH18" s="8">
        <v>7.6666666666666675E-2</v>
      </c>
      <c r="CI18" s="8">
        <v>7.6666666666666675E-2</v>
      </c>
      <c r="CJ18" s="8">
        <v>7.6666666666666675E-2</v>
      </c>
      <c r="CK18" s="8">
        <v>7.6666666666666675E-2</v>
      </c>
      <c r="CL18" s="8">
        <v>7.6666666666666675E-2</v>
      </c>
      <c r="CM18" s="8">
        <v>7.6666666666666675E-2</v>
      </c>
      <c r="CN18" s="8">
        <v>7.6666666666666675E-2</v>
      </c>
      <c r="CO18" s="8">
        <v>7.6666666666666675E-2</v>
      </c>
      <c r="CP18" s="8">
        <v>7.6666666666666675E-2</v>
      </c>
      <c r="CQ18" s="8">
        <v>7.6666666666666675E-2</v>
      </c>
      <c r="CR18" s="8">
        <v>7.6666666666666675E-2</v>
      </c>
      <c r="CS18" t="str">
        <f>IFERROR(INDEX('Initiative Summary'!$C$5:$C$25,MATCH($A18,'Initiative Summary'!$A$5:$A$25,0)),"")</f>
        <v>Westmark Region</v>
      </c>
    </row>
    <row r="19" spans="1:97" ht="21.75" customHeight="1" x14ac:dyDescent="0.25">
      <c r="A19" s="6" t="s">
        <v>29</v>
      </c>
      <c r="B19" s="10" t="s">
        <v>30</v>
      </c>
      <c r="C19" s="11" t="s">
        <v>206</v>
      </c>
      <c r="D19" s="11" t="s">
        <v>203</v>
      </c>
      <c r="E19" s="11" t="s">
        <v>206</v>
      </c>
      <c r="F19" s="11" t="s">
        <v>197</v>
      </c>
      <c r="G19" s="11"/>
      <c r="H19" s="11"/>
      <c r="I19" s="11"/>
      <c r="J19" s="11"/>
      <c r="K19" s="10"/>
      <c r="L19" s="11" t="s">
        <v>214</v>
      </c>
      <c r="M19" s="11" t="s">
        <v>199</v>
      </c>
      <c r="N19" s="20">
        <v>100</v>
      </c>
      <c r="O19" s="11" t="b">
        <v>0</v>
      </c>
      <c r="P19" s="11" t="s">
        <v>201</v>
      </c>
      <c r="Q19" s="11" t="s">
        <v>210</v>
      </c>
      <c r="R19" s="11" t="s">
        <v>210</v>
      </c>
      <c r="S19" s="11">
        <v>0</v>
      </c>
      <c r="T19" s="20">
        <v>0.84</v>
      </c>
      <c r="U19" s="20">
        <v>1.24</v>
      </c>
      <c r="V19" s="20">
        <v>1.24</v>
      </c>
      <c r="W19" s="20">
        <v>1.24</v>
      </c>
      <c r="X19" s="11">
        <v>0</v>
      </c>
      <c r="Y19" s="11">
        <v>0</v>
      </c>
      <c r="Z19" s="11">
        <v>0</v>
      </c>
      <c r="AA19" s="11">
        <v>0</v>
      </c>
      <c r="AB19" s="11">
        <v>0</v>
      </c>
      <c r="AC19" s="11">
        <v>0</v>
      </c>
      <c r="AD19" s="11">
        <v>0</v>
      </c>
      <c r="AE19" s="11">
        <v>0</v>
      </c>
      <c r="AF19" s="11">
        <v>0</v>
      </c>
      <c r="AG19" s="11">
        <v>0</v>
      </c>
      <c r="AH19" s="11">
        <v>0</v>
      </c>
      <c r="AI19" s="11">
        <v>0</v>
      </c>
      <c r="AJ19" s="20">
        <v>0</v>
      </c>
      <c r="AK19" s="20">
        <v>0</v>
      </c>
      <c r="AL19" s="20">
        <v>8.3999999999999991E-2</v>
      </c>
      <c r="AM19" s="20">
        <v>8.3999999999999991E-2</v>
      </c>
      <c r="AN19" s="20">
        <v>8.3999999999999991E-2</v>
      </c>
      <c r="AO19" s="20">
        <v>8.3999999999999991E-2</v>
      </c>
      <c r="AP19" s="20">
        <v>8.3999999999999991E-2</v>
      </c>
      <c r="AQ19" s="20">
        <v>8.3999999999999991E-2</v>
      </c>
      <c r="AR19" s="20">
        <v>8.3999999999999991E-2</v>
      </c>
      <c r="AS19" s="20">
        <v>8.3999999999999991E-2</v>
      </c>
      <c r="AT19" s="20">
        <v>8.3999999999999991E-2</v>
      </c>
      <c r="AU19" s="20">
        <v>8.3999999999999991E-2</v>
      </c>
      <c r="AV19" s="20">
        <v>0.10333333333333333</v>
      </c>
      <c r="AW19" s="20">
        <v>0.10333333333333333</v>
      </c>
      <c r="AX19" s="20">
        <v>0.10333333333333333</v>
      </c>
      <c r="AY19" s="20">
        <v>0.10333333333333333</v>
      </c>
      <c r="AZ19" s="20">
        <v>0.10333333333333333</v>
      </c>
      <c r="BA19" s="20">
        <v>0.10333333333333333</v>
      </c>
      <c r="BB19" s="20">
        <v>0.10333333333333333</v>
      </c>
      <c r="BC19" s="20">
        <v>0.10333333333333333</v>
      </c>
      <c r="BD19" s="20">
        <v>0.10333333333333333</v>
      </c>
      <c r="BE19" s="20">
        <v>0.10333333333333333</v>
      </c>
      <c r="BF19" s="20">
        <v>0.10333333333333333</v>
      </c>
      <c r="BG19" s="20">
        <v>0.10333333333333333</v>
      </c>
      <c r="BH19" s="20">
        <v>0.10333333333333333</v>
      </c>
      <c r="BI19" s="20">
        <v>0.10333333333333333</v>
      </c>
      <c r="BJ19" s="20">
        <v>0.10333333333333333</v>
      </c>
      <c r="BK19" s="20">
        <v>0.10333333333333333</v>
      </c>
      <c r="BL19" s="20">
        <v>0.10333333333333333</v>
      </c>
      <c r="BM19" s="20">
        <v>0.10333333333333333</v>
      </c>
      <c r="BN19" s="20">
        <v>0.10333333333333333</v>
      </c>
      <c r="BO19" s="20">
        <v>0.10333333333333333</v>
      </c>
      <c r="BP19" s="20">
        <v>0.10333333333333333</v>
      </c>
      <c r="BQ19" s="20">
        <v>0.10333333333333333</v>
      </c>
      <c r="BR19" s="20">
        <v>0.10333333333333333</v>
      </c>
      <c r="BS19" s="20">
        <v>0.10333333333333333</v>
      </c>
      <c r="BT19" s="20">
        <v>0.10333333333333333</v>
      </c>
      <c r="BU19" s="20">
        <v>0.10333333333333333</v>
      </c>
      <c r="BV19" s="20">
        <v>0.10333333333333333</v>
      </c>
      <c r="BW19" s="20">
        <v>0.10333333333333333</v>
      </c>
      <c r="BX19" s="20">
        <v>0.10333333333333333</v>
      </c>
      <c r="BY19" s="20">
        <v>0.10333333333333333</v>
      </c>
      <c r="BZ19" s="20">
        <v>0.10333333333333333</v>
      </c>
      <c r="CA19" s="20">
        <v>0.10333333333333333</v>
      </c>
      <c r="CB19" s="20">
        <v>0.10333333333333333</v>
      </c>
      <c r="CC19" s="20">
        <v>0.10333333333333333</v>
      </c>
      <c r="CD19" s="20">
        <v>0.10333333333333333</v>
      </c>
      <c r="CE19" s="20">
        <v>0.10333333333333333</v>
      </c>
      <c r="CF19" s="11">
        <v>1.24</v>
      </c>
      <c r="CG19" s="11">
        <v>0.10333333333333333</v>
      </c>
      <c r="CH19" s="11">
        <v>0.10333333333333333</v>
      </c>
      <c r="CI19" s="11">
        <v>0.10333333333333333</v>
      </c>
      <c r="CJ19" s="11">
        <v>0.10333333333333333</v>
      </c>
      <c r="CK19" s="11">
        <v>0.10333333333333333</v>
      </c>
      <c r="CL19" s="11">
        <v>0.10333333333333333</v>
      </c>
      <c r="CM19" s="11">
        <v>0.10333333333333333</v>
      </c>
      <c r="CN19" s="11">
        <v>0.10333333333333333</v>
      </c>
      <c r="CO19" s="11">
        <v>0.10333333333333333</v>
      </c>
      <c r="CP19" s="11">
        <v>0.10333333333333333</v>
      </c>
      <c r="CQ19" s="11">
        <v>0.10333333333333333</v>
      </c>
      <c r="CR19" s="11">
        <v>0.10333333333333333</v>
      </c>
      <c r="CS19" t="str">
        <f>IFERROR(INDEX('Initiative Summary'!$C$5:$C$25,MATCH($A19,'Initiative Summary'!$A$5:$A$25,0)),"")</f>
        <v>Westmark Region</v>
      </c>
    </row>
    <row r="20" spans="1:97" ht="21.75" customHeight="1" x14ac:dyDescent="0.25">
      <c r="A20" s="6" t="s">
        <v>29</v>
      </c>
      <c r="B20" s="7" t="s">
        <v>30</v>
      </c>
      <c r="C20" s="8" t="s">
        <v>206</v>
      </c>
      <c r="D20" s="8" t="s">
        <v>204</v>
      </c>
      <c r="E20" s="8" t="s">
        <v>206</v>
      </c>
      <c r="F20" s="8" t="s">
        <v>197</v>
      </c>
      <c r="G20" s="8"/>
      <c r="H20" s="8"/>
      <c r="I20" s="8"/>
      <c r="J20" s="8"/>
      <c r="K20" s="7"/>
      <c r="L20" s="8" t="s">
        <v>214</v>
      </c>
      <c r="M20" s="8" t="s">
        <v>199</v>
      </c>
      <c r="N20" s="21">
        <v>100</v>
      </c>
      <c r="O20" s="8" t="b">
        <v>0</v>
      </c>
      <c r="P20" s="8" t="s">
        <v>201</v>
      </c>
      <c r="Q20" s="8" t="s">
        <v>210</v>
      </c>
      <c r="R20" s="8" t="s">
        <v>210</v>
      </c>
      <c r="S20" s="8"/>
      <c r="T20" s="8"/>
      <c r="U20" s="8"/>
      <c r="V20" s="8"/>
      <c r="W20" s="8"/>
      <c r="X20" s="8">
        <v>0</v>
      </c>
      <c r="Y20" s="8">
        <v>0</v>
      </c>
      <c r="Z20" s="8">
        <v>0</v>
      </c>
      <c r="AA20" s="8">
        <v>0</v>
      </c>
      <c r="AB20" s="8">
        <v>0</v>
      </c>
      <c r="AC20" s="8">
        <v>0</v>
      </c>
      <c r="AD20" s="8">
        <v>0</v>
      </c>
      <c r="AE20" s="8">
        <v>0</v>
      </c>
      <c r="AF20" s="8">
        <v>0</v>
      </c>
      <c r="AG20" s="8">
        <v>0</v>
      </c>
      <c r="AH20" s="8">
        <v>0</v>
      </c>
      <c r="AI20" s="8">
        <v>0</v>
      </c>
      <c r="AJ20" s="8">
        <v>0</v>
      </c>
      <c r="AK20" s="8">
        <v>0</v>
      </c>
      <c r="AL20" s="8">
        <v>0</v>
      </c>
      <c r="AM20" s="8">
        <v>0</v>
      </c>
      <c r="AN20" s="8">
        <v>0</v>
      </c>
      <c r="AO20" s="8">
        <v>0</v>
      </c>
      <c r="AP20" s="8">
        <v>0</v>
      </c>
      <c r="AQ20" s="8">
        <v>0</v>
      </c>
      <c r="AR20" s="8">
        <v>0</v>
      </c>
      <c r="AS20" s="8">
        <v>0</v>
      </c>
      <c r="AT20" s="8">
        <v>0</v>
      </c>
      <c r="AU20" s="8">
        <v>0</v>
      </c>
      <c r="AV20" s="8">
        <v>0</v>
      </c>
      <c r="AW20" s="8">
        <v>0</v>
      </c>
      <c r="AX20" s="8">
        <v>0</v>
      </c>
      <c r="AY20" s="8">
        <v>0</v>
      </c>
      <c r="AZ20" s="8">
        <v>0</v>
      </c>
      <c r="BA20" s="8">
        <v>0</v>
      </c>
      <c r="BB20" s="8">
        <v>0</v>
      </c>
      <c r="BC20" s="8">
        <v>0</v>
      </c>
      <c r="BD20" s="8">
        <v>0</v>
      </c>
      <c r="BE20" s="8">
        <v>0</v>
      </c>
      <c r="BF20" s="8">
        <v>0</v>
      </c>
      <c r="BG20" s="8">
        <v>0</v>
      </c>
      <c r="BH20" s="8">
        <v>0</v>
      </c>
      <c r="BI20" s="8">
        <v>0</v>
      </c>
      <c r="BJ20" s="8">
        <v>0</v>
      </c>
      <c r="BK20" s="8">
        <v>0</v>
      </c>
      <c r="BL20" s="8">
        <v>0</v>
      </c>
      <c r="BM20" s="8">
        <v>0</v>
      </c>
      <c r="BN20" s="8">
        <v>0</v>
      </c>
      <c r="BO20" s="8">
        <v>0</v>
      </c>
      <c r="BP20" s="8">
        <v>0</v>
      </c>
      <c r="BQ20" s="8">
        <v>0</v>
      </c>
      <c r="BR20" s="8">
        <v>0</v>
      </c>
      <c r="BS20" s="8">
        <v>0</v>
      </c>
      <c r="BT20" s="8">
        <v>0</v>
      </c>
      <c r="BU20" s="8">
        <v>0</v>
      </c>
      <c r="BV20" s="8">
        <v>0</v>
      </c>
      <c r="BW20" s="8">
        <v>0</v>
      </c>
      <c r="BX20" s="8">
        <v>0</v>
      </c>
      <c r="BY20" s="8">
        <v>0</v>
      </c>
      <c r="BZ20" s="8">
        <v>0</v>
      </c>
      <c r="CA20" s="8">
        <v>0</v>
      </c>
      <c r="CB20" s="8">
        <v>0</v>
      </c>
      <c r="CC20" s="8">
        <v>0</v>
      </c>
      <c r="CD20" s="8">
        <v>0</v>
      </c>
      <c r="CE20" s="8">
        <v>0</v>
      </c>
      <c r="CF20" s="8">
        <v>0</v>
      </c>
      <c r="CG20" s="8">
        <v>0</v>
      </c>
      <c r="CH20" s="8">
        <v>0</v>
      </c>
      <c r="CI20" s="8">
        <v>0</v>
      </c>
      <c r="CJ20" s="8">
        <v>0</v>
      </c>
      <c r="CK20" s="8">
        <v>0</v>
      </c>
      <c r="CL20" s="8">
        <v>0</v>
      </c>
      <c r="CM20" s="8">
        <v>0</v>
      </c>
      <c r="CN20" s="8">
        <v>0</v>
      </c>
      <c r="CO20" s="8">
        <v>0</v>
      </c>
      <c r="CP20" s="8">
        <v>0</v>
      </c>
      <c r="CQ20" s="8">
        <v>0</v>
      </c>
      <c r="CR20" s="8">
        <v>0</v>
      </c>
      <c r="CS20" t="str">
        <f>IFERROR(INDEX('Initiative Summary'!$C$5:$C$25,MATCH($A20,'Initiative Summary'!$A$5:$A$25,0)),"")</f>
        <v>Westmark Region</v>
      </c>
    </row>
    <row r="21" spans="1:97" ht="21.75" customHeight="1" x14ac:dyDescent="0.25">
      <c r="A21" s="6" t="s">
        <v>32</v>
      </c>
      <c r="B21" s="10" t="s">
        <v>656</v>
      </c>
      <c r="C21" s="11" t="s">
        <v>194</v>
      </c>
      <c r="D21" s="11" t="s">
        <v>195</v>
      </c>
      <c r="E21" s="11" t="s">
        <v>196</v>
      </c>
      <c r="F21" s="11" t="s">
        <v>197</v>
      </c>
      <c r="G21" s="11"/>
      <c r="H21" s="11" t="s">
        <v>215</v>
      </c>
      <c r="I21" s="11" t="s">
        <v>216</v>
      </c>
      <c r="J21" s="11"/>
      <c r="K21" s="10"/>
      <c r="L21" s="11" t="s">
        <v>217</v>
      </c>
      <c r="M21" s="11" t="s">
        <v>199</v>
      </c>
      <c r="N21" s="20">
        <v>0</v>
      </c>
      <c r="O21" s="11" t="b">
        <v>0</v>
      </c>
      <c r="P21" s="11" t="s">
        <v>218</v>
      </c>
      <c r="Q21" s="11" t="s">
        <v>219</v>
      </c>
      <c r="R21" s="11" t="s">
        <v>219</v>
      </c>
      <c r="S21" s="11">
        <v>0</v>
      </c>
      <c r="T21" s="11">
        <v>0</v>
      </c>
      <c r="U21" s="11">
        <v>0</v>
      </c>
      <c r="V21" s="11">
        <v>0</v>
      </c>
      <c r="W21" s="11">
        <v>0</v>
      </c>
      <c r="X21" s="11">
        <v>0</v>
      </c>
      <c r="Y21" s="11">
        <v>0</v>
      </c>
      <c r="Z21" s="11">
        <v>0</v>
      </c>
      <c r="AA21" s="11">
        <v>0</v>
      </c>
      <c r="AB21" s="11">
        <v>0</v>
      </c>
      <c r="AC21" s="11">
        <v>0</v>
      </c>
      <c r="AD21" s="11">
        <v>0</v>
      </c>
      <c r="AE21" s="11">
        <v>0</v>
      </c>
      <c r="AF21" s="11">
        <v>0</v>
      </c>
      <c r="AG21" s="11">
        <v>0</v>
      </c>
      <c r="AH21" s="11">
        <v>0</v>
      </c>
      <c r="AI21" s="11">
        <v>0</v>
      </c>
      <c r="AJ21" s="11">
        <v>0</v>
      </c>
      <c r="AK21" s="11">
        <v>0</v>
      </c>
      <c r="AL21" s="11">
        <v>0</v>
      </c>
      <c r="AM21" s="11">
        <v>0</v>
      </c>
      <c r="AN21" s="11">
        <v>0</v>
      </c>
      <c r="AO21" s="11">
        <v>0</v>
      </c>
      <c r="AP21" s="11">
        <v>0</v>
      </c>
      <c r="AQ21" s="11">
        <v>0</v>
      </c>
      <c r="AR21" s="11">
        <v>0</v>
      </c>
      <c r="AS21" s="11">
        <v>0</v>
      </c>
      <c r="AT21" s="11">
        <v>0</v>
      </c>
      <c r="AU21" s="11">
        <v>0</v>
      </c>
      <c r="AV21" s="11">
        <v>0</v>
      </c>
      <c r="AW21" s="11">
        <v>0</v>
      </c>
      <c r="AX21" s="11">
        <v>0</v>
      </c>
      <c r="AY21" s="11">
        <v>0</v>
      </c>
      <c r="AZ21" s="11">
        <v>0</v>
      </c>
      <c r="BA21" s="11">
        <v>0</v>
      </c>
      <c r="BB21" s="11">
        <v>0</v>
      </c>
      <c r="BC21" s="11">
        <v>0</v>
      </c>
      <c r="BD21" s="11">
        <v>0</v>
      </c>
      <c r="BE21" s="11">
        <v>0</v>
      </c>
      <c r="BF21" s="11">
        <v>0</v>
      </c>
      <c r="BG21" s="11">
        <v>0</v>
      </c>
      <c r="BH21" s="11">
        <v>0</v>
      </c>
      <c r="BI21" s="11">
        <v>0</v>
      </c>
      <c r="BJ21" s="11">
        <v>0</v>
      </c>
      <c r="BK21" s="11">
        <v>0</v>
      </c>
      <c r="BL21" s="11">
        <v>0</v>
      </c>
      <c r="BM21" s="11">
        <v>0</v>
      </c>
      <c r="BN21" s="11">
        <v>0</v>
      </c>
      <c r="BO21" s="11">
        <v>0</v>
      </c>
      <c r="BP21" s="11">
        <v>0</v>
      </c>
      <c r="BQ21" s="11">
        <v>0</v>
      </c>
      <c r="BR21" s="11">
        <v>0</v>
      </c>
      <c r="BS21" s="11">
        <v>0</v>
      </c>
      <c r="BT21" s="11">
        <v>0</v>
      </c>
      <c r="BU21" s="11">
        <v>0</v>
      </c>
      <c r="BV21" s="11">
        <v>0</v>
      </c>
      <c r="BW21" s="11">
        <v>0</v>
      </c>
      <c r="BX21" s="11">
        <v>0</v>
      </c>
      <c r="BY21" s="11">
        <v>0</v>
      </c>
      <c r="BZ21" s="11">
        <v>0</v>
      </c>
      <c r="CA21" s="11">
        <v>0</v>
      </c>
      <c r="CB21" s="11">
        <v>0</v>
      </c>
      <c r="CC21" s="11">
        <v>0</v>
      </c>
      <c r="CD21" s="11">
        <v>0</v>
      </c>
      <c r="CE21" s="11">
        <v>0</v>
      </c>
      <c r="CF21" s="11">
        <v>0</v>
      </c>
      <c r="CG21" s="11">
        <v>0</v>
      </c>
      <c r="CH21" s="11">
        <v>0</v>
      </c>
      <c r="CI21" s="11">
        <v>0</v>
      </c>
      <c r="CJ21" s="11">
        <v>0</v>
      </c>
      <c r="CK21" s="11">
        <v>0</v>
      </c>
      <c r="CL21" s="11">
        <v>0</v>
      </c>
      <c r="CM21" s="11">
        <v>0</v>
      </c>
      <c r="CN21" s="11">
        <v>0</v>
      </c>
      <c r="CO21" s="11">
        <v>0</v>
      </c>
      <c r="CP21" s="11">
        <v>0</v>
      </c>
      <c r="CQ21" s="11">
        <v>0</v>
      </c>
      <c r="CR21" s="11">
        <v>0</v>
      </c>
      <c r="CS21" t="str">
        <f>IFERROR(INDEX('Initiative Summary'!$C$5:$C$25,MATCH($A21,'Initiative Summary'!$A$5:$A$25,0)),"")</f>
        <v>Westmark Region</v>
      </c>
    </row>
    <row r="22" spans="1:97" ht="21.75" customHeight="1" x14ac:dyDescent="0.25">
      <c r="A22" s="6" t="s">
        <v>32</v>
      </c>
      <c r="B22" s="7" t="s">
        <v>656</v>
      </c>
      <c r="C22" s="8" t="s">
        <v>194</v>
      </c>
      <c r="D22" s="8" t="s">
        <v>203</v>
      </c>
      <c r="E22" s="8" t="s">
        <v>196</v>
      </c>
      <c r="F22" s="8" t="s">
        <v>197</v>
      </c>
      <c r="G22" s="8"/>
      <c r="H22" s="8" t="s">
        <v>215</v>
      </c>
      <c r="I22" s="8" t="s">
        <v>216</v>
      </c>
      <c r="J22" s="8"/>
      <c r="K22" s="7"/>
      <c r="L22" s="8" t="s">
        <v>217</v>
      </c>
      <c r="M22" s="8" t="s">
        <v>199</v>
      </c>
      <c r="N22" s="21">
        <v>0</v>
      </c>
      <c r="O22" s="8" t="b">
        <v>0</v>
      </c>
      <c r="P22" s="8" t="s">
        <v>218</v>
      </c>
      <c r="Q22" s="8" t="s">
        <v>219</v>
      </c>
      <c r="R22" s="8" t="s">
        <v>219</v>
      </c>
      <c r="S22" s="8">
        <v>0</v>
      </c>
      <c r="T22" s="8">
        <v>0</v>
      </c>
      <c r="U22" s="8">
        <v>0</v>
      </c>
      <c r="V22" s="8">
        <v>0</v>
      </c>
      <c r="W22" s="8">
        <v>0</v>
      </c>
      <c r="X22" s="8">
        <v>0</v>
      </c>
      <c r="Y22" s="8">
        <v>0</v>
      </c>
      <c r="Z22" s="8">
        <v>0</v>
      </c>
      <c r="AA22" s="8">
        <v>0</v>
      </c>
      <c r="AB22" s="8">
        <v>0</v>
      </c>
      <c r="AC22" s="8">
        <v>0</v>
      </c>
      <c r="AD22" s="8">
        <v>0</v>
      </c>
      <c r="AE22" s="8">
        <v>0</v>
      </c>
      <c r="AF22" s="8">
        <v>0</v>
      </c>
      <c r="AG22" s="8">
        <v>0</v>
      </c>
      <c r="AH22" s="8">
        <v>0</v>
      </c>
      <c r="AI22" s="8">
        <v>0</v>
      </c>
      <c r="AJ22" s="8">
        <v>0</v>
      </c>
      <c r="AK22" s="8">
        <v>0</v>
      </c>
      <c r="AL22" s="8">
        <v>0</v>
      </c>
      <c r="AM22" s="8">
        <v>0</v>
      </c>
      <c r="AN22" s="8">
        <v>0</v>
      </c>
      <c r="AO22" s="8">
        <v>0</v>
      </c>
      <c r="AP22" s="8">
        <v>0</v>
      </c>
      <c r="AQ22" s="8">
        <v>0</v>
      </c>
      <c r="AR22" s="8">
        <v>0</v>
      </c>
      <c r="AS22" s="8">
        <v>0</v>
      </c>
      <c r="AT22" s="8">
        <v>0</v>
      </c>
      <c r="AU22" s="8">
        <v>0</v>
      </c>
      <c r="AV22" s="8">
        <v>0</v>
      </c>
      <c r="AW22" s="8">
        <v>0</v>
      </c>
      <c r="AX22" s="8">
        <v>0</v>
      </c>
      <c r="AY22" s="8">
        <v>0</v>
      </c>
      <c r="AZ22" s="8">
        <v>0</v>
      </c>
      <c r="BA22" s="8">
        <v>0</v>
      </c>
      <c r="BB22" s="8">
        <v>0</v>
      </c>
      <c r="BC22" s="8">
        <v>0</v>
      </c>
      <c r="BD22" s="8">
        <v>0</v>
      </c>
      <c r="BE22" s="8">
        <v>0</v>
      </c>
      <c r="BF22" s="8">
        <v>0</v>
      </c>
      <c r="BG22" s="8">
        <v>0</v>
      </c>
      <c r="BH22" s="8">
        <v>0</v>
      </c>
      <c r="BI22" s="8">
        <v>0</v>
      </c>
      <c r="BJ22" s="8">
        <v>0</v>
      </c>
      <c r="BK22" s="8">
        <v>0</v>
      </c>
      <c r="BL22" s="8">
        <v>0</v>
      </c>
      <c r="BM22" s="8">
        <v>0</v>
      </c>
      <c r="BN22" s="8">
        <v>0</v>
      </c>
      <c r="BO22" s="8">
        <v>0</v>
      </c>
      <c r="BP22" s="8">
        <v>0</v>
      </c>
      <c r="BQ22" s="8">
        <v>0</v>
      </c>
      <c r="BR22" s="8">
        <v>0</v>
      </c>
      <c r="BS22" s="8">
        <v>0</v>
      </c>
      <c r="BT22" s="8">
        <v>0</v>
      </c>
      <c r="BU22" s="8">
        <v>0</v>
      </c>
      <c r="BV22" s="8">
        <v>0</v>
      </c>
      <c r="BW22" s="8">
        <v>0</v>
      </c>
      <c r="BX22" s="8">
        <v>0</v>
      </c>
      <c r="BY22" s="8">
        <v>0</v>
      </c>
      <c r="BZ22" s="8">
        <v>0</v>
      </c>
      <c r="CA22" s="8">
        <v>0</v>
      </c>
      <c r="CB22" s="8">
        <v>0</v>
      </c>
      <c r="CC22" s="8">
        <v>0</v>
      </c>
      <c r="CD22" s="8">
        <v>0</v>
      </c>
      <c r="CE22" s="8">
        <v>0</v>
      </c>
      <c r="CF22" s="8">
        <v>0</v>
      </c>
      <c r="CG22" s="8">
        <v>0</v>
      </c>
      <c r="CH22" s="8">
        <v>0</v>
      </c>
      <c r="CI22" s="8">
        <v>0</v>
      </c>
      <c r="CJ22" s="8">
        <v>0</v>
      </c>
      <c r="CK22" s="8">
        <v>0</v>
      </c>
      <c r="CL22" s="8">
        <v>0</v>
      </c>
      <c r="CM22" s="8">
        <v>0</v>
      </c>
      <c r="CN22" s="8">
        <v>0</v>
      </c>
      <c r="CO22" s="8">
        <v>0</v>
      </c>
      <c r="CP22" s="8">
        <v>0</v>
      </c>
      <c r="CQ22" s="8">
        <v>0</v>
      </c>
      <c r="CR22" s="8">
        <v>0</v>
      </c>
      <c r="CS22" t="str">
        <f>IFERROR(INDEX('Initiative Summary'!$C$5:$C$25,MATCH($A22,'Initiative Summary'!$A$5:$A$25,0)),"")</f>
        <v>Westmark Region</v>
      </c>
    </row>
    <row r="23" spans="1:97" ht="21.75" customHeight="1" x14ac:dyDescent="0.25">
      <c r="A23" s="6" t="s">
        <v>32</v>
      </c>
      <c r="B23" s="10" t="s">
        <v>656</v>
      </c>
      <c r="C23" s="11" t="s">
        <v>194</v>
      </c>
      <c r="D23" s="11" t="s">
        <v>204</v>
      </c>
      <c r="E23" s="11" t="s">
        <v>196</v>
      </c>
      <c r="F23" s="11" t="s">
        <v>197</v>
      </c>
      <c r="G23" s="11"/>
      <c r="H23" s="11" t="s">
        <v>215</v>
      </c>
      <c r="I23" s="11" t="s">
        <v>216</v>
      </c>
      <c r="J23" s="11"/>
      <c r="K23" s="10"/>
      <c r="L23" s="11" t="s">
        <v>217</v>
      </c>
      <c r="M23" s="11" t="s">
        <v>199</v>
      </c>
      <c r="N23" s="20">
        <v>0</v>
      </c>
      <c r="O23" s="11" t="b">
        <v>0</v>
      </c>
      <c r="P23" s="11" t="s">
        <v>218</v>
      </c>
      <c r="Q23" s="11" t="s">
        <v>219</v>
      </c>
      <c r="R23" s="11" t="s">
        <v>219</v>
      </c>
      <c r="S23" s="11">
        <v>0</v>
      </c>
      <c r="T23" s="11">
        <v>0</v>
      </c>
      <c r="U23" s="11">
        <v>0</v>
      </c>
      <c r="V23" s="11">
        <v>0</v>
      </c>
      <c r="W23" s="11">
        <v>0</v>
      </c>
      <c r="X23" s="11">
        <v>0</v>
      </c>
      <c r="Y23" s="11">
        <v>0</v>
      </c>
      <c r="Z23" s="11">
        <v>0</v>
      </c>
      <c r="AA23" s="11">
        <v>0</v>
      </c>
      <c r="AB23" s="11">
        <v>0</v>
      </c>
      <c r="AC23" s="11">
        <v>0</v>
      </c>
      <c r="AD23" s="11">
        <v>0</v>
      </c>
      <c r="AE23" s="11">
        <v>0</v>
      </c>
      <c r="AF23" s="11">
        <v>0</v>
      </c>
      <c r="AG23" s="11">
        <v>0</v>
      </c>
      <c r="AH23" s="11">
        <v>0</v>
      </c>
      <c r="AI23" s="11">
        <v>0</v>
      </c>
      <c r="AJ23" s="11">
        <v>0</v>
      </c>
      <c r="AK23" s="11">
        <v>0</v>
      </c>
      <c r="AL23" s="11">
        <v>0</v>
      </c>
      <c r="AM23" s="11">
        <v>0</v>
      </c>
      <c r="AN23" s="11">
        <v>0</v>
      </c>
      <c r="AO23" s="11">
        <v>0</v>
      </c>
      <c r="AP23" s="11">
        <v>0</v>
      </c>
      <c r="AQ23" s="11">
        <v>0</v>
      </c>
      <c r="AR23" s="11">
        <v>0</v>
      </c>
      <c r="AS23" s="11">
        <v>0</v>
      </c>
      <c r="AT23" s="11">
        <v>0</v>
      </c>
      <c r="AU23" s="11">
        <v>0</v>
      </c>
      <c r="AV23" s="11">
        <v>0</v>
      </c>
      <c r="AW23" s="11">
        <v>0</v>
      </c>
      <c r="AX23" s="11">
        <v>0</v>
      </c>
      <c r="AY23" s="11">
        <v>0</v>
      </c>
      <c r="AZ23" s="11">
        <v>0</v>
      </c>
      <c r="BA23" s="11">
        <v>0</v>
      </c>
      <c r="BB23" s="11">
        <v>0</v>
      </c>
      <c r="BC23" s="11">
        <v>0</v>
      </c>
      <c r="BD23" s="11">
        <v>0</v>
      </c>
      <c r="BE23" s="11">
        <v>0</v>
      </c>
      <c r="BF23" s="11">
        <v>0</v>
      </c>
      <c r="BG23" s="11">
        <v>0</v>
      </c>
      <c r="BH23" s="11">
        <v>0</v>
      </c>
      <c r="BI23" s="11">
        <v>0</v>
      </c>
      <c r="BJ23" s="11">
        <v>0</v>
      </c>
      <c r="BK23" s="11">
        <v>0</v>
      </c>
      <c r="BL23" s="11">
        <v>0</v>
      </c>
      <c r="BM23" s="11">
        <v>0</v>
      </c>
      <c r="BN23" s="11">
        <v>0</v>
      </c>
      <c r="BO23" s="11">
        <v>0</v>
      </c>
      <c r="BP23" s="11">
        <v>0</v>
      </c>
      <c r="BQ23" s="11">
        <v>0</v>
      </c>
      <c r="BR23" s="11">
        <v>0</v>
      </c>
      <c r="BS23" s="11">
        <v>0</v>
      </c>
      <c r="BT23" s="11">
        <v>0</v>
      </c>
      <c r="BU23" s="11">
        <v>0</v>
      </c>
      <c r="BV23" s="11">
        <v>0</v>
      </c>
      <c r="BW23" s="11">
        <v>0</v>
      </c>
      <c r="BX23" s="11">
        <v>0</v>
      </c>
      <c r="BY23" s="11">
        <v>0</v>
      </c>
      <c r="BZ23" s="11">
        <v>0</v>
      </c>
      <c r="CA23" s="11">
        <v>0</v>
      </c>
      <c r="CB23" s="11">
        <v>0</v>
      </c>
      <c r="CC23" s="11">
        <v>0</v>
      </c>
      <c r="CD23" s="11">
        <v>0</v>
      </c>
      <c r="CE23" s="11">
        <v>0</v>
      </c>
      <c r="CF23" s="11">
        <v>0</v>
      </c>
      <c r="CG23" s="11">
        <v>0</v>
      </c>
      <c r="CH23" s="11">
        <v>0</v>
      </c>
      <c r="CI23" s="11">
        <v>0</v>
      </c>
      <c r="CJ23" s="11">
        <v>0</v>
      </c>
      <c r="CK23" s="11">
        <v>0</v>
      </c>
      <c r="CL23" s="11">
        <v>0</v>
      </c>
      <c r="CM23" s="11">
        <v>0</v>
      </c>
      <c r="CN23" s="11">
        <v>0</v>
      </c>
      <c r="CO23" s="11">
        <v>0</v>
      </c>
      <c r="CP23" s="11">
        <v>0</v>
      </c>
      <c r="CQ23" s="11">
        <v>0</v>
      </c>
      <c r="CR23" s="11">
        <v>0</v>
      </c>
      <c r="CS23" t="str">
        <f>IFERROR(INDEX('Initiative Summary'!$C$5:$C$25,MATCH($A23,'Initiative Summary'!$A$5:$A$25,0)),"")</f>
        <v>Westmark Region</v>
      </c>
    </row>
    <row r="24" spans="1:97" ht="21.75" customHeight="1" x14ac:dyDescent="0.25">
      <c r="A24" s="6" t="s">
        <v>32</v>
      </c>
      <c r="B24" s="7" t="s">
        <v>656</v>
      </c>
      <c r="C24" s="8" t="s">
        <v>205</v>
      </c>
      <c r="D24" s="8" t="s">
        <v>195</v>
      </c>
      <c r="E24" s="8" t="s">
        <v>206</v>
      </c>
      <c r="F24" s="8" t="s">
        <v>207</v>
      </c>
      <c r="G24" s="8"/>
      <c r="H24" s="8"/>
      <c r="I24" s="8"/>
      <c r="J24" s="8"/>
      <c r="K24" s="7"/>
      <c r="L24" s="8" t="s">
        <v>220</v>
      </c>
      <c r="M24" s="8" t="s">
        <v>199</v>
      </c>
      <c r="N24" s="21">
        <v>3</v>
      </c>
      <c r="O24" s="8" t="b">
        <v>0</v>
      </c>
      <c r="P24" s="8" t="s">
        <v>201</v>
      </c>
      <c r="Q24" s="8" t="s">
        <v>219</v>
      </c>
      <c r="R24" s="8" t="s">
        <v>219</v>
      </c>
      <c r="S24" s="8"/>
      <c r="T24" s="21">
        <v>12.54</v>
      </c>
      <c r="U24" s="21">
        <v>20.2</v>
      </c>
      <c r="V24" s="21">
        <v>20.2</v>
      </c>
      <c r="W24" s="21">
        <v>20.2</v>
      </c>
      <c r="X24" s="8">
        <v>0</v>
      </c>
      <c r="Y24" s="8">
        <v>0</v>
      </c>
      <c r="Z24" s="8">
        <v>0</v>
      </c>
      <c r="AA24" s="8">
        <v>0</v>
      </c>
      <c r="AB24" s="8">
        <v>0</v>
      </c>
      <c r="AC24" s="8">
        <v>0</v>
      </c>
      <c r="AD24" s="8">
        <v>0</v>
      </c>
      <c r="AE24" s="8">
        <v>0</v>
      </c>
      <c r="AF24" s="8">
        <v>0</v>
      </c>
      <c r="AG24" s="8">
        <v>0</v>
      </c>
      <c r="AH24" s="8">
        <v>0</v>
      </c>
      <c r="AI24" s="8">
        <v>0</v>
      </c>
      <c r="AJ24" s="21">
        <v>12.54</v>
      </c>
      <c r="AK24" s="21">
        <v>12.54</v>
      </c>
      <c r="AL24" s="21">
        <v>12.54</v>
      </c>
      <c r="AM24" s="21">
        <v>12.54</v>
      </c>
      <c r="AN24" s="21">
        <v>12.54</v>
      </c>
      <c r="AO24" s="21">
        <v>12.54</v>
      </c>
      <c r="AP24" s="21">
        <v>12.54</v>
      </c>
      <c r="AQ24" s="21">
        <v>12.54</v>
      </c>
      <c r="AR24" s="21">
        <v>12.54</v>
      </c>
      <c r="AS24" s="21">
        <v>12.54</v>
      </c>
      <c r="AT24" s="21">
        <v>12.54</v>
      </c>
      <c r="AU24" s="21">
        <v>12.54</v>
      </c>
      <c r="AV24" s="21">
        <v>20.2</v>
      </c>
      <c r="AW24" s="21">
        <v>20.2</v>
      </c>
      <c r="AX24" s="21">
        <v>20.2</v>
      </c>
      <c r="AY24" s="21">
        <v>20.2</v>
      </c>
      <c r="AZ24" s="21">
        <v>20.2</v>
      </c>
      <c r="BA24" s="21">
        <v>20.2</v>
      </c>
      <c r="BB24" s="21">
        <v>20.2</v>
      </c>
      <c r="BC24" s="21">
        <v>20.2</v>
      </c>
      <c r="BD24" s="21">
        <v>20.2</v>
      </c>
      <c r="BE24" s="21">
        <v>20.2</v>
      </c>
      <c r="BF24" s="21">
        <v>20.2</v>
      </c>
      <c r="BG24" s="21">
        <v>20.2</v>
      </c>
      <c r="BH24" s="21">
        <v>20.2</v>
      </c>
      <c r="BI24" s="21">
        <v>20.2</v>
      </c>
      <c r="BJ24" s="21">
        <v>20.2</v>
      </c>
      <c r="BK24" s="21">
        <v>20.2</v>
      </c>
      <c r="BL24" s="21">
        <v>20.2</v>
      </c>
      <c r="BM24" s="21">
        <v>20.2</v>
      </c>
      <c r="BN24" s="21">
        <v>20.2</v>
      </c>
      <c r="BO24" s="21">
        <v>20.2</v>
      </c>
      <c r="BP24" s="21">
        <v>20.2</v>
      </c>
      <c r="BQ24" s="21">
        <v>20.2</v>
      </c>
      <c r="BR24" s="21">
        <v>20.2</v>
      </c>
      <c r="BS24" s="21">
        <v>20.2</v>
      </c>
      <c r="BT24" s="21">
        <v>20.2</v>
      </c>
      <c r="BU24" s="21">
        <v>20.2</v>
      </c>
      <c r="BV24" s="21">
        <v>20.2</v>
      </c>
      <c r="BW24" s="21">
        <v>20.2</v>
      </c>
      <c r="BX24" s="21">
        <v>20.2</v>
      </c>
      <c r="BY24" s="21">
        <v>20.2</v>
      </c>
      <c r="BZ24" s="21">
        <v>20.2</v>
      </c>
      <c r="CA24" s="21">
        <v>20.2</v>
      </c>
      <c r="CB24" s="21">
        <v>20.2</v>
      </c>
      <c r="CC24" s="21">
        <v>20.2</v>
      </c>
      <c r="CD24" s="21">
        <v>20.2</v>
      </c>
      <c r="CE24" s="21">
        <v>20.2</v>
      </c>
      <c r="CF24" s="8">
        <v>20.2</v>
      </c>
      <c r="CG24" s="8">
        <v>20.2</v>
      </c>
      <c r="CH24" s="8">
        <v>20.2</v>
      </c>
      <c r="CI24" s="8">
        <v>20.2</v>
      </c>
      <c r="CJ24" s="8">
        <v>20.2</v>
      </c>
      <c r="CK24" s="8">
        <v>20.2</v>
      </c>
      <c r="CL24" s="8">
        <v>20.2</v>
      </c>
      <c r="CM24" s="8">
        <v>20.2</v>
      </c>
      <c r="CN24" s="8">
        <v>20.2</v>
      </c>
      <c r="CO24" s="8">
        <v>20.2</v>
      </c>
      <c r="CP24" s="8">
        <v>20.2</v>
      </c>
      <c r="CQ24" s="8">
        <v>20.2</v>
      </c>
      <c r="CR24" s="8">
        <v>20.2</v>
      </c>
      <c r="CS24" t="str">
        <f>IFERROR(INDEX('Initiative Summary'!$C$5:$C$25,MATCH($A24,'Initiative Summary'!$A$5:$A$25,0)),"")</f>
        <v>Westmark Region</v>
      </c>
    </row>
    <row r="25" spans="1:97" ht="21.75" customHeight="1" x14ac:dyDescent="0.25">
      <c r="A25" s="6" t="s">
        <v>32</v>
      </c>
      <c r="B25" s="10" t="s">
        <v>656</v>
      </c>
      <c r="C25" s="11" t="s">
        <v>205</v>
      </c>
      <c r="D25" s="11" t="s">
        <v>203</v>
      </c>
      <c r="E25" s="11" t="s">
        <v>206</v>
      </c>
      <c r="F25" s="11" t="s">
        <v>207</v>
      </c>
      <c r="G25" s="11"/>
      <c r="H25" s="11"/>
      <c r="I25" s="11"/>
      <c r="J25" s="11"/>
      <c r="K25" s="10"/>
      <c r="L25" s="11" t="s">
        <v>220</v>
      </c>
      <c r="M25" s="11" t="s">
        <v>199</v>
      </c>
      <c r="N25" s="20">
        <v>3</v>
      </c>
      <c r="O25" s="11" t="b">
        <v>0</v>
      </c>
      <c r="P25" s="11" t="s">
        <v>201</v>
      </c>
      <c r="Q25" s="11" t="s">
        <v>219</v>
      </c>
      <c r="R25" s="11" t="s">
        <v>219</v>
      </c>
      <c r="S25" s="11"/>
      <c r="T25" s="20">
        <v>16.82</v>
      </c>
      <c r="U25" s="20">
        <v>26.92</v>
      </c>
      <c r="V25" s="20">
        <v>26.92</v>
      </c>
      <c r="W25" s="20">
        <v>26.92</v>
      </c>
      <c r="X25" s="11">
        <v>0</v>
      </c>
      <c r="Y25" s="11">
        <v>0</v>
      </c>
      <c r="Z25" s="11">
        <v>0</v>
      </c>
      <c r="AA25" s="11">
        <v>0</v>
      </c>
      <c r="AB25" s="11">
        <v>0</v>
      </c>
      <c r="AC25" s="11">
        <v>0</v>
      </c>
      <c r="AD25" s="11">
        <v>0</v>
      </c>
      <c r="AE25" s="11">
        <v>0</v>
      </c>
      <c r="AF25" s="11">
        <v>0</v>
      </c>
      <c r="AG25" s="11">
        <v>0</v>
      </c>
      <c r="AH25" s="11">
        <v>0</v>
      </c>
      <c r="AI25" s="11">
        <v>0</v>
      </c>
      <c r="AJ25" s="20">
        <v>16.82</v>
      </c>
      <c r="AK25" s="20">
        <v>16.82</v>
      </c>
      <c r="AL25" s="20">
        <v>16.82</v>
      </c>
      <c r="AM25" s="20">
        <v>16.82</v>
      </c>
      <c r="AN25" s="20">
        <v>16.82</v>
      </c>
      <c r="AO25" s="20">
        <v>16.82</v>
      </c>
      <c r="AP25" s="20">
        <v>16.82</v>
      </c>
      <c r="AQ25" s="20">
        <v>16.82</v>
      </c>
      <c r="AR25" s="20">
        <v>16.82</v>
      </c>
      <c r="AS25" s="20">
        <v>16.82</v>
      </c>
      <c r="AT25" s="20">
        <v>16.82</v>
      </c>
      <c r="AU25" s="20">
        <v>16.82</v>
      </c>
      <c r="AV25" s="20">
        <v>26.92</v>
      </c>
      <c r="AW25" s="20">
        <v>26.92</v>
      </c>
      <c r="AX25" s="20">
        <v>26.92</v>
      </c>
      <c r="AY25" s="20">
        <v>26.92</v>
      </c>
      <c r="AZ25" s="20">
        <v>26.92</v>
      </c>
      <c r="BA25" s="20">
        <v>26.92</v>
      </c>
      <c r="BB25" s="20">
        <v>26.92</v>
      </c>
      <c r="BC25" s="20">
        <v>26.92</v>
      </c>
      <c r="BD25" s="20">
        <v>26.92</v>
      </c>
      <c r="BE25" s="20">
        <v>26.92</v>
      </c>
      <c r="BF25" s="20">
        <v>26.92</v>
      </c>
      <c r="BG25" s="20">
        <v>26.92</v>
      </c>
      <c r="BH25" s="20">
        <v>26.92</v>
      </c>
      <c r="BI25" s="20">
        <v>26.92</v>
      </c>
      <c r="BJ25" s="20">
        <v>26.92</v>
      </c>
      <c r="BK25" s="20">
        <v>26.92</v>
      </c>
      <c r="BL25" s="20">
        <v>26.92</v>
      </c>
      <c r="BM25" s="20">
        <v>26.92</v>
      </c>
      <c r="BN25" s="20">
        <v>26.92</v>
      </c>
      <c r="BO25" s="20">
        <v>26.92</v>
      </c>
      <c r="BP25" s="20">
        <v>26.92</v>
      </c>
      <c r="BQ25" s="20">
        <v>26.92</v>
      </c>
      <c r="BR25" s="20">
        <v>26.92</v>
      </c>
      <c r="BS25" s="20">
        <v>26.92</v>
      </c>
      <c r="BT25" s="20">
        <v>26.92</v>
      </c>
      <c r="BU25" s="20">
        <v>26.92</v>
      </c>
      <c r="BV25" s="20">
        <v>26.92</v>
      </c>
      <c r="BW25" s="20">
        <v>26.92</v>
      </c>
      <c r="BX25" s="20">
        <v>26.92</v>
      </c>
      <c r="BY25" s="20">
        <v>26.92</v>
      </c>
      <c r="BZ25" s="20">
        <v>26.92</v>
      </c>
      <c r="CA25" s="20">
        <v>26.92</v>
      </c>
      <c r="CB25" s="20">
        <v>26.92</v>
      </c>
      <c r="CC25" s="20">
        <v>26.92</v>
      </c>
      <c r="CD25" s="20">
        <v>26.92</v>
      </c>
      <c r="CE25" s="20">
        <v>26.92</v>
      </c>
      <c r="CF25" s="11">
        <v>26.92</v>
      </c>
      <c r="CG25" s="11">
        <v>26.92</v>
      </c>
      <c r="CH25" s="11">
        <v>26.92</v>
      </c>
      <c r="CI25" s="11">
        <v>26.92</v>
      </c>
      <c r="CJ25" s="11">
        <v>26.92</v>
      </c>
      <c r="CK25" s="11">
        <v>26.92</v>
      </c>
      <c r="CL25" s="11">
        <v>26.92</v>
      </c>
      <c r="CM25" s="11">
        <v>26.92</v>
      </c>
      <c r="CN25" s="11">
        <v>26.92</v>
      </c>
      <c r="CO25" s="11">
        <v>26.92</v>
      </c>
      <c r="CP25" s="11">
        <v>26.92</v>
      </c>
      <c r="CQ25" s="11">
        <v>26.92</v>
      </c>
      <c r="CR25" s="11">
        <v>26.92</v>
      </c>
      <c r="CS25" t="str">
        <f>IFERROR(INDEX('Initiative Summary'!$C$5:$C$25,MATCH($A25,'Initiative Summary'!$A$5:$A$25,0)),"")</f>
        <v>Westmark Region</v>
      </c>
    </row>
    <row r="26" spans="1:97" ht="21.75" customHeight="1" x14ac:dyDescent="0.25">
      <c r="A26" s="6" t="s">
        <v>32</v>
      </c>
      <c r="B26" s="7" t="s">
        <v>656</v>
      </c>
      <c r="C26" s="8" t="s">
        <v>205</v>
      </c>
      <c r="D26" s="8" t="s">
        <v>204</v>
      </c>
      <c r="E26" s="8" t="s">
        <v>206</v>
      </c>
      <c r="F26" s="8" t="s">
        <v>207</v>
      </c>
      <c r="G26" s="8"/>
      <c r="H26" s="8"/>
      <c r="I26" s="8"/>
      <c r="J26" s="8"/>
      <c r="K26" s="7"/>
      <c r="L26" s="8" t="s">
        <v>220</v>
      </c>
      <c r="M26" s="8" t="s">
        <v>199</v>
      </c>
      <c r="N26" s="21">
        <v>3</v>
      </c>
      <c r="O26" s="8" t="b">
        <v>0</v>
      </c>
      <c r="P26" s="8" t="s">
        <v>201</v>
      </c>
      <c r="Q26" s="8" t="s">
        <v>219</v>
      </c>
      <c r="R26" s="8" t="s">
        <v>219</v>
      </c>
      <c r="S26" s="8"/>
      <c r="T26" s="8"/>
      <c r="U26" s="8"/>
      <c r="V26" s="8"/>
      <c r="W26" s="8"/>
      <c r="X26" s="8">
        <v>0</v>
      </c>
      <c r="Y26" s="8">
        <v>0</v>
      </c>
      <c r="Z26" s="8">
        <v>0</v>
      </c>
      <c r="AA26" s="8">
        <v>0</v>
      </c>
      <c r="AB26" s="8">
        <v>0</v>
      </c>
      <c r="AC26" s="8">
        <v>0</v>
      </c>
      <c r="AD26" s="8">
        <v>0</v>
      </c>
      <c r="AE26" s="8">
        <v>0</v>
      </c>
      <c r="AF26" s="8">
        <v>0</v>
      </c>
      <c r="AG26" s="8">
        <v>0</v>
      </c>
      <c r="AH26" s="8">
        <v>0</v>
      </c>
      <c r="AI26" s="8">
        <v>0</v>
      </c>
      <c r="AJ26" s="8">
        <v>0</v>
      </c>
      <c r="AK26" s="8">
        <v>0</v>
      </c>
      <c r="AL26" s="8">
        <v>0</v>
      </c>
      <c r="AM26" s="8">
        <v>0</v>
      </c>
      <c r="AN26" s="8">
        <v>0</v>
      </c>
      <c r="AO26" s="8">
        <v>0</v>
      </c>
      <c r="AP26" s="8">
        <v>0</v>
      </c>
      <c r="AQ26" s="8">
        <v>0</v>
      </c>
      <c r="AR26" s="8">
        <v>0</v>
      </c>
      <c r="AS26" s="8">
        <v>0</v>
      </c>
      <c r="AT26" s="8">
        <v>0</v>
      </c>
      <c r="AU26" s="8">
        <v>0</v>
      </c>
      <c r="AV26" s="8">
        <v>0</v>
      </c>
      <c r="AW26" s="8">
        <v>0</v>
      </c>
      <c r="AX26" s="8">
        <v>0</v>
      </c>
      <c r="AY26" s="8">
        <v>0</v>
      </c>
      <c r="AZ26" s="8">
        <v>0</v>
      </c>
      <c r="BA26" s="8">
        <v>0</v>
      </c>
      <c r="BB26" s="8">
        <v>0</v>
      </c>
      <c r="BC26" s="8">
        <v>0</v>
      </c>
      <c r="BD26" s="8">
        <v>0</v>
      </c>
      <c r="BE26" s="8">
        <v>0</v>
      </c>
      <c r="BF26" s="8">
        <v>0</v>
      </c>
      <c r="BG26" s="8">
        <v>0</v>
      </c>
      <c r="BH26" s="8">
        <v>0</v>
      </c>
      <c r="BI26" s="8">
        <v>0</v>
      </c>
      <c r="BJ26" s="8">
        <v>0</v>
      </c>
      <c r="BK26" s="8">
        <v>0</v>
      </c>
      <c r="BL26" s="8">
        <v>0</v>
      </c>
      <c r="BM26" s="8">
        <v>0</v>
      </c>
      <c r="BN26" s="8">
        <v>0</v>
      </c>
      <c r="BO26" s="8">
        <v>0</v>
      </c>
      <c r="BP26" s="8">
        <v>0</v>
      </c>
      <c r="BQ26" s="8">
        <v>0</v>
      </c>
      <c r="BR26" s="8">
        <v>0</v>
      </c>
      <c r="BS26" s="8">
        <v>0</v>
      </c>
      <c r="BT26" s="8">
        <v>0</v>
      </c>
      <c r="BU26" s="8">
        <v>0</v>
      </c>
      <c r="BV26" s="8">
        <v>0</v>
      </c>
      <c r="BW26" s="8">
        <v>0</v>
      </c>
      <c r="BX26" s="8">
        <v>0</v>
      </c>
      <c r="BY26" s="8">
        <v>0</v>
      </c>
      <c r="BZ26" s="8">
        <v>0</v>
      </c>
      <c r="CA26" s="8">
        <v>0</v>
      </c>
      <c r="CB26" s="8">
        <v>0</v>
      </c>
      <c r="CC26" s="8">
        <v>0</v>
      </c>
      <c r="CD26" s="8">
        <v>0</v>
      </c>
      <c r="CE26" s="8">
        <v>0</v>
      </c>
      <c r="CF26" s="8">
        <v>0</v>
      </c>
      <c r="CG26" s="8">
        <v>0</v>
      </c>
      <c r="CH26" s="8">
        <v>0</v>
      </c>
      <c r="CI26" s="8">
        <v>0</v>
      </c>
      <c r="CJ26" s="8">
        <v>0</v>
      </c>
      <c r="CK26" s="8">
        <v>0</v>
      </c>
      <c r="CL26" s="8">
        <v>0</v>
      </c>
      <c r="CM26" s="8">
        <v>0</v>
      </c>
      <c r="CN26" s="8">
        <v>0</v>
      </c>
      <c r="CO26" s="8">
        <v>0</v>
      </c>
      <c r="CP26" s="8">
        <v>0</v>
      </c>
      <c r="CQ26" s="8">
        <v>0</v>
      </c>
      <c r="CR26" s="8">
        <v>0</v>
      </c>
      <c r="CS26" t="str">
        <f>IFERROR(INDEX('Initiative Summary'!$C$5:$C$25,MATCH($A26,'Initiative Summary'!$A$5:$A$25,0)),"")</f>
        <v>Westmark Region</v>
      </c>
    </row>
    <row r="27" spans="1:97" ht="21.75" customHeight="1" x14ac:dyDescent="0.25">
      <c r="A27" s="6" t="s">
        <v>32</v>
      </c>
      <c r="B27" s="10" t="s">
        <v>656</v>
      </c>
      <c r="C27" s="11" t="s">
        <v>206</v>
      </c>
      <c r="D27" s="11" t="s">
        <v>195</v>
      </c>
      <c r="E27" s="11" t="s">
        <v>206</v>
      </c>
      <c r="F27" s="11" t="s">
        <v>197</v>
      </c>
      <c r="G27" s="11"/>
      <c r="H27" s="11"/>
      <c r="I27" s="11"/>
      <c r="J27" s="11"/>
      <c r="K27" s="10"/>
      <c r="L27" s="11" t="s">
        <v>221</v>
      </c>
      <c r="M27" s="11" t="s">
        <v>199</v>
      </c>
      <c r="N27" s="20">
        <v>100</v>
      </c>
      <c r="O27" s="11" t="b">
        <v>0</v>
      </c>
      <c r="P27" s="11" t="s">
        <v>201</v>
      </c>
      <c r="Q27" s="11" t="s">
        <v>210</v>
      </c>
      <c r="R27" s="11" t="s">
        <v>210</v>
      </c>
      <c r="S27" s="11">
        <v>1.24</v>
      </c>
      <c r="T27" s="20">
        <v>1.86</v>
      </c>
      <c r="U27" s="20">
        <v>1.86</v>
      </c>
      <c r="V27" s="20">
        <v>1.86</v>
      </c>
      <c r="W27" s="20">
        <v>1.86</v>
      </c>
      <c r="X27" s="11">
        <v>0</v>
      </c>
      <c r="Y27" s="11">
        <v>0</v>
      </c>
      <c r="Z27" s="11">
        <v>0</v>
      </c>
      <c r="AA27" s="11">
        <v>0</v>
      </c>
      <c r="AB27" s="11">
        <v>0</v>
      </c>
      <c r="AC27" s="11">
        <v>0</v>
      </c>
      <c r="AD27" s="11">
        <v>0</v>
      </c>
      <c r="AE27" s="11">
        <v>0</v>
      </c>
      <c r="AF27" s="11">
        <v>0</v>
      </c>
      <c r="AG27" s="11">
        <v>0</v>
      </c>
      <c r="AH27" s="11">
        <v>0.62</v>
      </c>
      <c r="AI27" s="11">
        <v>0.62</v>
      </c>
      <c r="AJ27" s="20">
        <v>0.155</v>
      </c>
      <c r="AK27" s="20">
        <v>0.155</v>
      </c>
      <c r="AL27" s="20">
        <v>0.155</v>
      </c>
      <c r="AM27" s="20">
        <v>0.155</v>
      </c>
      <c r="AN27" s="20">
        <v>0.155</v>
      </c>
      <c r="AO27" s="20">
        <v>0.155</v>
      </c>
      <c r="AP27" s="20">
        <v>0.155</v>
      </c>
      <c r="AQ27" s="20">
        <v>0.155</v>
      </c>
      <c r="AR27" s="20">
        <v>0.155</v>
      </c>
      <c r="AS27" s="20">
        <v>0.155</v>
      </c>
      <c r="AT27" s="20">
        <v>0.155</v>
      </c>
      <c r="AU27" s="20">
        <v>0.155</v>
      </c>
      <c r="AV27" s="20">
        <v>0.155</v>
      </c>
      <c r="AW27" s="20">
        <v>0.155</v>
      </c>
      <c r="AX27" s="20">
        <v>0.155</v>
      </c>
      <c r="AY27" s="20">
        <v>0.155</v>
      </c>
      <c r="AZ27" s="20">
        <v>0.155</v>
      </c>
      <c r="BA27" s="20">
        <v>0.155</v>
      </c>
      <c r="BB27" s="20">
        <v>0.155</v>
      </c>
      <c r="BC27" s="20">
        <v>0.155</v>
      </c>
      <c r="BD27" s="20">
        <v>0.155</v>
      </c>
      <c r="BE27" s="20">
        <v>0.155</v>
      </c>
      <c r="BF27" s="20">
        <v>0.155</v>
      </c>
      <c r="BG27" s="20">
        <v>0.155</v>
      </c>
      <c r="BH27" s="20">
        <v>0.155</v>
      </c>
      <c r="BI27" s="20">
        <v>0.155</v>
      </c>
      <c r="BJ27" s="20">
        <v>0.155</v>
      </c>
      <c r="BK27" s="20">
        <v>0.155</v>
      </c>
      <c r="BL27" s="20">
        <v>0.155</v>
      </c>
      <c r="BM27" s="20">
        <v>0.155</v>
      </c>
      <c r="BN27" s="20">
        <v>0.155</v>
      </c>
      <c r="BO27" s="20">
        <v>0.155</v>
      </c>
      <c r="BP27" s="20">
        <v>0.155</v>
      </c>
      <c r="BQ27" s="20">
        <v>0.155</v>
      </c>
      <c r="BR27" s="20">
        <v>0.155</v>
      </c>
      <c r="BS27" s="20">
        <v>0.155</v>
      </c>
      <c r="BT27" s="20">
        <v>0.155</v>
      </c>
      <c r="BU27" s="20">
        <v>0.155</v>
      </c>
      <c r="BV27" s="20">
        <v>0.155</v>
      </c>
      <c r="BW27" s="20">
        <v>0.155</v>
      </c>
      <c r="BX27" s="20">
        <v>0.155</v>
      </c>
      <c r="BY27" s="20">
        <v>0.155</v>
      </c>
      <c r="BZ27" s="20">
        <v>0.155</v>
      </c>
      <c r="CA27" s="20">
        <v>0.155</v>
      </c>
      <c r="CB27" s="20">
        <v>0.155</v>
      </c>
      <c r="CC27" s="20">
        <v>0.155</v>
      </c>
      <c r="CD27" s="20">
        <v>0.155</v>
      </c>
      <c r="CE27" s="20">
        <v>0.155</v>
      </c>
      <c r="CF27" s="11">
        <v>1.86</v>
      </c>
      <c r="CG27" s="11">
        <v>0.155</v>
      </c>
      <c r="CH27" s="11">
        <v>0.155</v>
      </c>
      <c r="CI27" s="11">
        <v>0.155</v>
      </c>
      <c r="CJ27" s="11">
        <v>0.155</v>
      </c>
      <c r="CK27" s="11">
        <v>0.155</v>
      </c>
      <c r="CL27" s="11">
        <v>0.155</v>
      </c>
      <c r="CM27" s="11">
        <v>0.155</v>
      </c>
      <c r="CN27" s="11">
        <v>0.155</v>
      </c>
      <c r="CO27" s="11">
        <v>0.155</v>
      </c>
      <c r="CP27" s="11">
        <v>0.155</v>
      </c>
      <c r="CQ27" s="11">
        <v>0.155</v>
      </c>
      <c r="CR27" s="11">
        <v>0.155</v>
      </c>
      <c r="CS27" t="str">
        <f>IFERROR(INDEX('Initiative Summary'!$C$5:$C$25,MATCH($A27,'Initiative Summary'!$A$5:$A$25,0)),"")</f>
        <v>Westmark Region</v>
      </c>
    </row>
    <row r="28" spans="1:97" ht="21.75" customHeight="1" x14ac:dyDescent="0.25">
      <c r="A28" s="6" t="s">
        <v>32</v>
      </c>
      <c r="B28" s="7" t="s">
        <v>656</v>
      </c>
      <c r="C28" s="8" t="s">
        <v>206</v>
      </c>
      <c r="D28" s="8" t="s">
        <v>203</v>
      </c>
      <c r="E28" s="8" t="s">
        <v>206</v>
      </c>
      <c r="F28" s="8" t="s">
        <v>197</v>
      </c>
      <c r="G28" s="8"/>
      <c r="H28" s="8"/>
      <c r="I28" s="8"/>
      <c r="J28" s="8"/>
      <c r="K28" s="7"/>
      <c r="L28" s="8" t="s">
        <v>221</v>
      </c>
      <c r="M28" s="8" t="s">
        <v>199</v>
      </c>
      <c r="N28" s="21">
        <v>100</v>
      </c>
      <c r="O28" s="8" t="b">
        <v>0</v>
      </c>
      <c r="P28" s="8" t="s">
        <v>201</v>
      </c>
      <c r="Q28" s="8" t="s">
        <v>210</v>
      </c>
      <c r="R28" s="8" t="s">
        <v>210</v>
      </c>
      <c r="S28" s="8">
        <v>1.66</v>
      </c>
      <c r="T28" s="21">
        <v>2.48</v>
      </c>
      <c r="U28" s="21">
        <v>2.48</v>
      </c>
      <c r="V28" s="21">
        <v>2.48</v>
      </c>
      <c r="W28" s="21">
        <v>2.48</v>
      </c>
      <c r="X28" s="8">
        <v>0</v>
      </c>
      <c r="Y28" s="8">
        <v>0</v>
      </c>
      <c r="Z28" s="8">
        <v>0</v>
      </c>
      <c r="AA28" s="8">
        <v>0</v>
      </c>
      <c r="AB28" s="8">
        <v>0</v>
      </c>
      <c r="AC28" s="8">
        <v>0</v>
      </c>
      <c r="AD28" s="8">
        <v>0</v>
      </c>
      <c r="AE28" s="8">
        <v>0</v>
      </c>
      <c r="AF28" s="8">
        <v>0</v>
      </c>
      <c r="AG28" s="8">
        <v>0</v>
      </c>
      <c r="AH28" s="8">
        <v>0.83</v>
      </c>
      <c r="AI28" s="8">
        <v>0.83</v>
      </c>
      <c r="AJ28" s="21">
        <v>0.20666666666666667</v>
      </c>
      <c r="AK28" s="21">
        <v>0.20666666666666667</v>
      </c>
      <c r="AL28" s="21">
        <v>0.20666666666666667</v>
      </c>
      <c r="AM28" s="21">
        <v>0.20666666666666667</v>
      </c>
      <c r="AN28" s="21">
        <v>0.20666666666666667</v>
      </c>
      <c r="AO28" s="21">
        <v>0.20666666666666667</v>
      </c>
      <c r="AP28" s="21">
        <v>0.20666666666666667</v>
      </c>
      <c r="AQ28" s="21">
        <v>0.20666666666666667</v>
      </c>
      <c r="AR28" s="21">
        <v>0.20666666666666667</v>
      </c>
      <c r="AS28" s="21">
        <v>0.20666666666666667</v>
      </c>
      <c r="AT28" s="21">
        <v>0.20666666666666667</v>
      </c>
      <c r="AU28" s="21">
        <v>0.20666666666666667</v>
      </c>
      <c r="AV28" s="21">
        <v>0.20666666666666667</v>
      </c>
      <c r="AW28" s="21">
        <v>0.20666666666666667</v>
      </c>
      <c r="AX28" s="21">
        <v>0.20666666666666667</v>
      </c>
      <c r="AY28" s="21">
        <v>0.20666666666666667</v>
      </c>
      <c r="AZ28" s="21">
        <v>0.20666666666666667</v>
      </c>
      <c r="BA28" s="21">
        <v>0.20666666666666667</v>
      </c>
      <c r="BB28" s="21">
        <v>0.20666666666666667</v>
      </c>
      <c r="BC28" s="21">
        <v>0.20666666666666667</v>
      </c>
      <c r="BD28" s="21">
        <v>0.20666666666666667</v>
      </c>
      <c r="BE28" s="21">
        <v>0.20666666666666667</v>
      </c>
      <c r="BF28" s="21">
        <v>0.20666666666666667</v>
      </c>
      <c r="BG28" s="21">
        <v>0.20666666666666667</v>
      </c>
      <c r="BH28" s="21">
        <v>0.20666666666666667</v>
      </c>
      <c r="BI28" s="21">
        <v>0.20666666666666667</v>
      </c>
      <c r="BJ28" s="21">
        <v>0.20666666666666667</v>
      </c>
      <c r="BK28" s="21">
        <v>0.20666666666666667</v>
      </c>
      <c r="BL28" s="21">
        <v>0.20666666666666667</v>
      </c>
      <c r="BM28" s="21">
        <v>0.20666666666666667</v>
      </c>
      <c r="BN28" s="21">
        <v>0.20666666666666667</v>
      </c>
      <c r="BO28" s="21">
        <v>0.20666666666666667</v>
      </c>
      <c r="BP28" s="21">
        <v>0.20666666666666667</v>
      </c>
      <c r="BQ28" s="21">
        <v>0.20666666666666667</v>
      </c>
      <c r="BR28" s="21">
        <v>0.20666666666666667</v>
      </c>
      <c r="BS28" s="21">
        <v>0.20666666666666667</v>
      </c>
      <c r="BT28" s="21">
        <v>0.20666666666666667</v>
      </c>
      <c r="BU28" s="21">
        <v>0.20666666666666667</v>
      </c>
      <c r="BV28" s="21">
        <v>0.20666666666666667</v>
      </c>
      <c r="BW28" s="21">
        <v>0.20666666666666667</v>
      </c>
      <c r="BX28" s="21">
        <v>0.20666666666666667</v>
      </c>
      <c r="BY28" s="21">
        <v>0.20666666666666667</v>
      </c>
      <c r="BZ28" s="21">
        <v>0.20666666666666667</v>
      </c>
      <c r="CA28" s="21">
        <v>0.20666666666666667</v>
      </c>
      <c r="CB28" s="21">
        <v>0.20666666666666667</v>
      </c>
      <c r="CC28" s="21">
        <v>0.20666666666666667</v>
      </c>
      <c r="CD28" s="21">
        <v>0.20666666666666667</v>
      </c>
      <c r="CE28" s="21">
        <v>0.20666666666666667</v>
      </c>
      <c r="CF28" s="8">
        <v>2.48</v>
      </c>
      <c r="CG28" s="8">
        <v>0.20666666666666667</v>
      </c>
      <c r="CH28" s="8">
        <v>0.20666666666666667</v>
      </c>
      <c r="CI28" s="8">
        <v>0.20666666666666667</v>
      </c>
      <c r="CJ28" s="8">
        <v>0.20666666666666667</v>
      </c>
      <c r="CK28" s="8">
        <v>0.20666666666666667</v>
      </c>
      <c r="CL28" s="8">
        <v>0.20666666666666667</v>
      </c>
      <c r="CM28" s="8">
        <v>0.20666666666666667</v>
      </c>
      <c r="CN28" s="8">
        <v>0.20666666666666667</v>
      </c>
      <c r="CO28" s="8">
        <v>0.20666666666666667</v>
      </c>
      <c r="CP28" s="8">
        <v>0.20666666666666667</v>
      </c>
      <c r="CQ28" s="8">
        <v>0.20666666666666667</v>
      </c>
      <c r="CR28" s="8">
        <v>0.20666666666666667</v>
      </c>
      <c r="CS28" t="str">
        <f>IFERROR(INDEX('Initiative Summary'!$C$5:$C$25,MATCH($A28,'Initiative Summary'!$A$5:$A$25,0)),"")</f>
        <v>Westmark Region</v>
      </c>
    </row>
    <row r="29" spans="1:97" ht="21.75" customHeight="1" x14ac:dyDescent="0.25">
      <c r="A29" s="6" t="s">
        <v>32</v>
      </c>
      <c r="B29" s="10" t="s">
        <v>656</v>
      </c>
      <c r="C29" s="11" t="s">
        <v>206</v>
      </c>
      <c r="D29" s="11" t="s">
        <v>204</v>
      </c>
      <c r="E29" s="11" t="s">
        <v>206</v>
      </c>
      <c r="F29" s="11" t="s">
        <v>197</v>
      </c>
      <c r="G29" s="11"/>
      <c r="H29" s="11"/>
      <c r="I29" s="11"/>
      <c r="J29" s="11"/>
      <c r="K29" s="10"/>
      <c r="L29" s="11" t="s">
        <v>221</v>
      </c>
      <c r="M29" s="11" t="s">
        <v>199</v>
      </c>
      <c r="N29" s="20">
        <v>100</v>
      </c>
      <c r="O29" s="11" t="b">
        <v>0</v>
      </c>
      <c r="P29" s="11" t="s">
        <v>201</v>
      </c>
      <c r="Q29" s="11" t="s">
        <v>210</v>
      </c>
      <c r="R29" s="11" t="s">
        <v>210</v>
      </c>
      <c r="S29" s="11"/>
      <c r="T29" s="11"/>
      <c r="U29" s="11"/>
      <c r="V29" s="11"/>
      <c r="W29" s="11"/>
      <c r="X29" s="11">
        <v>0</v>
      </c>
      <c r="Y29" s="11">
        <v>0</v>
      </c>
      <c r="Z29" s="11">
        <v>0</v>
      </c>
      <c r="AA29" s="11">
        <v>0</v>
      </c>
      <c r="AB29" s="11">
        <v>0</v>
      </c>
      <c r="AC29" s="11">
        <v>0</v>
      </c>
      <c r="AD29" s="11">
        <v>0</v>
      </c>
      <c r="AE29" s="11">
        <v>0</v>
      </c>
      <c r="AF29" s="11">
        <v>0</v>
      </c>
      <c r="AG29" s="11">
        <v>0</v>
      </c>
      <c r="AH29" s="11">
        <v>0</v>
      </c>
      <c r="AI29" s="11">
        <v>0</v>
      </c>
      <c r="AJ29" s="11">
        <v>0</v>
      </c>
      <c r="AK29" s="11">
        <v>0</v>
      </c>
      <c r="AL29" s="11">
        <v>0</v>
      </c>
      <c r="AM29" s="11">
        <v>0</v>
      </c>
      <c r="AN29" s="11">
        <v>0</v>
      </c>
      <c r="AO29" s="11">
        <v>0</v>
      </c>
      <c r="AP29" s="11">
        <v>0</v>
      </c>
      <c r="AQ29" s="11">
        <v>0</v>
      </c>
      <c r="AR29" s="11">
        <v>0</v>
      </c>
      <c r="AS29" s="11">
        <v>0</v>
      </c>
      <c r="AT29" s="11">
        <v>0</v>
      </c>
      <c r="AU29" s="11">
        <v>0</v>
      </c>
      <c r="AV29" s="11">
        <v>0</v>
      </c>
      <c r="AW29" s="11">
        <v>0</v>
      </c>
      <c r="AX29" s="11">
        <v>0</v>
      </c>
      <c r="AY29" s="11">
        <v>0</v>
      </c>
      <c r="AZ29" s="11">
        <v>0</v>
      </c>
      <c r="BA29" s="11">
        <v>0</v>
      </c>
      <c r="BB29" s="11">
        <v>0</v>
      </c>
      <c r="BC29" s="11">
        <v>0</v>
      </c>
      <c r="BD29" s="11">
        <v>0</v>
      </c>
      <c r="BE29" s="11">
        <v>0</v>
      </c>
      <c r="BF29" s="11">
        <v>0</v>
      </c>
      <c r="BG29" s="11">
        <v>0</v>
      </c>
      <c r="BH29" s="11">
        <v>0</v>
      </c>
      <c r="BI29" s="11">
        <v>0</v>
      </c>
      <c r="BJ29" s="11">
        <v>0</v>
      </c>
      <c r="BK29" s="11">
        <v>0</v>
      </c>
      <c r="BL29" s="11">
        <v>0</v>
      </c>
      <c r="BM29" s="11">
        <v>0</v>
      </c>
      <c r="BN29" s="11">
        <v>0</v>
      </c>
      <c r="BO29" s="11">
        <v>0</v>
      </c>
      <c r="BP29" s="11">
        <v>0</v>
      </c>
      <c r="BQ29" s="11">
        <v>0</v>
      </c>
      <c r="BR29" s="11">
        <v>0</v>
      </c>
      <c r="BS29" s="11">
        <v>0</v>
      </c>
      <c r="BT29" s="11">
        <v>0</v>
      </c>
      <c r="BU29" s="11">
        <v>0</v>
      </c>
      <c r="BV29" s="11">
        <v>0</v>
      </c>
      <c r="BW29" s="11">
        <v>0</v>
      </c>
      <c r="BX29" s="11">
        <v>0</v>
      </c>
      <c r="BY29" s="11">
        <v>0</v>
      </c>
      <c r="BZ29" s="11">
        <v>0</v>
      </c>
      <c r="CA29" s="11">
        <v>0</v>
      </c>
      <c r="CB29" s="11">
        <v>0</v>
      </c>
      <c r="CC29" s="11">
        <v>0</v>
      </c>
      <c r="CD29" s="11">
        <v>0</v>
      </c>
      <c r="CE29" s="11">
        <v>0</v>
      </c>
      <c r="CF29" s="11">
        <v>0</v>
      </c>
      <c r="CG29" s="11">
        <v>0</v>
      </c>
      <c r="CH29" s="11">
        <v>0</v>
      </c>
      <c r="CI29" s="11">
        <v>0</v>
      </c>
      <c r="CJ29" s="11">
        <v>0</v>
      </c>
      <c r="CK29" s="11">
        <v>0</v>
      </c>
      <c r="CL29" s="11">
        <v>0</v>
      </c>
      <c r="CM29" s="11">
        <v>0</v>
      </c>
      <c r="CN29" s="11">
        <v>0</v>
      </c>
      <c r="CO29" s="11">
        <v>0</v>
      </c>
      <c r="CP29" s="11">
        <v>0</v>
      </c>
      <c r="CQ29" s="11">
        <v>0</v>
      </c>
      <c r="CR29" s="11">
        <v>0</v>
      </c>
      <c r="CS29" t="str">
        <f>IFERROR(INDEX('Initiative Summary'!$C$5:$C$25,MATCH($A29,'Initiative Summary'!$A$5:$A$25,0)),"")</f>
        <v>Westmark Region</v>
      </c>
    </row>
    <row r="30" spans="1:97" ht="15" customHeight="1" x14ac:dyDescent="0.25">
      <c r="A30" s="6" t="s">
        <v>36</v>
      </c>
      <c r="B30" s="7" t="s">
        <v>37</v>
      </c>
      <c r="C30" s="8" t="s">
        <v>194</v>
      </c>
      <c r="D30" s="8" t="s">
        <v>195</v>
      </c>
      <c r="E30" s="8" t="s">
        <v>196</v>
      </c>
      <c r="F30" s="8" t="s">
        <v>197</v>
      </c>
      <c r="G30" s="8"/>
      <c r="H30" s="8"/>
      <c r="I30" s="8"/>
      <c r="J30" s="8"/>
      <c r="K30" s="7"/>
      <c r="L30" s="8" t="s">
        <v>222</v>
      </c>
      <c r="M30" s="8" t="s">
        <v>199</v>
      </c>
      <c r="N30" s="21">
        <v>0</v>
      </c>
      <c r="O30" s="8" t="b">
        <v>0</v>
      </c>
      <c r="P30" s="8" t="s">
        <v>201</v>
      </c>
      <c r="Q30" s="8" t="s">
        <v>223</v>
      </c>
      <c r="R30" s="8" t="s">
        <v>223</v>
      </c>
      <c r="S30" s="8">
        <v>0.52</v>
      </c>
      <c r="T30" s="21">
        <v>1.1000000000000001</v>
      </c>
      <c r="U30" s="21">
        <v>1.1000000000000001</v>
      </c>
      <c r="V30" s="21">
        <v>1.1000000000000001</v>
      </c>
      <c r="W30" s="21">
        <v>1.1000000000000001</v>
      </c>
      <c r="X30" s="8">
        <v>0</v>
      </c>
      <c r="Y30" s="8">
        <v>0</v>
      </c>
      <c r="Z30" s="8">
        <v>0</v>
      </c>
      <c r="AA30" s="8">
        <v>0</v>
      </c>
      <c r="AB30" s="8">
        <v>0</v>
      </c>
      <c r="AC30" s="8">
        <v>0</v>
      </c>
      <c r="AD30" s="8">
        <v>0</v>
      </c>
      <c r="AE30" s="8">
        <v>0</v>
      </c>
      <c r="AF30" s="8">
        <v>0</v>
      </c>
      <c r="AG30" s="8">
        <v>0</v>
      </c>
      <c r="AH30" s="8">
        <v>0</v>
      </c>
      <c r="AI30" s="8">
        <v>0.52</v>
      </c>
      <c r="AJ30" s="21">
        <v>9.1666666666666674E-2</v>
      </c>
      <c r="AK30" s="21">
        <v>9.1666666666666674E-2</v>
      </c>
      <c r="AL30" s="21">
        <v>9.1666666666666674E-2</v>
      </c>
      <c r="AM30" s="21">
        <v>9.1666666666666674E-2</v>
      </c>
      <c r="AN30" s="21">
        <v>9.1666666666666674E-2</v>
      </c>
      <c r="AO30" s="21">
        <v>9.1666666666666674E-2</v>
      </c>
      <c r="AP30" s="21">
        <v>9.1666666666666674E-2</v>
      </c>
      <c r="AQ30" s="21">
        <v>9.1666666666666674E-2</v>
      </c>
      <c r="AR30" s="21">
        <v>9.1666666666666674E-2</v>
      </c>
      <c r="AS30" s="21">
        <v>9.1666666666666674E-2</v>
      </c>
      <c r="AT30" s="21">
        <v>9.1666666666666674E-2</v>
      </c>
      <c r="AU30" s="21">
        <v>9.1666666666666674E-2</v>
      </c>
      <c r="AV30" s="21">
        <v>9.1666666666666674E-2</v>
      </c>
      <c r="AW30" s="21">
        <v>9.1666666666666674E-2</v>
      </c>
      <c r="AX30" s="21">
        <v>9.1666666666666674E-2</v>
      </c>
      <c r="AY30" s="21">
        <v>9.1666666666666674E-2</v>
      </c>
      <c r="AZ30" s="21">
        <v>9.1666666666666674E-2</v>
      </c>
      <c r="BA30" s="21">
        <v>9.1666666666666674E-2</v>
      </c>
      <c r="BB30" s="21">
        <v>9.1666666666666674E-2</v>
      </c>
      <c r="BC30" s="21">
        <v>9.1666666666666674E-2</v>
      </c>
      <c r="BD30" s="21">
        <v>9.1666666666666674E-2</v>
      </c>
      <c r="BE30" s="21">
        <v>9.1666666666666674E-2</v>
      </c>
      <c r="BF30" s="21">
        <v>9.1666666666666674E-2</v>
      </c>
      <c r="BG30" s="21">
        <v>9.1666666666666674E-2</v>
      </c>
      <c r="BH30" s="21">
        <v>9.1666666666666674E-2</v>
      </c>
      <c r="BI30" s="21">
        <v>9.1666666666666674E-2</v>
      </c>
      <c r="BJ30" s="21">
        <v>9.1666666666666674E-2</v>
      </c>
      <c r="BK30" s="21">
        <v>9.1666666666666674E-2</v>
      </c>
      <c r="BL30" s="21">
        <v>9.1666666666666674E-2</v>
      </c>
      <c r="BM30" s="21">
        <v>9.1666666666666674E-2</v>
      </c>
      <c r="BN30" s="21">
        <v>9.1666666666666674E-2</v>
      </c>
      <c r="BO30" s="21">
        <v>9.1666666666666674E-2</v>
      </c>
      <c r="BP30" s="21">
        <v>9.1666666666666674E-2</v>
      </c>
      <c r="BQ30" s="21">
        <v>9.1666666666666674E-2</v>
      </c>
      <c r="BR30" s="21">
        <v>9.1666666666666674E-2</v>
      </c>
      <c r="BS30" s="21">
        <v>9.1666666666666674E-2</v>
      </c>
      <c r="BT30" s="21">
        <v>9.1666666666666674E-2</v>
      </c>
      <c r="BU30" s="21">
        <v>9.1666666666666674E-2</v>
      </c>
      <c r="BV30" s="21">
        <v>9.1666666666666674E-2</v>
      </c>
      <c r="BW30" s="21">
        <v>9.1666666666666674E-2</v>
      </c>
      <c r="BX30" s="21">
        <v>9.1666666666666674E-2</v>
      </c>
      <c r="BY30" s="21">
        <v>9.1666666666666674E-2</v>
      </c>
      <c r="BZ30" s="21">
        <v>9.1666666666666674E-2</v>
      </c>
      <c r="CA30" s="21">
        <v>9.1666666666666674E-2</v>
      </c>
      <c r="CB30" s="21">
        <v>9.1666666666666674E-2</v>
      </c>
      <c r="CC30" s="21">
        <v>9.1666666666666674E-2</v>
      </c>
      <c r="CD30" s="21">
        <v>9.1666666666666674E-2</v>
      </c>
      <c r="CE30" s="21">
        <v>9.1666666666666674E-2</v>
      </c>
      <c r="CF30" s="8">
        <v>1.1000000000000001</v>
      </c>
      <c r="CG30" s="8">
        <v>9.1666666666666674E-2</v>
      </c>
      <c r="CH30" s="8">
        <v>9.1666666666666674E-2</v>
      </c>
      <c r="CI30" s="8">
        <v>9.1666666666666674E-2</v>
      </c>
      <c r="CJ30" s="8">
        <v>9.1666666666666674E-2</v>
      </c>
      <c r="CK30" s="8">
        <v>9.1666666666666674E-2</v>
      </c>
      <c r="CL30" s="8">
        <v>9.1666666666666674E-2</v>
      </c>
      <c r="CM30" s="8">
        <v>9.1666666666666674E-2</v>
      </c>
      <c r="CN30" s="8">
        <v>9.1666666666666674E-2</v>
      </c>
      <c r="CO30" s="8">
        <v>9.1666666666666674E-2</v>
      </c>
      <c r="CP30" s="8">
        <v>9.1666666666666674E-2</v>
      </c>
      <c r="CQ30" s="8">
        <v>9.1666666666666674E-2</v>
      </c>
      <c r="CR30" s="8">
        <v>9.1666666666666674E-2</v>
      </c>
      <c r="CS30" t="str">
        <f>IFERROR(INDEX('Initiative Summary'!$C$5:$C$25,MATCH($A30,'Initiative Summary'!$A$5:$A$25,0)),"")</f>
        <v>Westmark Region</v>
      </c>
    </row>
    <row r="31" spans="1:97" ht="15" customHeight="1" x14ac:dyDescent="0.25">
      <c r="A31" s="6" t="s">
        <v>36</v>
      </c>
      <c r="B31" s="10" t="s">
        <v>37</v>
      </c>
      <c r="C31" s="11" t="s">
        <v>194</v>
      </c>
      <c r="D31" s="11" t="s">
        <v>203</v>
      </c>
      <c r="E31" s="11" t="s">
        <v>196</v>
      </c>
      <c r="F31" s="11" t="s">
        <v>197</v>
      </c>
      <c r="G31" s="11"/>
      <c r="H31" s="11"/>
      <c r="I31" s="11"/>
      <c r="J31" s="11"/>
      <c r="K31" s="10"/>
      <c r="L31" s="11" t="s">
        <v>222</v>
      </c>
      <c r="M31" s="11" t="s">
        <v>199</v>
      </c>
      <c r="N31" s="20">
        <v>0</v>
      </c>
      <c r="O31" s="11" t="b">
        <v>0</v>
      </c>
      <c r="P31" s="11" t="s">
        <v>201</v>
      </c>
      <c r="Q31" s="11" t="s">
        <v>223</v>
      </c>
      <c r="R31" s="11" t="s">
        <v>223</v>
      </c>
      <c r="S31" s="11">
        <v>0.78</v>
      </c>
      <c r="T31" s="20">
        <v>1.56</v>
      </c>
      <c r="U31" s="20">
        <v>1.56</v>
      </c>
      <c r="V31" s="20">
        <v>1.56</v>
      </c>
      <c r="W31" s="20">
        <v>1.56</v>
      </c>
      <c r="X31" s="11">
        <v>0</v>
      </c>
      <c r="Y31" s="11">
        <v>0</v>
      </c>
      <c r="Z31" s="11">
        <v>0</v>
      </c>
      <c r="AA31" s="11">
        <v>0</v>
      </c>
      <c r="AB31" s="11">
        <v>0</v>
      </c>
      <c r="AC31" s="11">
        <v>0</v>
      </c>
      <c r="AD31" s="11">
        <v>0</v>
      </c>
      <c r="AE31" s="11">
        <v>0</v>
      </c>
      <c r="AF31" s="11">
        <v>0</v>
      </c>
      <c r="AG31" s="11">
        <v>0</v>
      </c>
      <c r="AH31" s="11">
        <v>0</v>
      </c>
      <c r="AI31" s="11">
        <v>0.78</v>
      </c>
      <c r="AJ31" s="20">
        <v>0.13</v>
      </c>
      <c r="AK31" s="20">
        <v>0.13</v>
      </c>
      <c r="AL31" s="20">
        <v>0.13</v>
      </c>
      <c r="AM31" s="20">
        <v>0.13</v>
      </c>
      <c r="AN31" s="20">
        <v>0.13</v>
      </c>
      <c r="AO31" s="20">
        <v>0.13</v>
      </c>
      <c r="AP31" s="20">
        <v>0.13</v>
      </c>
      <c r="AQ31" s="20">
        <v>0.13</v>
      </c>
      <c r="AR31" s="20">
        <v>0.13</v>
      </c>
      <c r="AS31" s="20">
        <v>0.13</v>
      </c>
      <c r="AT31" s="20">
        <v>0.13</v>
      </c>
      <c r="AU31" s="20">
        <v>0.13</v>
      </c>
      <c r="AV31" s="20">
        <v>0.13</v>
      </c>
      <c r="AW31" s="20">
        <v>0.13</v>
      </c>
      <c r="AX31" s="20">
        <v>0.13</v>
      </c>
      <c r="AY31" s="20">
        <v>0.13</v>
      </c>
      <c r="AZ31" s="20">
        <v>0.13</v>
      </c>
      <c r="BA31" s="20">
        <v>0.13</v>
      </c>
      <c r="BB31" s="20">
        <v>0.13</v>
      </c>
      <c r="BC31" s="20">
        <v>0.13</v>
      </c>
      <c r="BD31" s="20">
        <v>0.13</v>
      </c>
      <c r="BE31" s="20">
        <v>0.13</v>
      </c>
      <c r="BF31" s="20">
        <v>0.13</v>
      </c>
      <c r="BG31" s="20">
        <v>0.13</v>
      </c>
      <c r="BH31" s="20">
        <v>0.13</v>
      </c>
      <c r="BI31" s="20">
        <v>0.13</v>
      </c>
      <c r="BJ31" s="20">
        <v>0.13</v>
      </c>
      <c r="BK31" s="20">
        <v>0.13</v>
      </c>
      <c r="BL31" s="20">
        <v>0.13</v>
      </c>
      <c r="BM31" s="20">
        <v>0.13</v>
      </c>
      <c r="BN31" s="20">
        <v>0.13</v>
      </c>
      <c r="BO31" s="20">
        <v>0.13</v>
      </c>
      <c r="BP31" s="20">
        <v>0.13</v>
      </c>
      <c r="BQ31" s="20">
        <v>0.13</v>
      </c>
      <c r="BR31" s="20">
        <v>0.13</v>
      </c>
      <c r="BS31" s="20">
        <v>0.13</v>
      </c>
      <c r="BT31" s="20">
        <v>0.13</v>
      </c>
      <c r="BU31" s="20">
        <v>0.13</v>
      </c>
      <c r="BV31" s="20">
        <v>0.13</v>
      </c>
      <c r="BW31" s="20">
        <v>0.13</v>
      </c>
      <c r="BX31" s="20">
        <v>0.13</v>
      </c>
      <c r="BY31" s="20">
        <v>0.13</v>
      </c>
      <c r="BZ31" s="20">
        <v>0.13</v>
      </c>
      <c r="CA31" s="20">
        <v>0.13</v>
      </c>
      <c r="CB31" s="20">
        <v>0.13</v>
      </c>
      <c r="CC31" s="20">
        <v>0.13</v>
      </c>
      <c r="CD31" s="20">
        <v>0.13</v>
      </c>
      <c r="CE31" s="20">
        <v>0.13</v>
      </c>
      <c r="CF31" s="11">
        <v>1.56</v>
      </c>
      <c r="CG31" s="11">
        <v>0.13</v>
      </c>
      <c r="CH31" s="11">
        <v>0.13</v>
      </c>
      <c r="CI31" s="11">
        <v>0.13</v>
      </c>
      <c r="CJ31" s="11">
        <v>0.13</v>
      </c>
      <c r="CK31" s="11">
        <v>0.13</v>
      </c>
      <c r="CL31" s="11">
        <v>0.13</v>
      </c>
      <c r="CM31" s="11">
        <v>0.13</v>
      </c>
      <c r="CN31" s="11">
        <v>0.13</v>
      </c>
      <c r="CO31" s="11">
        <v>0.13</v>
      </c>
      <c r="CP31" s="11">
        <v>0.13</v>
      </c>
      <c r="CQ31" s="11">
        <v>0.13</v>
      </c>
      <c r="CR31" s="11">
        <v>0.13</v>
      </c>
      <c r="CS31" t="str">
        <f>IFERROR(INDEX('Initiative Summary'!$C$5:$C$25,MATCH($A31,'Initiative Summary'!$A$5:$A$25,0)),"")</f>
        <v>Westmark Region</v>
      </c>
    </row>
    <row r="32" spans="1:97" ht="15" customHeight="1" x14ac:dyDescent="0.25">
      <c r="A32" s="6" t="s">
        <v>36</v>
      </c>
      <c r="B32" s="7" t="s">
        <v>37</v>
      </c>
      <c r="C32" s="8" t="s">
        <v>194</v>
      </c>
      <c r="D32" s="8" t="s">
        <v>204</v>
      </c>
      <c r="E32" s="8" t="s">
        <v>196</v>
      </c>
      <c r="F32" s="8" t="s">
        <v>197</v>
      </c>
      <c r="G32" s="8"/>
      <c r="H32" s="8"/>
      <c r="I32" s="8"/>
      <c r="J32" s="8"/>
      <c r="K32" s="7"/>
      <c r="L32" s="8" t="s">
        <v>222</v>
      </c>
      <c r="M32" s="8" t="s">
        <v>199</v>
      </c>
      <c r="N32" s="21">
        <v>0</v>
      </c>
      <c r="O32" s="8" t="b">
        <v>0</v>
      </c>
      <c r="P32" s="8" t="s">
        <v>201</v>
      </c>
      <c r="Q32" s="8" t="s">
        <v>223</v>
      </c>
      <c r="R32" s="8" t="s">
        <v>223</v>
      </c>
      <c r="S32" s="8"/>
      <c r="T32" s="8"/>
      <c r="U32" s="8"/>
      <c r="V32" s="8"/>
      <c r="W32" s="8"/>
      <c r="X32" s="8">
        <v>0</v>
      </c>
      <c r="Y32" s="8">
        <v>0</v>
      </c>
      <c r="Z32" s="8">
        <v>0</v>
      </c>
      <c r="AA32" s="8">
        <v>0</v>
      </c>
      <c r="AB32" s="8">
        <v>0</v>
      </c>
      <c r="AC32" s="8">
        <v>0</v>
      </c>
      <c r="AD32" s="8">
        <v>0</v>
      </c>
      <c r="AE32" s="8">
        <v>0</v>
      </c>
      <c r="AF32" s="8">
        <v>0</v>
      </c>
      <c r="AG32" s="8">
        <v>0</v>
      </c>
      <c r="AH32" s="8">
        <v>0</v>
      </c>
      <c r="AI32" s="8">
        <v>0</v>
      </c>
      <c r="AJ32" s="8">
        <v>0</v>
      </c>
      <c r="AK32" s="8">
        <v>0</v>
      </c>
      <c r="AL32" s="8">
        <v>0</v>
      </c>
      <c r="AM32" s="8">
        <v>0</v>
      </c>
      <c r="AN32" s="8">
        <v>0</v>
      </c>
      <c r="AO32" s="8">
        <v>0</v>
      </c>
      <c r="AP32" s="8">
        <v>0</v>
      </c>
      <c r="AQ32" s="8">
        <v>0</v>
      </c>
      <c r="AR32" s="8">
        <v>0</v>
      </c>
      <c r="AS32" s="8">
        <v>0</v>
      </c>
      <c r="AT32" s="8">
        <v>0</v>
      </c>
      <c r="AU32" s="8">
        <v>0</v>
      </c>
      <c r="AV32" s="8">
        <v>0</v>
      </c>
      <c r="AW32" s="8">
        <v>0</v>
      </c>
      <c r="AX32" s="8">
        <v>0</v>
      </c>
      <c r="AY32" s="8">
        <v>0</v>
      </c>
      <c r="AZ32" s="8">
        <v>0</v>
      </c>
      <c r="BA32" s="8">
        <v>0</v>
      </c>
      <c r="BB32" s="8">
        <v>0</v>
      </c>
      <c r="BC32" s="8">
        <v>0</v>
      </c>
      <c r="BD32" s="8">
        <v>0</v>
      </c>
      <c r="BE32" s="8">
        <v>0</v>
      </c>
      <c r="BF32" s="8">
        <v>0</v>
      </c>
      <c r="BG32" s="8">
        <v>0</v>
      </c>
      <c r="BH32" s="8">
        <v>0</v>
      </c>
      <c r="BI32" s="8">
        <v>0</v>
      </c>
      <c r="BJ32" s="8">
        <v>0</v>
      </c>
      <c r="BK32" s="8">
        <v>0</v>
      </c>
      <c r="BL32" s="8">
        <v>0</v>
      </c>
      <c r="BM32" s="8">
        <v>0</v>
      </c>
      <c r="BN32" s="8">
        <v>0</v>
      </c>
      <c r="BO32" s="8">
        <v>0</v>
      </c>
      <c r="BP32" s="8">
        <v>0</v>
      </c>
      <c r="BQ32" s="8">
        <v>0</v>
      </c>
      <c r="BR32" s="8">
        <v>0</v>
      </c>
      <c r="BS32" s="8">
        <v>0</v>
      </c>
      <c r="BT32" s="8">
        <v>0</v>
      </c>
      <c r="BU32" s="8">
        <v>0</v>
      </c>
      <c r="BV32" s="8">
        <v>0</v>
      </c>
      <c r="BW32" s="8">
        <v>0</v>
      </c>
      <c r="BX32" s="8">
        <v>0</v>
      </c>
      <c r="BY32" s="8">
        <v>0</v>
      </c>
      <c r="BZ32" s="8">
        <v>0</v>
      </c>
      <c r="CA32" s="8">
        <v>0</v>
      </c>
      <c r="CB32" s="8">
        <v>0</v>
      </c>
      <c r="CC32" s="8">
        <v>0</v>
      </c>
      <c r="CD32" s="8">
        <v>0</v>
      </c>
      <c r="CE32" s="8">
        <v>0</v>
      </c>
      <c r="CF32" s="8">
        <v>0</v>
      </c>
      <c r="CG32" s="8">
        <v>0</v>
      </c>
      <c r="CH32" s="8">
        <v>0</v>
      </c>
      <c r="CI32" s="8">
        <v>0</v>
      </c>
      <c r="CJ32" s="8">
        <v>0</v>
      </c>
      <c r="CK32" s="8">
        <v>0</v>
      </c>
      <c r="CL32" s="8">
        <v>0</v>
      </c>
      <c r="CM32" s="8">
        <v>0</v>
      </c>
      <c r="CN32" s="8">
        <v>0</v>
      </c>
      <c r="CO32" s="8">
        <v>0</v>
      </c>
      <c r="CP32" s="8">
        <v>0</v>
      </c>
      <c r="CQ32" s="8">
        <v>0</v>
      </c>
      <c r="CR32" s="8">
        <v>0</v>
      </c>
      <c r="CS32" t="str">
        <f>IFERROR(INDEX('Initiative Summary'!$C$5:$C$25,MATCH($A32,'Initiative Summary'!$A$5:$A$25,0)),"")</f>
        <v>Westmark Region</v>
      </c>
    </row>
    <row r="33" spans="1:97" ht="15" customHeight="1" x14ac:dyDescent="0.25">
      <c r="A33" s="6" t="s">
        <v>36</v>
      </c>
      <c r="B33" s="10" t="s">
        <v>37</v>
      </c>
      <c r="C33" s="11" t="s">
        <v>205</v>
      </c>
      <c r="D33" s="11" t="s">
        <v>195</v>
      </c>
      <c r="E33" s="11" t="s">
        <v>206</v>
      </c>
      <c r="F33" s="11" t="s">
        <v>207</v>
      </c>
      <c r="G33" s="11"/>
      <c r="H33" s="11" t="s">
        <v>215</v>
      </c>
      <c r="I33" s="11" t="s">
        <v>216</v>
      </c>
      <c r="J33" s="11"/>
      <c r="K33" s="10"/>
      <c r="L33" s="11" t="s">
        <v>224</v>
      </c>
      <c r="M33" s="11" t="s">
        <v>199</v>
      </c>
      <c r="N33" s="20">
        <v>3</v>
      </c>
      <c r="O33" s="11" t="b">
        <v>0</v>
      </c>
      <c r="P33" s="11" t="s">
        <v>218</v>
      </c>
      <c r="Q33" s="11" t="s">
        <v>223</v>
      </c>
      <c r="R33" s="11" t="s">
        <v>223</v>
      </c>
      <c r="S33" s="11"/>
      <c r="T33" s="11"/>
      <c r="U33" s="11"/>
      <c r="V33" s="11"/>
      <c r="W33" s="11"/>
      <c r="X33" s="11">
        <v>0</v>
      </c>
      <c r="Y33" s="11">
        <v>0</v>
      </c>
      <c r="Z33" s="11">
        <v>0</v>
      </c>
      <c r="AA33" s="11">
        <v>0</v>
      </c>
      <c r="AB33" s="11">
        <v>0</v>
      </c>
      <c r="AC33" s="11">
        <v>0</v>
      </c>
      <c r="AD33" s="11">
        <v>0</v>
      </c>
      <c r="AE33" s="11">
        <v>0</v>
      </c>
      <c r="AF33" s="11">
        <v>0</v>
      </c>
      <c r="AG33" s="11">
        <v>0</v>
      </c>
      <c r="AH33" s="11">
        <v>0</v>
      </c>
      <c r="AI33" s="11">
        <v>0</v>
      </c>
      <c r="AJ33" s="11">
        <v>0</v>
      </c>
      <c r="AK33" s="11">
        <v>0</v>
      </c>
      <c r="AL33" s="11">
        <v>0</v>
      </c>
      <c r="AM33" s="11">
        <v>0</v>
      </c>
      <c r="AN33" s="11">
        <v>0</v>
      </c>
      <c r="AO33" s="11">
        <v>0</v>
      </c>
      <c r="AP33" s="11">
        <v>0</v>
      </c>
      <c r="AQ33" s="11">
        <v>0</v>
      </c>
      <c r="AR33" s="11">
        <v>0</v>
      </c>
      <c r="AS33" s="11">
        <v>0</v>
      </c>
      <c r="AT33" s="11">
        <v>0</v>
      </c>
      <c r="AU33" s="11">
        <v>0</v>
      </c>
      <c r="AV33" s="11">
        <v>0</v>
      </c>
      <c r="AW33" s="11">
        <v>0</v>
      </c>
      <c r="AX33" s="11">
        <v>0</v>
      </c>
      <c r="AY33" s="11">
        <v>0</v>
      </c>
      <c r="AZ33" s="11">
        <v>0</v>
      </c>
      <c r="BA33" s="11">
        <v>0</v>
      </c>
      <c r="BB33" s="11">
        <v>0</v>
      </c>
      <c r="BC33" s="11">
        <v>0</v>
      </c>
      <c r="BD33" s="11">
        <v>0</v>
      </c>
      <c r="BE33" s="11">
        <v>0</v>
      </c>
      <c r="BF33" s="11">
        <v>0</v>
      </c>
      <c r="BG33" s="11">
        <v>0</v>
      </c>
      <c r="BH33" s="11">
        <v>0</v>
      </c>
      <c r="BI33" s="11">
        <v>0</v>
      </c>
      <c r="BJ33" s="11">
        <v>0</v>
      </c>
      <c r="BK33" s="11">
        <v>0</v>
      </c>
      <c r="BL33" s="11">
        <v>0</v>
      </c>
      <c r="BM33" s="11">
        <v>0</v>
      </c>
      <c r="BN33" s="11">
        <v>0</v>
      </c>
      <c r="BO33" s="11">
        <v>0</v>
      </c>
      <c r="BP33" s="11">
        <v>0</v>
      </c>
      <c r="BQ33" s="11">
        <v>0</v>
      </c>
      <c r="BR33" s="11">
        <v>0</v>
      </c>
      <c r="BS33" s="11">
        <v>0</v>
      </c>
      <c r="BT33" s="11">
        <v>0</v>
      </c>
      <c r="BU33" s="11">
        <v>0</v>
      </c>
      <c r="BV33" s="11">
        <v>0</v>
      </c>
      <c r="BW33" s="11">
        <v>0</v>
      </c>
      <c r="BX33" s="11">
        <v>0</v>
      </c>
      <c r="BY33" s="11">
        <v>0</v>
      </c>
      <c r="BZ33" s="11">
        <v>0</v>
      </c>
      <c r="CA33" s="11">
        <v>0</v>
      </c>
      <c r="CB33" s="11">
        <v>0</v>
      </c>
      <c r="CC33" s="11">
        <v>0</v>
      </c>
      <c r="CD33" s="11">
        <v>0</v>
      </c>
      <c r="CE33" s="11">
        <v>0</v>
      </c>
      <c r="CF33" s="11">
        <v>0</v>
      </c>
      <c r="CG33" s="11">
        <v>0</v>
      </c>
      <c r="CH33" s="11">
        <v>0</v>
      </c>
      <c r="CI33" s="11">
        <v>0</v>
      </c>
      <c r="CJ33" s="11">
        <v>0</v>
      </c>
      <c r="CK33" s="11">
        <v>0</v>
      </c>
      <c r="CL33" s="11">
        <v>0</v>
      </c>
      <c r="CM33" s="11">
        <v>0</v>
      </c>
      <c r="CN33" s="11">
        <v>0</v>
      </c>
      <c r="CO33" s="11">
        <v>0</v>
      </c>
      <c r="CP33" s="11">
        <v>0</v>
      </c>
      <c r="CQ33" s="11">
        <v>0</v>
      </c>
      <c r="CR33" s="11">
        <v>0</v>
      </c>
      <c r="CS33" t="str">
        <f>IFERROR(INDEX('Initiative Summary'!$C$5:$C$25,MATCH($A33,'Initiative Summary'!$A$5:$A$25,0)),"")</f>
        <v>Westmark Region</v>
      </c>
    </row>
    <row r="34" spans="1:97" ht="15" customHeight="1" x14ac:dyDescent="0.25">
      <c r="A34" s="6" t="s">
        <v>36</v>
      </c>
      <c r="B34" s="7" t="s">
        <v>37</v>
      </c>
      <c r="C34" s="8" t="s">
        <v>205</v>
      </c>
      <c r="D34" s="8" t="s">
        <v>203</v>
      </c>
      <c r="E34" s="8" t="s">
        <v>206</v>
      </c>
      <c r="F34" s="8" t="s">
        <v>207</v>
      </c>
      <c r="G34" s="8"/>
      <c r="H34" s="8" t="s">
        <v>215</v>
      </c>
      <c r="I34" s="8" t="s">
        <v>216</v>
      </c>
      <c r="J34" s="8"/>
      <c r="K34" s="7"/>
      <c r="L34" s="8" t="s">
        <v>224</v>
      </c>
      <c r="M34" s="8" t="s">
        <v>199</v>
      </c>
      <c r="N34" s="21">
        <v>3</v>
      </c>
      <c r="O34" s="8" t="b">
        <v>0</v>
      </c>
      <c r="P34" s="8" t="s">
        <v>218</v>
      </c>
      <c r="Q34" s="8" t="s">
        <v>223</v>
      </c>
      <c r="R34" s="8" t="s">
        <v>223</v>
      </c>
      <c r="S34" s="8"/>
      <c r="T34" s="8"/>
      <c r="U34" s="8"/>
      <c r="V34" s="8"/>
      <c r="W34" s="8"/>
      <c r="X34" s="8">
        <v>0</v>
      </c>
      <c r="Y34" s="8">
        <v>0</v>
      </c>
      <c r="Z34" s="8">
        <v>0</v>
      </c>
      <c r="AA34" s="8">
        <v>0</v>
      </c>
      <c r="AB34" s="8">
        <v>0</v>
      </c>
      <c r="AC34" s="8">
        <v>0</v>
      </c>
      <c r="AD34" s="8">
        <v>0</v>
      </c>
      <c r="AE34" s="8">
        <v>0</v>
      </c>
      <c r="AF34" s="8">
        <v>0</v>
      </c>
      <c r="AG34" s="8">
        <v>0</v>
      </c>
      <c r="AH34" s="8">
        <v>0</v>
      </c>
      <c r="AI34" s="8">
        <v>0</v>
      </c>
      <c r="AJ34" s="8">
        <v>0</v>
      </c>
      <c r="AK34" s="8">
        <v>0</v>
      </c>
      <c r="AL34" s="8">
        <v>0</v>
      </c>
      <c r="AM34" s="8">
        <v>0</v>
      </c>
      <c r="AN34" s="8">
        <v>0</v>
      </c>
      <c r="AO34" s="8">
        <v>0</v>
      </c>
      <c r="AP34" s="8">
        <v>0</v>
      </c>
      <c r="AQ34" s="8">
        <v>0</v>
      </c>
      <c r="AR34" s="8">
        <v>0</v>
      </c>
      <c r="AS34" s="8">
        <v>0</v>
      </c>
      <c r="AT34" s="8">
        <v>0</v>
      </c>
      <c r="AU34" s="8">
        <v>0</v>
      </c>
      <c r="AV34" s="8">
        <v>0</v>
      </c>
      <c r="AW34" s="8">
        <v>0</v>
      </c>
      <c r="AX34" s="8">
        <v>0</v>
      </c>
      <c r="AY34" s="8">
        <v>0</v>
      </c>
      <c r="AZ34" s="8">
        <v>0</v>
      </c>
      <c r="BA34" s="8">
        <v>0</v>
      </c>
      <c r="BB34" s="8">
        <v>0</v>
      </c>
      <c r="BC34" s="8">
        <v>0</v>
      </c>
      <c r="BD34" s="8">
        <v>0</v>
      </c>
      <c r="BE34" s="8">
        <v>0</v>
      </c>
      <c r="BF34" s="8">
        <v>0</v>
      </c>
      <c r="BG34" s="8">
        <v>0</v>
      </c>
      <c r="BH34" s="8">
        <v>0</v>
      </c>
      <c r="BI34" s="8">
        <v>0</v>
      </c>
      <c r="BJ34" s="8">
        <v>0</v>
      </c>
      <c r="BK34" s="8">
        <v>0</v>
      </c>
      <c r="BL34" s="8">
        <v>0</v>
      </c>
      <c r="BM34" s="8">
        <v>0</v>
      </c>
      <c r="BN34" s="8">
        <v>0</v>
      </c>
      <c r="BO34" s="8">
        <v>0</v>
      </c>
      <c r="BP34" s="8">
        <v>0</v>
      </c>
      <c r="BQ34" s="8">
        <v>0</v>
      </c>
      <c r="BR34" s="8">
        <v>0</v>
      </c>
      <c r="BS34" s="8">
        <v>0</v>
      </c>
      <c r="BT34" s="8">
        <v>0</v>
      </c>
      <c r="BU34" s="8">
        <v>0</v>
      </c>
      <c r="BV34" s="8">
        <v>0</v>
      </c>
      <c r="BW34" s="8">
        <v>0</v>
      </c>
      <c r="BX34" s="8">
        <v>0</v>
      </c>
      <c r="BY34" s="8">
        <v>0</v>
      </c>
      <c r="BZ34" s="8">
        <v>0</v>
      </c>
      <c r="CA34" s="8">
        <v>0</v>
      </c>
      <c r="CB34" s="8">
        <v>0</v>
      </c>
      <c r="CC34" s="8">
        <v>0</v>
      </c>
      <c r="CD34" s="8">
        <v>0</v>
      </c>
      <c r="CE34" s="8">
        <v>0</v>
      </c>
      <c r="CF34" s="8">
        <v>0</v>
      </c>
      <c r="CG34" s="8">
        <v>0</v>
      </c>
      <c r="CH34" s="8">
        <v>0</v>
      </c>
      <c r="CI34" s="8">
        <v>0</v>
      </c>
      <c r="CJ34" s="8">
        <v>0</v>
      </c>
      <c r="CK34" s="8">
        <v>0</v>
      </c>
      <c r="CL34" s="8">
        <v>0</v>
      </c>
      <c r="CM34" s="8">
        <v>0</v>
      </c>
      <c r="CN34" s="8">
        <v>0</v>
      </c>
      <c r="CO34" s="8">
        <v>0</v>
      </c>
      <c r="CP34" s="8">
        <v>0</v>
      </c>
      <c r="CQ34" s="8">
        <v>0</v>
      </c>
      <c r="CR34" s="8">
        <v>0</v>
      </c>
      <c r="CS34" t="str">
        <f>IFERROR(INDEX('Initiative Summary'!$C$5:$C$25,MATCH($A34,'Initiative Summary'!$A$5:$A$25,0)),"")</f>
        <v>Westmark Region</v>
      </c>
    </row>
    <row r="35" spans="1:97" ht="15" customHeight="1" x14ac:dyDescent="0.25">
      <c r="A35" s="6" t="s">
        <v>36</v>
      </c>
      <c r="B35" s="10" t="s">
        <v>37</v>
      </c>
      <c r="C35" s="11" t="s">
        <v>205</v>
      </c>
      <c r="D35" s="11" t="s">
        <v>204</v>
      </c>
      <c r="E35" s="11" t="s">
        <v>206</v>
      </c>
      <c r="F35" s="11" t="s">
        <v>207</v>
      </c>
      <c r="G35" s="11"/>
      <c r="H35" s="11" t="s">
        <v>215</v>
      </c>
      <c r="I35" s="11" t="s">
        <v>216</v>
      </c>
      <c r="J35" s="11"/>
      <c r="K35" s="10"/>
      <c r="L35" s="11" t="s">
        <v>224</v>
      </c>
      <c r="M35" s="11" t="s">
        <v>199</v>
      </c>
      <c r="N35" s="20">
        <v>3</v>
      </c>
      <c r="O35" s="11" t="b">
        <v>0</v>
      </c>
      <c r="P35" s="11" t="s">
        <v>218</v>
      </c>
      <c r="Q35" s="11" t="s">
        <v>223</v>
      </c>
      <c r="R35" s="11" t="s">
        <v>223</v>
      </c>
      <c r="S35" s="11"/>
      <c r="T35" s="11"/>
      <c r="U35" s="11"/>
      <c r="V35" s="11"/>
      <c r="W35" s="11"/>
      <c r="X35" s="11">
        <v>0</v>
      </c>
      <c r="Y35" s="11">
        <v>0</v>
      </c>
      <c r="Z35" s="11">
        <v>0</v>
      </c>
      <c r="AA35" s="11">
        <v>0</v>
      </c>
      <c r="AB35" s="11">
        <v>0</v>
      </c>
      <c r="AC35" s="11">
        <v>0</v>
      </c>
      <c r="AD35" s="11">
        <v>0</v>
      </c>
      <c r="AE35" s="11">
        <v>0</v>
      </c>
      <c r="AF35" s="11">
        <v>0</v>
      </c>
      <c r="AG35" s="11">
        <v>0</v>
      </c>
      <c r="AH35" s="11">
        <v>0</v>
      </c>
      <c r="AI35" s="11">
        <v>0</v>
      </c>
      <c r="AJ35" s="11">
        <v>0</v>
      </c>
      <c r="AK35" s="11">
        <v>0</v>
      </c>
      <c r="AL35" s="11">
        <v>0</v>
      </c>
      <c r="AM35" s="11">
        <v>0</v>
      </c>
      <c r="AN35" s="11">
        <v>0</v>
      </c>
      <c r="AO35" s="11">
        <v>0</v>
      </c>
      <c r="AP35" s="11">
        <v>0</v>
      </c>
      <c r="AQ35" s="11">
        <v>0</v>
      </c>
      <c r="AR35" s="11">
        <v>0</v>
      </c>
      <c r="AS35" s="11">
        <v>0</v>
      </c>
      <c r="AT35" s="11">
        <v>0</v>
      </c>
      <c r="AU35" s="11">
        <v>0</v>
      </c>
      <c r="AV35" s="11">
        <v>0</v>
      </c>
      <c r="AW35" s="11">
        <v>0</v>
      </c>
      <c r="AX35" s="11">
        <v>0</v>
      </c>
      <c r="AY35" s="11">
        <v>0</v>
      </c>
      <c r="AZ35" s="11">
        <v>0</v>
      </c>
      <c r="BA35" s="11">
        <v>0</v>
      </c>
      <c r="BB35" s="11">
        <v>0</v>
      </c>
      <c r="BC35" s="11">
        <v>0</v>
      </c>
      <c r="BD35" s="11">
        <v>0</v>
      </c>
      <c r="BE35" s="11">
        <v>0</v>
      </c>
      <c r="BF35" s="11">
        <v>0</v>
      </c>
      <c r="BG35" s="11">
        <v>0</v>
      </c>
      <c r="BH35" s="11">
        <v>0</v>
      </c>
      <c r="BI35" s="11">
        <v>0</v>
      </c>
      <c r="BJ35" s="11">
        <v>0</v>
      </c>
      <c r="BK35" s="11">
        <v>0</v>
      </c>
      <c r="BL35" s="11">
        <v>0</v>
      </c>
      <c r="BM35" s="11">
        <v>0</v>
      </c>
      <c r="BN35" s="11">
        <v>0</v>
      </c>
      <c r="BO35" s="11">
        <v>0</v>
      </c>
      <c r="BP35" s="11">
        <v>0</v>
      </c>
      <c r="BQ35" s="11">
        <v>0</v>
      </c>
      <c r="BR35" s="11">
        <v>0</v>
      </c>
      <c r="BS35" s="11">
        <v>0</v>
      </c>
      <c r="BT35" s="11">
        <v>0</v>
      </c>
      <c r="BU35" s="11">
        <v>0</v>
      </c>
      <c r="BV35" s="11">
        <v>0</v>
      </c>
      <c r="BW35" s="11">
        <v>0</v>
      </c>
      <c r="BX35" s="11">
        <v>0</v>
      </c>
      <c r="BY35" s="11">
        <v>0</v>
      </c>
      <c r="BZ35" s="11">
        <v>0</v>
      </c>
      <c r="CA35" s="11">
        <v>0</v>
      </c>
      <c r="CB35" s="11">
        <v>0</v>
      </c>
      <c r="CC35" s="11">
        <v>0</v>
      </c>
      <c r="CD35" s="11">
        <v>0</v>
      </c>
      <c r="CE35" s="11">
        <v>0</v>
      </c>
      <c r="CF35" s="11">
        <v>0</v>
      </c>
      <c r="CG35" s="11">
        <v>0</v>
      </c>
      <c r="CH35" s="11">
        <v>0</v>
      </c>
      <c r="CI35" s="11">
        <v>0</v>
      </c>
      <c r="CJ35" s="11">
        <v>0</v>
      </c>
      <c r="CK35" s="11">
        <v>0</v>
      </c>
      <c r="CL35" s="11">
        <v>0</v>
      </c>
      <c r="CM35" s="11">
        <v>0</v>
      </c>
      <c r="CN35" s="11">
        <v>0</v>
      </c>
      <c r="CO35" s="11">
        <v>0</v>
      </c>
      <c r="CP35" s="11">
        <v>0</v>
      </c>
      <c r="CQ35" s="11">
        <v>0</v>
      </c>
      <c r="CR35" s="11">
        <v>0</v>
      </c>
      <c r="CS35" t="str">
        <f>IFERROR(INDEX('Initiative Summary'!$C$5:$C$25,MATCH($A35,'Initiative Summary'!$A$5:$A$25,0)),"")</f>
        <v>Westmark Region</v>
      </c>
    </row>
    <row r="36" spans="1:97" ht="15" customHeight="1" x14ac:dyDescent="0.25">
      <c r="A36" s="6" t="s">
        <v>36</v>
      </c>
      <c r="B36" s="7" t="s">
        <v>37</v>
      </c>
      <c r="C36" s="8" t="s">
        <v>206</v>
      </c>
      <c r="D36" s="8" t="s">
        <v>195</v>
      </c>
      <c r="E36" s="8" t="s">
        <v>206</v>
      </c>
      <c r="F36" s="8" t="s">
        <v>197</v>
      </c>
      <c r="G36" s="8"/>
      <c r="H36" s="8"/>
      <c r="I36" s="8"/>
      <c r="J36" s="8"/>
      <c r="K36" s="7"/>
      <c r="L36" s="8" t="s">
        <v>225</v>
      </c>
      <c r="M36" s="8" t="s">
        <v>199</v>
      </c>
      <c r="N36" s="21">
        <v>100</v>
      </c>
      <c r="O36" s="8" t="b">
        <v>0</v>
      </c>
      <c r="P36" s="8" t="s">
        <v>201</v>
      </c>
      <c r="Q36" s="8" t="s">
        <v>210</v>
      </c>
      <c r="R36" s="8" t="s">
        <v>210</v>
      </c>
      <c r="S36" s="8">
        <v>0.28000000000000003</v>
      </c>
      <c r="T36" s="21">
        <v>0.72</v>
      </c>
      <c r="U36" s="21">
        <v>0.72</v>
      </c>
      <c r="V36" s="21">
        <v>0.72</v>
      </c>
      <c r="W36" s="21">
        <v>0.72</v>
      </c>
      <c r="X36" s="8">
        <v>0</v>
      </c>
      <c r="Y36" s="8">
        <v>0</v>
      </c>
      <c r="Z36" s="8">
        <v>0</v>
      </c>
      <c r="AA36" s="8">
        <v>0</v>
      </c>
      <c r="AB36" s="8">
        <v>0</v>
      </c>
      <c r="AC36" s="8">
        <v>0</v>
      </c>
      <c r="AD36" s="8">
        <v>0</v>
      </c>
      <c r="AE36" s="8">
        <v>0</v>
      </c>
      <c r="AF36" s="8">
        <v>0</v>
      </c>
      <c r="AG36" s="8">
        <v>0</v>
      </c>
      <c r="AH36" s="8">
        <v>0</v>
      </c>
      <c r="AI36" s="8">
        <v>0.28000000000000003</v>
      </c>
      <c r="AJ36" s="21">
        <v>0.06</v>
      </c>
      <c r="AK36" s="21">
        <v>0.06</v>
      </c>
      <c r="AL36" s="21">
        <v>0.06</v>
      </c>
      <c r="AM36" s="21">
        <v>0.06</v>
      </c>
      <c r="AN36" s="21">
        <v>0.06</v>
      </c>
      <c r="AO36" s="21">
        <v>0.06</v>
      </c>
      <c r="AP36" s="21">
        <v>0.06</v>
      </c>
      <c r="AQ36" s="21">
        <v>0.06</v>
      </c>
      <c r="AR36" s="21">
        <v>0.06</v>
      </c>
      <c r="AS36" s="21">
        <v>0.06</v>
      </c>
      <c r="AT36" s="21">
        <v>0.06</v>
      </c>
      <c r="AU36" s="21">
        <v>0.06</v>
      </c>
      <c r="AV36" s="21">
        <v>0.06</v>
      </c>
      <c r="AW36" s="21">
        <v>0.06</v>
      </c>
      <c r="AX36" s="21">
        <v>0.06</v>
      </c>
      <c r="AY36" s="21">
        <v>0.06</v>
      </c>
      <c r="AZ36" s="21">
        <v>0.06</v>
      </c>
      <c r="BA36" s="21">
        <v>0.06</v>
      </c>
      <c r="BB36" s="21">
        <v>0.06</v>
      </c>
      <c r="BC36" s="21">
        <v>0.06</v>
      </c>
      <c r="BD36" s="21">
        <v>0.06</v>
      </c>
      <c r="BE36" s="21">
        <v>0.06</v>
      </c>
      <c r="BF36" s="21">
        <v>0.06</v>
      </c>
      <c r="BG36" s="21">
        <v>0.06</v>
      </c>
      <c r="BH36" s="21">
        <v>0.06</v>
      </c>
      <c r="BI36" s="21">
        <v>0.06</v>
      </c>
      <c r="BJ36" s="21">
        <v>0.06</v>
      </c>
      <c r="BK36" s="21">
        <v>0.06</v>
      </c>
      <c r="BL36" s="21">
        <v>0.06</v>
      </c>
      <c r="BM36" s="21">
        <v>0.06</v>
      </c>
      <c r="BN36" s="21">
        <v>0.06</v>
      </c>
      <c r="BO36" s="21">
        <v>0.06</v>
      </c>
      <c r="BP36" s="21">
        <v>0.06</v>
      </c>
      <c r="BQ36" s="21">
        <v>0.06</v>
      </c>
      <c r="BR36" s="21">
        <v>0.06</v>
      </c>
      <c r="BS36" s="21">
        <v>0.06</v>
      </c>
      <c r="BT36" s="21">
        <v>0.06</v>
      </c>
      <c r="BU36" s="21">
        <v>0.06</v>
      </c>
      <c r="BV36" s="21">
        <v>0.06</v>
      </c>
      <c r="BW36" s="21">
        <v>0.06</v>
      </c>
      <c r="BX36" s="21">
        <v>0.06</v>
      </c>
      <c r="BY36" s="21">
        <v>0.06</v>
      </c>
      <c r="BZ36" s="21">
        <v>0.06</v>
      </c>
      <c r="CA36" s="21">
        <v>0.06</v>
      </c>
      <c r="CB36" s="21">
        <v>0.06</v>
      </c>
      <c r="CC36" s="21">
        <v>0.06</v>
      </c>
      <c r="CD36" s="21">
        <v>0.06</v>
      </c>
      <c r="CE36" s="21">
        <v>0.06</v>
      </c>
      <c r="CF36" s="8">
        <v>0.72</v>
      </c>
      <c r="CG36" s="8">
        <v>0.06</v>
      </c>
      <c r="CH36" s="8">
        <v>0.06</v>
      </c>
      <c r="CI36" s="8">
        <v>0.06</v>
      </c>
      <c r="CJ36" s="8">
        <v>0.06</v>
      </c>
      <c r="CK36" s="8">
        <v>0.06</v>
      </c>
      <c r="CL36" s="8">
        <v>0.06</v>
      </c>
      <c r="CM36" s="8">
        <v>0.06</v>
      </c>
      <c r="CN36" s="8">
        <v>0.06</v>
      </c>
      <c r="CO36" s="8">
        <v>0.06</v>
      </c>
      <c r="CP36" s="8">
        <v>0.06</v>
      </c>
      <c r="CQ36" s="8">
        <v>0.06</v>
      </c>
      <c r="CR36" s="8">
        <v>0.06</v>
      </c>
      <c r="CS36" t="str">
        <f>IFERROR(INDEX('Initiative Summary'!$C$5:$C$25,MATCH($A36,'Initiative Summary'!$A$5:$A$25,0)),"")</f>
        <v>Westmark Region</v>
      </c>
    </row>
    <row r="37" spans="1:97" ht="15" customHeight="1" x14ac:dyDescent="0.25">
      <c r="A37" s="6" t="s">
        <v>36</v>
      </c>
      <c r="B37" s="10" t="s">
        <v>37</v>
      </c>
      <c r="C37" s="11" t="s">
        <v>206</v>
      </c>
      <c r="D37" s="11" t="s">
        <v>203</v>
      </c>
      <c r="E37" s="11" t="s">
        <v>206</v>
      </c>
      <c r="F37" s="11" t="s">
        <v>197</v>
      </c>
      <c r="G37" s="11"/>
      <c r="H37" s="11"/>
      <c r="I37" s="11"/>
      <c r="J37" s="11"/>
      <c r="K37" s="10"/>
      <c r="L37" s="11" t="s">
        <v>225</v>
      </c>
      <c r="M37" s="11" t="s">
        <v>199</v>
      </c>
      <c r="N37" s="20">
        <v>100</v>
      </c>
      <c r="O37" s="11" t="b">
        <v>0</v>
      </c>
      <c r="P37" s="11" t="s">
        <v>201</v>
      </c>
      <c r="Q37" s="11" t="s">
        <v>210</v>
      </c>
      <c r="R37" s="11" t="s">
        <v>210</v>
      </c>
      <c r="S37" s="11">
        <v>0.36</v>
      </c>
      <c r="T37" s="20">
        <v>1.02</v>
      </c>
      <c r="U37" s="20">
        <v>1.02</v>
      </c>
      <c r="V37" s="20">
        <v>1.02</v>
      </c>
      <c r="W37" s="20">
        <v>1.02</v>
      </c>
      <c r="X37" s="11">
        <v>0</v>
      </c>
      <c r="Y37" s="11">
        <v>0</v>
      </c>
      <c r="Z37" s="11">
        <v>0</v>
      </c>
      <c r="AA37" s="11">
        <v>0</v>
      </c>
      <c r="AB37" s="11">
        <v>0</v>
      </c>
      <c r="AC37" s="11">
        <v>0</v>
      </c>
      <c r="AD37" s="11">
        <v>0</v>
      </c>
      <c r="AE37" s="11">
        <v>0</v>
      </c>
      <c r="AF37" s="11">
        <v>0</v>
      </c>
      <c r="AG37" s="11">
        <v>0</v>
      </c>
      <c r="AH37" s="11">
        <v>0</v>
      </c>
      <c r="AI37" s="11">
        <v>0.36</v>
      </c>
      <c r="AJ37" s="20">
        <v>8.5000000000000006E-2</v>
      </c>
      <c r="AK37" s="20">
        <v>8.5000000000000006E-2</v>
      </c>
      <c r="AL37" s="20">
        <v>8.5000000000000006E-2</v>
      </c>
      <c r="AM37" s="20">
        <v>8.5000000000000006E-2</v>
      </c>
      <c r="AN37" s="20">
        <v>8.5000000000000006E-2</v>
      </c>
      <c r="AO37" s="20">
        <v>8.5000000000000006E-2</v>
      </c>
      <c r="AP37" s="20">
        <v>8.5000000000000006E-2</v>
      </c>
      <c r="AQ37" s="20">
        <v>8.5000000000000006E-2</v>
      </c>
      <c r="AR37" s="20">
        <v>8.5000000000000006E-2</v>
      </c>
      <c r="AS37" s="20">
        <v>8.5000000000000006E-2</v>
      </c>
      <c r="AT37" s="20">
        <v>8.5000000000000006E-2</v>
      </c>
      <c r="AU37" s="20">
        <v>8.5000000000000006E-2</v>
      </c>
      <c r="AV37" s="20">
        <v>8.5000000000000006E-2</v>
      </c>
      <c r="AW37" s="20">
        <v>8.5000000000000006E-2</v>
      </c>
      <c r="AX37" s="20">
        <v>8.5000000000000006E-2</v>
      </c>
      <c r="AY37" s="20">
        <v>8.5000000000000006E-2</v>
      </c>
      <c r="AZ37" s="20">
        <v>8.5000000000000006E-2</v>
      </c>
      <c r="BA37" s="20">
        <v>8.5000000000000006E-2</v>
      </c>
      <c r="BB37" s="20">
        <v>8.5000000000000006E-2</v>
      </c>
      <c r="BC37" s="20">
        <v>8.5000000000000006E-2</v>
      </c>
      <c r="BD37" s="20">
        <v>8.5000000000000006E-2</v>
      </c>
      <c r="BE37" s="20">
        <v>8.5000000000000006E-2</v>
      </c>
      <c r="BF37" s="20">
        <v>8.5000000000000006E-2</v>
      </c>
      <c r="BG37" s="20">
        <v>8.5000000000000006E-2</v>
      </c>
      <c r="BH37" s="20">
        <v>8.5000000000000006E-2</v>
      </c>
      <c r="BI37" s="20">
        <v>8.5000000000000006E-2</v>
      </c>
      <c r="BJ37" s="20">
        <v>8.5000000000000006E-2</v>
      </c>
      <c r="BK37" s="20">
        <v>8.5000000000000006E-2</v>
      </c>
      <c r="BL37" s="20">
        <v>8.5000000000000006E-2</v>
      </c>
      <c r="BM37" s="20">
        <v>8.5000000000000006E-2</v>
      </c>
      <c r="BN37" s="20">
        <v>8.5000000000000006E-2</v>
      </c>
      <c r="BO37" s="20">
        <v>8.5000000000000006E-2</v>
      </c>
      <c r="BP37" s="20">
        <v>8.5000000000000006E-2</v>
      </c>
      <c r="BQ37" s="20">
        <v>8.5000000000000006E-2</v>
      </c>
      <c r="BR37" s="20">
        <v>8.5000000000000006E-2</v>
      </c>
      <c r="BS37" s="20">
        <v>8.5000000000000006E-2</v>
      </c>
      <c r="BT37" s="20">
        <v>8.5000000000000006E-2</v>
      </c>
      <c r="BU37" s="20">
        <v>8.5000000000000006E-2</v>
      </c>
      <c r="BV37" s="20">
        <v>8.5000000000000006E-2</v>
      </c>
      <c r="BW37" s="20">
        <v>8.5000000000000006E-2</v>
      </c>
      <c r="BX37" s="20">
        <v>8.5000000000000006E-2</v>
      </c>
      <c r="BY37" s="20">
        <v>8.5000000000000006E-2</v>
      </c>
      <c r="BZ37" s="20">
        <v>8.5000000000000006E-2</v>
      </c>
      <c r="CA37" s="20">
        <v>8.5000000000000006E-2</v>
      </c>
      <c r="CB37" s="20">
        <v>8.5000000000000006E-2</v>
      </c>
      <c r="CC37" s="20">
        <v>8.5000000000000006E-2</v>
      </c>
      <c r="CD37" s="20">
        <v>8.5000000000000006E-2</v>
      </c>
      <c r="CE37" s="20">
        <v>8.5000000000000006E-2</v>
      </c>
      <c r="CF37" s="11">
        <v>1.02</v>
      </c>
      <c r="CG37" s="11">
        <v>8.5000000000000006E-2</v>
      </c>
      <c r="CH37" s="11">
        <v>8.5000000000000006E-2</v>
      </c>
      <c r="CI37" s="11">
        <v>8.5000000000000006E-2</v>
      </c>
      <c r="CJ37" s="11">
        <v>8.5000000000000006E-2</v>
      </c>
      <c r="CK37" s="11">
        <v>8.5000000000000006E-2</v>
      </c>
      <c r="CL37" s="11">
        <v>8.5000000000000006E-2</v>
      </c>
      <c r="CM37" s="11">
        <v>8.5000000000000006E-2</v>
      </c>
      <c r="CN37" s="11">
        <v>8.5000000000000006E-2</v>
      </c>
      <c r="CO37" s="11">
        <v>8.5000000000000006E-2</v>
      </c>
      <c r="CP37" s="11">
        <v>8.5000000000000006E-2</v>
      </c>
      <c r="CQ37" s="11">
        <v>8.5000000000000006E-2</v>
      </c>
      <c r="CR37" s="11">
        <v>8.5000000000000006E-2</v>
      </c>
      <c r="CS37" t="str">
        <f>IFERROR(INDEX('Initiative Summary'!$C$5:$C$25,MATCH($A37,'Initiative Summary'!$A$5:$A$25,0)),"")</f>
        <v>Westmark Region</v>
      </c>
    </row>
    <row r="38" spans="1:97" ht="15" customHeight="1" x14ac:dyDescent="0.25">
      <c r="A38" s="6" t="s">
        <v>36</v>
      </c>
      <c r="B38" s="7" t="s">
        <v>37</v>
      </c>
      <c r="C38" s="8" t="s">
        <v>206</v>
      </c>
      <c r="D38" s="8" t="s">
        <v>204</v>
      </c>
      <c r="E38" s="8" t="s">
        <v>206</v>
      </c>
      <c r="F38" s="8" t="s">
        <v>197</v>
      </c>
      <c r="G38" s="8"/>
      <c r="H38" s="8"/>
      <c r="I38" s="8"/>
      <c r="J38" s="8"/>
      <c r="K38" s="7"/>
      <c r="L38" s="8" t="s">
        <v>225</v>
      </c>
      <c r="M38" s="8" t="s">
        <v>199</v>
      </c>
      <c r="N38" s="21">
        <v>100</v>
      </c>
      <c r="O38" s="8" t="b">
        <v>0</v>
      </c>
      <c r="P38" s="8" t="s">
        <v>201</v>
      </c>
      <c r="Q38" s="8" t="s">
        <v>210</v>
      </c>
      <c r="R38" s="8" t="s">
        <v>210</v>
      </c>
      <c r="S38" s="8"/>
      <c r="T38" s="8"/>
      <c r="U38" s="8"/>
      <c r="V38" s="8"/>
      <c r="W38" s="8"/>
      <c r="X38" s="8">
        <v>0</v>
      </c>
      <c r="Y38" s="8">
        <v>0</v>
      </c>
      <c r="Z38" s="8">
        <v>0</v>
      </c>
      <c r="AA38" s="8">
        <v>0</v>
      </c>
      <c r="AB38" s="8">
        <v>0</v>
      </c>
      <c r="AC38" s="8">
        <v>0</v>
      </c>
      <c r="AD38" s="8">
        <v>0</v>
      </c>
      <c r="AE38" s="8">
        <v>0</v>
      </c>
      <c r="AF38" s="8">
        <v>0</v>
      </c>
      <c r="AG38" s="8">
        <v>0</v>
      </c>
      <c r="AH38" s="8">
        <v>0</v>
      </c>
      <c r="AI38" s="8">
        <v>0</v>
      </c>
      <c r="AJ38" s="8">
        <v>0</v>
      </c>
      <c r="AK38" s="8">
        <v>0</v>
      </c>
      <c r="AL38" s="8">
        <v>0</v>
      </c>
      <c r="AM38" s="8">
        <v>0</v>
      </c>
      <c r="AN38" s="8">
        <v>0</v>
      </c>
      <c r="AO38" s="8">
        <v>0</v>
      </c>
      <c r="AP38" s="8">
        <v>0</v>
      </c>
      <c r="AQ38" s="8">
        <v>0</v>
      </c>
      <c r="AR38" s="8">
        <v>0</v>
      </c>
      <c r="AS38" s="8">
        <v>0</v>
      </c>
      <c r="AT38" s="8">
        <v>0</v>
      </c>
      <c r="AU38" s="8">
        <v>0</v>
      </c>
      <c r="AV38" s="8">
        <v>0</v>
      </c>
      <c r="AW38" s="8">
        <v>0</v>
      </c>
      <c r="AX38" s="8">
        <v>0</v>
      </c>
      <c r="AY38" s="8">
        <v>0</v>
      </c>
      <c r="AZ38" s="8">
        <v>0</v>
      </c>
      <c r="BA38" s="8">
        <v>0</v>
      </c>
      <c r="BB38" s="8">
        <v>0</v>
      </c>
      <c r="BC38" s="8">
        <v>0</v>
      </c>
      <c r="BD38" s="8">
        <v>0</v>
      </c>
      <c r="BE38" s="8">
        <v>0</v>
      </c>
      <c r="BF38" s="8">
        <v>0</v>
      </c>
      <c r="BG38" s="8">
        <v>0</v>
      </c>
      <c r="BH38" s="8">
        <v>0</v>
      </c>
      <c r="BI38" s="8">
        <v>0</v>
      </c>
      <c r="BJ38" s="8">
        <v>0</v>
      </c>
      <c r="BK38" s="8">
        <v>0</v>
      </c>
      <c r="BL38" s="8">
        <v>0</v>
      </c>
      <c r="BM38" s="8">
        <v>0</v>
      </c>
      <c r="BN38" s="8">
        <v>0</v>
      </c>
      <c r="BO38" s="8">
        <v>0</v>
      </c>
      <c r="BP38" s="8">
        <v>0</v>
      </c>
      <c r="BQ38" s="8">
        <v>0</v>
      </c>
      <c r="BR38" s="8">
        <v>0</v>
      </c>
      <c r="BS38" s="8">
        <v>0</v>
      </c>
      <c r="BT38" s="8">
        <v>0</v>
      </c>
      <c r="BU38" s="8">
        <v>0</v>
      </c>
      <c r="BV38" s="8">
        <v>0</v>
      </c>
      <c r="BW38" s="8">
        <v>0</v>
      </c>
      <c r="BX38" s="8">
        <v>0</v>
      </c>
      <c r="BY38" s="8">
        <v>0</v>
      </c>
      <c r="BZ38" s="8">
        <v>0</v>
      </c>
      <c r="CA38" s="8">
        <v>0</v>
      </c>
      <c r="CB38" s="8">
        <v>0</v>
      </c>
      <c r="CC38" s="8">
        <v>0</v>
      </c>
      <c r="CD38" s="8">
        <v>0</v>
      </c>
      <c r="CE38" s="8">
        <v>0</v>
      </c>
      <c r="CF38" s="8">
        <v>0</v>
      </c>
      <c r="CG38" s="8">
        <v>0</v>
      </c>
      <c r="CH38" s="8">
        <v>0</v>
      </c>
      <c r="CI38" s="8">
        <v>0</v>
      </c>
      <c r="CJ38" s="8">
        <v>0</v>
      </c>
      <c r="CK38" s="8">
        <v>0</v>
      </c>
      <c r="CL38" s="8">
        <v>0</v>
      </c>
      <c r="CM38" s="8">
        <v>0</v>
      </c>
      <c r="CN38" s="8">
        <v>0</v>
      </c>
      <c r="CO38" s="8">
        <v>0</v>
      </c>
      <c r="CP38" s="8">
        <v>0</v>
      </c>
      <c r="CQ38" s="8">
        <v>0</v>
      </c>
      <c r="CR38" s="8">
        <v>0</v>
      </c>
      <c r="CS38" t="str">
        <f>IFERROR(INDEX('Initiative Summary'!$C$5:$C$25,MATCH($A38,'Initiative Summary'!$A$5:$A$25,0)),"")</f>
        <v>Westmark Region</v>
      </c>
    </row>
    <row r="39" spans="1:97" ht="21.75" customHeight="1" x14ac:dyDescent="0.25">
      <c r="A39" s="6" t="s">
        <v>42</v>
      </c>
      <c r="B39" s="10" t="s">
        <v>655</v>
      </c>
      <c r="C39" s="11" t="s">
        <v>194</v>
      </c>
      <c r="D39" s="11" t="s">
        <v>195</v>
      </c>
      <c r="E39" s="11" t="s">
        <v>196</v>
      </c>
      <c r="F39" s="11" t="s">
        <v>197</v>
      </c>
      <c r="G39" s="11"/>
      <c r="H39" s="11"/>
      <c r="I39" s="11"/>
      <c r="J39" s="11"/>
      <c r="K39" s="10"/>
      <c r="L39" s="11" t="s">
        <v>226</v>
      </c>
      <c r="M39" s="11" t="s">
        <v>199</v>
      </c>
      <c r="N39" s="20">
        <v>0</v>
      </c>
      <c r="O39" s="11" t="b">
        <v>0</v>
      </c>
      <c r="P39" s="11" t="s">
        <v>201</v>
      </c>
      <c r="Q39" s="11" t="s">
        <v>227</v>
      </c>
      <c r="R39" s="11" t="s">
        <v>227</v>
      </c>
      <c r="S39" s="11">
        <v>0</v>
      </c>
      <c r="T39" s="20">
        <v>0.82</v>
      </c>
      <c r="U39" s="20">
        <v>2.46</v>
      </c>
      <c r="V39" s="20">
        <v>2.46</v>
      </c>
      <c r="W39" s="20">
        <v>2.46</v>
      </c>
      <c r="X39" s="11">
        <v>0</v>
      </c>
      <c r="Y39" s="11">
        <v>0</v>
      </c>
      <c r="Z39" s="11">
        <v>0</v>
      </c>
      <c r="AA39" s="11">
        <v>0</v>
      </c>
      <c r="AB39" s="11">
        <v>0</v>
      </c>
      <c r="AC39" s="11">
        <v>0</v>
      </c>
      <c r="AD39" s="11">
        <v>0</v>
      </c>
      <c r="AE39" s="11">
        <v>0</v>
      </c>
      <c r="AF39" s="11">
        <v>0</v>
      </c>
      <c r="AG39" s="11">
        <v>0</v>
      </c>
      <c r="AH39" s="11">
        <v>0</v>
      </c>
      <c r="AI39" s="11">
        <v>0</v>
      </c>
      <c r="AJ39" s="20">
        <v>0</v>
      </c>
      <c r="AK39" s="20">
        <v>0</v>
      </c>
      <c r="AL39" s="20">
        <v>0</v>
      </c>
      <c r="AM39" s="20">
        <v>0</v>
      </c>
      <c r="AN39" s="20">
        <v>0</v>
      </c>
      <c r="AO39" s="20">
        <v>0</v>
      </c>
      <c r="AP39" s="20">
        <v>0</v>
      </c>
      <c r="AQ39" s="20">
        <v>0</v>
      </c>
      <c r="AR39" s="20">
        <v>0</v>
      </c>
      <c r="AS39" s="20">
        <v>0</v>
      </c>
      <c r="AT39" s="20">
        <v>0</v>
      </c>
      <c r="AU39" s="20">
        <v>0.82</v>
      </c>
      <c r="AV39" s="20">
        <v>0.20499999999999999</v>
      </c>
      <c r="AW39" s="20">
        <v>0.20499999999999999</v>
      </c>
      <c r="AX39" s="20">
        <v>0.20499999999999999</v>
      </c>
      <c r="AY39" s="20">
        <v>0.20499999999999999</v>
      </c>
      <c r="AZ39" s="20">
        <v>0.20499999999999999</v>
      </c>
      <c r="BA39" s="20">
        <v>0.20499999999999999</v>
      </c>
      <c r="BB39" s="20">
        <v>0.20499999999999999</v>
      </c>
      <c r="BC39" s="20">
        <v>0.20499999999999999</v>
      </c>
      <c r="BD39" s="20">
        <v>0.20499999999999999</v>
      </c>
      <c r="BE39" s="20">
        <v>0.20499999999999999</v>
      </c>
      <c r="BF39" s="20">
        <v>0.20499999999999999</v>
      </c>
      <c r="BG39" s="20">
        <v>0.20499999999999999</v>
      </c>
      <c r="BH39" s="20">
        <v>0.20499999999999999</v>
      </c>
      <c r="BI39" s="20">
        <v>0.20499999999999999</v>
      </c>
      <c r="BJ39" s="20">
        <v>0.20499999999999999</v>
      </c>
      <c r="BK39" s="20">
        <v>0.20499999999999999</v>
      </c>
      <c r="BL39" s="20">
        <v>0.20499999999999999</v>
      </c>
      <c r="BM39" s="20">
        <v>0.20499999999999999</v>
      </c>
      <c r="BN39" s="20">
        <v>0.20499999999999999</v>
      </c>
      <c r="BO39" s="20">
        <v>0.20499999999999999</v>
      </c>
      <c r="BP39" s="20">
        <v>0.20499999999999999</v>
      </c>
      <c r="BQ39" s="20">
        <v>0.20499999999999999</v>
      </c>
      <c r="BR39" s="20">
        <v>0.20499999999999999</v>
      </c>
      <c r="BS39" s="20">
        <v>0.20499999999999999</v>
      </c>
      <c r="BT39" s="20">
        <v>0.20499999999999999</v>
      </c>
      <c r="BU39" s="20">
        <v>0.20499999999999999</v>
      </c>
      <c r="BV39" s="20">
        <v>0.20499999999999999</v>
      </c>
      <c r="BW39" s="20">
        <v>0.20499999999999999</v>
      </c>
      <c r="BX39" s="20">
        <v>0.20499999999999999</v>
      </c>
      <c r="BY39" s="20">
        <v>0.20499999999999999</v>
      </c>
      <c r="BZ39" s="20">
        <v>0.20499999999999999</v>
      </c>
      <c r="CA39" s="20">
        <v>0.20499999999999999</v>
      </c>
      <c r="CB39" s="20">
        <v>0.20499999999999999</v>
      </c>
      <c r="CC39" s="20">
        <v>0.20499999999999999</v>
      </c>
      <c r="CD39" s="20">
        <v>0.20499999999999999</v>
      </c>
      <c r="CE39" s="20">
        <v>0.20499999999999999</v>
      </c>
      <c r="CF39" s="11">
        <v>2.46</v>
      </c>
      <c r="CG39" s="11">
        <v>0.20499999999999999</v>
      </c>
      <c r="CH39" s="11">
        <v>0.20499999999999999</v>
      </c>
      <c r="CI39" s="11">
        <v>0.20499999999999999</v>
      </c>
      <c r="CJ39" s="11">
        <v>0.20499999999999999</v>
      </c>
      <c r="CK39" s="11">
        <v>0.20499999999999999</v>
      </c>
      <c r="CL39" s="11">
        <v>0.20499999999999999</v>
      </c>
      <c r="CM39" s="11">
        <v>0.20499999999999999</v>
      </c>
      <c r="CN39" s="11">
        <v>0.20499999999999999</v>
      </c>
      <c r="CO39" s="11">
        <v>0.20499999999999999</v>
      </c>
      <c r="CP39" s="11">
        <v>0.20499999999999999</v>
      </c>
      <c r="CQ39" s="11">
        <v>0.20499999999999999</v>
      </c>
      <c r="CR39" s="11">
        <v>0.20499999999999999</v>
      </c>
      <c r="CS39" t="str">
        <f>IFERROR(INDEX('Initiative Summary'!$C$5:$C$25,MATCH($A39,'Initiative Summary'!$A$5:$A$25,0)),"")</f>
        <v>Westmark Region</v>
      </c>
    </row>
    <row r="40" spans="1:97" ht="21.75" customHeight="1" x14ac:dyDescent="0.25">
      <c r="A40" s="6" t="s">
        <v>42</v>
      </c>
      <c r="B40" s="7" t="s">
        <v>655</v>
      </c>
      <c r="C40" s="8" t="s">
        <v>194</v>
      </c>
      <c r="D40" s="8" t="s">
        <v>203</v>
      </c>
      <c r="E40" s="8" t="s">
        <v>196</v>
      </c>
      <c r="F40" s="8" t="s">
        <v>197</v>
      </c>
      <c r="G40" s="8"/>
      <c r="H40" s="8"/>
      <c r="I40" s="8"/>
      <c r="J40" s="8"/>
      <c r="K40" s="7"/>
      <c r="L40" s="8" t="s">
        <v>226</v>
      </c>
      <c r="M40" s="8" t="s">
        <v>199</v>
      </c>
      <c r="N40" s="21">
        <v>0</v>
      </c>
      <c r="O40" s="8" t="b">
        <v>0</v>
      </c>
      <c r="P40" s="8" t="s">
        <v>201</v>
      </c>
      <c r="Q40" s="8" t="s">
        <v>227</v>
      </c>
      <c r="R40" s="8" t="s">
        <v>227</v>
      </c>
      <c r="S40" s="8">
        <v>0</v>
      </c>
      <c r="T40" s="21">
        <v>1.02</v>
      </c>
      <c r="U40" s="21">
        <v>3.08</v>
      </c>
      <c r="V40" s="21">
        <v>3.08</v>
      </c>
      <c r="W40" s="21">
        <v>3.08</v>
      </c>
      <c r="X40" s="8">
        <v>0</v>
      </c>
      <c r="Y40" s="8">
        <v>0</v>
      </c>
      <c r="Z40" s="8">
        <v>0</v>
      </c>
      <c r="AA40" s="8">
        <v>0</v>
      </c>
      <c r="AB40" s="8">
        <v>0</v>
      </c>
      <c r="AC40" s="8">
        <v>0</v>
      </c>
      <c r="AD40" s="8">
        <v>0</v>
      </c>
      <c r="AE40" s="8">
        <v>0</v>
      </c>
      <c r="AF40" s="8">
        <v>0</v>
      </c>
      <c r="AG40" s="8">
        <v>0</v>
      </c>
      <c r="AH40" s="8">
        <v>0</v>
      </c>
      <c r="AI40" s="8">
        <v>0</v>
      </c>
      <c r="AJ40" s="21">
        <v>0</v>
      </c>
      <c r="AK40" s="21">
        <v>0</v>
      </c>
      <c r="AL40" s="21">
        <v>0</v>
      </c>
      <c r="AM40" s="21">
        <v>0</v>
      </c>
      <c r="AN40" s="21">
        <v>0</v>
      </c>
      <c r="AO40" s="21">
        <v>0</v>
      </c>
      <c r="AP40" s="21">
        <v>0</v>
      </c>
      <c r="AQ40" s="21">
        <v>0</v>
      </c>
      <c r="AR40" s="21">
        <v>0</v>
      </c>
      <c r="AS40" s="21">
        <v>0</v>
      </c>
      <c r="AT40" s="21">
        <v>0</v>
      </c>
      <c r="AU40" s="21">
        <v>1.02</v>
      </c>
      <c r="AV40" s="21">
        <v>0.25666666666666665</v>
      </c>
      <c r="AW40" s="21">
        <v>0.25666666666666665</v>
      </c>
      <c r="AX40" s="21">
        <v>0.25666666666666665</v>
      </c>
      <c r="AY40" s="21">
        <v>0.25666666666666665</v>
      </c>
      <c r="AZ40" s="21">
        <v>0.25666666666666665</v>
      </c>
      <c r="BA40" s="21">
        <v>0.25666666666666665</v>
      </c>
      <c r="BB40" s="21">
        <v>0.25666666666666665</v>
      </c>
      <c r="BC40" s="21">
        <v>0.25666666666666665</v>
      </c>
      <c r="BD40" s="21">
        <v>0.25666666666666665</v>
      </c>
      <c r="BE40" s="21">
        <v>0.25666666666666665</v>
      </c>
      <c r="BF40" s="21">
        <v>0.25666666666666665</v>
      </c>
      <c r="BG40" s="21">
        <v>0.25666666666666665</v>
      </c>
      <c r="BH40" s="21">
        <v>0.25666666666666665</v>
      </c>
      <c r="BI40" s="21">
        <v>0.25666666666666665</v>
      </c>
      <c r="BJ40" s="21">
        <v>0.25666666666666665</v>
      </c>
      <c r="BK40" s="21">
        <v>0.25666666666666665</v>
      </c>
      <c r="BL40" s="21">
        <v>0.25666666666666665</v>
      </c>
      <c r="BM40" s="21">
        <v>0.25666666666666665</v>
      </c>
      <c r="BN40" s="21">
        <v>0.25666666666666665</v>
      </c>
      <c r="BO40" s="21">
        <v>0.25666666666666665</v>
      </c>
      <c r="BP40" s="21">
        <v>0.25666666666666665</v>
      </c>
      <c r="BQ40" s="21">
        <v>0.25666666666666665</v>
      </c>
      <c r="BR40" s="21">
        <v>0.25666666666666665</v>
      </c>
      <c r="BS40" s="21">
        <v>0.25666666666666665</v>
      </c>
      <c r="BT40" s="21">
        <v>0.25666666666666665</v>
      </c>
      <c r="BU40" s="21">
        <v>0.25666666666666665</v>
      </c>
      <c r="BV40" s="21">
        <v>0.25666666666666665</v>
      </c>
      <c r="BW40" s="21">
        <v>0.25666666666666665</v>
      </c>
      <c r="BX40" s="21">
        <v>0.25666666666666665</v>
      </c>
      <c r="BY40" s="21">
        <v>0.25666666666666665</v>
      </c>
      <c r="BZ40" s="21">
        <v>0.25666666666666665</v>
      </c>
      <c r="CA40" s="21">
        <v>0.25666666666666665</v>
      </c>
      <c r="CB40" s="21">
        <v>0.25666666666666665</v>
      </c>
      <c r="CC40" s="21">
        <v>0.25666666666666665</v>
      </c>
      <c r="CD40" s="21">
        <v>0.25666666666666665</v>
      </c>
      <c r="CE40" s="21">
        <v>0.25666666666666665</v>
      </c>
      <c r="CF40" s="8">
        <v>3.08</v>
      </c>
      <c r="CG40" s="8">
        <v>0.25666666666666665</v>
      </c>
      <c r="CH40" s="8">
        <v>0.25666666666666665</v>
      </c>
      <c r="CI40" s="8">
        <v>0.25666666666666665</v>
      </c>
      <c r="CJ40" s="8">
        <v>0.25666666666666665</v>
      </c>
      <c r="CK40" s="8">
        <v>0.25666666666666665</v>
      </c>
      <c r="CL40" s="8">
        <v>0.25666666666666665</v>
      </c>
      <c r="CM40" s="8">
        <v>0.25666666666666665</v>
      </c>
      <c r="CN40" s="8">
        <v>0.25666666666666665</v>
      </c>
      <c r="CO40" s="8">
        <v>0.25666666666666665</v>
      </c>
      <c r="CP40" s="8">
        <v>0.25666666666666665</v>
      </c>
      <c r="CQ40" s="8">
        <v>0.25666666666666665</v>
      </c>
      <c r="CR40" s="8">
        <v>0.25666666666666665</v>
      </c>
      <c r="CS40" t="str">
        <f>IFERROR(INDEX('Initiative Summary'!$C$5:$C$25,MATCH($A40,'Initiative Summary'!$A$5:$A$25,0)),"")</f>
        <v>Westmark Region</v>
      </c>
    </row>
    <row r="41" spans="1:97" ht="21.75" customHeight="1" x14ac:dyDescent="0.25">
      <c r="A41" s="6" t="s">
        <v>42</v>
      </c>
      <c r="B41" s="10" t="s">
        <v>655</v>
      </c>
      <c r="C41" s="11" t="s">
        <v>194</v>
      </c>
      <c r="D41" s="11" t="s">
        <v>204</v>
      </c>
      <c r="E41" s="11" t="s">
        <v>196</v>
      </c>
      <c r="F41" s="11" t="s">
        <v>197</v>
      </c>
      <c r="G41" s="11"/>
      <c r="H41" s="11"/>
      <c r="I41" s="11"/>
      <c r="J41" s="11"/>
      <c r="K41" s="10"/>
      <c r="L41" s="11" t="s">
        <v>226</v>
      </c>
      <c r="M41" s="11" t="s">
        <v>199</v>
      </c>
      <c r="N41" s="20">
        <v>0</v>
      </c>
      <c r="O41" s="11" t="b">
        <v>0</v>
      </c>
      <c r="P41" s="11" t="s">
        <v>201</v>
      </c>
      <c r="Q41" s="11" t="s">
        <v>227</v>
      </c>
      <c r="R41" s="11" t="s">
        <v>227</v>
      </c>
      <c r="S41" s="11"/>
      <c r="T41" s="11"/>
      <c r="U41" s="11"/>
      <c r="V41" s="11"/>
      <c r="W41" s="11"/>
      <c r="X41" s="11">
        <v>0</v>
      </c>
      <c r="Y41" s="11">
        <v>0</v>
      </c>
      <c r="Z41" s="11">
        <v>0</v>
      </c>
      <c r="AA41" s="11">
        <v>0</v>
      </c>
      <c r="AB41" s="11">
        <v>0</v>
      </c>
      <c r="AC41" s="11">
        <v>0</v>
      </c>
      <c r="AD41" s="11">
        <v>0</v>
      </c>
      <c r="AE41" s="11">
        <v>0</v>
      </c>
      <c r="AF41" s="11">
        <v>0</v>
      </c>
      <c r="AG41" s="11">
        <v>0</v>
      </c>
      <c r="AH41" s="11">
        <v>0</v>
      </c>
      <c r="AI41" s="11">
        <v>0</v>
      </c>
      <c r="AJ41" s="11">
        <v>0</v>
      </c>
      <c r="AK41" s="11">
        <v>0</v>
      </c>
      <c r="AL41" s="11">
        <v>0</v>
      </c>
      <c r="AM41" s="11">
        <v>0</v>
      </c>
      <c r="AN41" s="11">
        <v>0</v>
      </c>
      <c r="AO41" s="11">
        <v>0</v>
      </c>
      <c r="AP41" s="11">
        <v>0</v>
      </c>
      <c r="AQ41" s="11">
        <v>0</v>
      </c>
      <c r="AR41" s="11">
        <v>0</v>
      </c>
      <c r="AS41" s="11">
        <v>0</v>
      </c>
      <c r="AT41" s="11">
        <v>0</v>
      </c>
      <c r="AU41" s="11">
        <v>0</v>
      </c>
      <c r="AV41" s="11">
        <v>0</v>
      </c>
      <c r="AW41" s="11">
        <v>0</v>
      </c>
      <c r="AX41" s="11">
        <v>0</v>
      </c>
      <c r="AY41" s="11">
        <v>0</v>
      </c>
      <c r="AZ41" s="11">
        <v>0</v>
      </c>
      <c r="BA41" s="11">
        <v>0</v>
      </c>
      <c r="BB41" s="11">
        <v>0</v>
      </c>
      <c r="BC41" s="11">
        <v>0</v>
      </c>
      <c r="BD41" s="11">
        <v>0</v>
      </c>
      <c r="BE41" s="11">
        <v>0</v>
      </c>
      <c r="BF41" s="11">
        <v>0</v>
      </c>
      <c r="BG41" s="11">
        <v>0</v>
      </c>
      <c r="BH41" s="11">
        <v>0</v>
      </c>
      <c r="BI41" s="11">
        <v>0</v>
      </c>
      <c r="BJ41" s="11">
        <v>0</v>
      </c>
      <c r="BK41" s="11">
        <v>0</v>
      </c>
      <c r="BL41" s="11">
        <v>0</v>
      </c>
      <c r="BM41" s="11">
        <v>0</v>
      </c>
      <c r="BN41" s="11">
        <v>0</v>
      </c>
      <c r="BO41" s="11">
        <v>0</v>
      </c>
      <c r="BP41" s="11">
        <v>0</v>
      </c>
      <c r="BQ41" s="11">
        <v>0</v>
      </c>
      <c r="BR41" s="11">
        <v>0</v>
      </c>
      <c r="BS41" s="11">
        <v>0</v>
      </c>
      <c r="BT41" s="11">
        <v>0</v>
      </c>
      <c r="BU41" s="11">
        <v>0</v>
      </c>
      <c r="BV41" s="11">
        <v>0</v>
      </c>
      <c r="BW41" s="11">
        <v>0</v>
      </c>
      <c r="BX41" s="11">
        <v>0</v>
      </c>
      <c r="BY41" s="11">
        <v>0</v>
      </c>
      <c r="BZ41" s="11">
        <v>0</v>
      </c>
      <c r="CA41" s="11">
        <v>0</v>
      </c>
      <c r="CB41" s="11">
        <v>0</v>
      </c>
      <c r="CC41" s="11">
        <v>0</v>
      </c>
      <c r="CD41" s="11">
        <v>0</v>
      </c>
      <c r="CE41" s="11">
        <v>0</v>
      </c>
      <c r="CF41" s="11">
        <v>0</v>
      </c>
      <c r="CG41" s="11">
        <v>0</v>
      </c>
      <c r="CH41" s="11">
        <v>0</v>
      </c>
      <c r="CI41" s="11">
        <v>0</v>
      </c>
      <c r="CJ41" s="11">
        <v>0</v>
      </c>
      <c r="CK41" s="11">
        <v>0</v>
      </c>
      <c r="CL41" s="11">
        <v>0</v>
      </c>
      <c r="CM41" s="11">
        <v>0</v>
      </c>
      <c r="CN41" s="11">
        <v>0</v>
      </c>
      <c r="CO41" s="11">
        <v>0</v>
      </c>
      <c r="CP41" s="11">
        <v>0</v>
      </c>
      <c r="CQ41" s="11">
        <v>0</v>
      </c>
      <c r="CR41" s="11">
        <v>0</v>
      </c>
      <c r="CS41" t="str">
        <f>IFERROR(INDEX('Initiative Summary'!$C$5:$C$25,MATCH($A41,'Initiative Summary'!$A$5:$A$25,0)),"")</f>
        <v>Westmark Region</v>
      </c>
    </row>
    <row r="42" spans="1:97" ht="21.75" customHeight="1" x14ac:dyDescent="0.25">
      <c r="A42" s="6" t="s">
        <v>42</v>
      </c>
      <c r="B42" s="7" t="s">
        <v>655</v>
      </c>
      <c r="C42" s="8" t="s">
        <v>205</v>
      </c>
      <c r="D42" s="8" t="s">
        <v>195</v>
      </c>
      <c r="E42" s="8" t="s">
        <v>206</v>
      </c>
      <c r="F42" s="8" t="s">
        <v>207</v>
      </c>
      <c r="G42" s="8"/>
      <c r="H42" s="8" t="s">
        <v>215</v>
      </c>
      <c r="I42" s="8" t="s">
        <v>216</v>
      </c>
      <c r="J42" s="8"/>
      <c r="K42" s="7"/>
      <c r="L42" s="8" t="s">
        <v>228</v>
      </c>
      <c r="M42" s="8" t="s">
        <v>199</v>
      </c>
      <c r="N42" s="21">
        <v>3</v>
      </c>
      <c r="O42" s="8" t="b">
        <v>0</v>
      </c>
      <c r="P42" s="8" t="s">
        <v>218</v>
      </c>
      <c r="Q42" s="8" t="s">
        <v>227</v>
      </c>
      <c r="R42" s="8" t="s">
        <v>227</v>
      </c>
      <c r="S42" s="8"/>
      <c r="T42" s="8"/>
      <c r="U42" s="8"/>
      <c r="V42" s="8"/>
      <c r="W42" s="8"/>
      <c r="X42" s="8">
        <v>0</v>
      </c>
      <c r="Y42" s="8">
        <v>0</v>
      </c>
      <c r="Z42" s="8">
        <v>0</v>
      </c>
      <c r="AA42" s="8">
        <v>0</v>
      </c>
      <c r="AB42" s="8">
        <v>0</v>
      </c>
      <c r="AC42" s="8">
        <v>0</v>
      </c>
      <c r="AD42" s="8">
        <v>0</v>
      </c>
      <c r="AE42" s="8">
        <v>0</v>
      </c>
      <c r="AF42" s="8">
        <v>0</v>
      </c>
      <c r="AG42" s="8">
        <v>0</v>
      </c>
      <c r="AH42" s="8">
        <v>0</v>
      </c>
      <c r="AI42" s="8">
        <v>0</v>
      </c>
      <c r="AJ42" s="8">
        <v>0</v>
      </c>
      <c r="AK42" s="8">
        <v>0</v>
      </c>
      <c r="AL42" s="8">
        <v>0</v>
      </c>
      <c r="AM42" s="8">
        <v>0</v>
      </c>
      <c r="AN42" s="8">
        <v>0</v>
      </c>
      <c r="AO42" s="8">
        <v>0</v>
      </c>
      <c r="AP42" s="8">
        <v>0</v>
      </c>
      <c r="AQ42" s="8">
        <v>0</v>
      </c>
      <c r="AR42" s="8">
        <v>0</v>
      </c>
      <c r="AS42" s="8">
        <v>0</v>
      </c>
      <c r="AT42" s="8">
        <v>0</v>
      </c>
      <c r="AU42" s="8">
        <v>0</v>
      </c>
      <c r="AV42" s="8">
        <v>0</v>
      </c>
      <c r="AW42" s="8">
        <v>0</v>
      </c>
      <c r="AX42" s="8">
        <v>0</v>
      </c>
      <c r="AY42" s="8">
        <v>0</v>
      </c>
      <c r="AZ42" s="8">
        <v>0</v>
      </c>
      <c r="BA42" s="8">
        <v>0</v>
      </c>
      <c r="BB42" s="8">
        <v>0</v>
      </c>
      <c r="BC42" s="8">
        <v>0</v>
      </c>
      <c r="BD42" s="8">
        <v>0</v>
      </c>
      <c r="BE42" s="8">
        <v>0</v>
      </c>
      <c r="BF42" s="8">
        <v>0</v>
      </c>
      <c r="BG42" s="8">
        <v>0</v>
      </c>
      <c r="BH42" s="8">
        <v>0</v>
      </c>
      <c r="BI42" s="8">
        <v>0</v>
      </c>
      <c r="BJ42" s="8">
        <v>0</v>
      </c>
      <c r="BK42" s="8">
        <v>0</v>
      </c>
      <c r="BL42" s="8">
        <v>0</v>
      </c>
      <c r="BM42" s="8">
        <v>0</v>
      </c>
      <c r="BN42" s="8">
        <v>0</v>
      </c>
      <c r="BO42" s="8">
        <v>0</v>
      </c>
      <c r="BP42" s="8">
        <v>0</v>
      </c>
      <c r="BQ42" s="8">
        <v>0</v>
      </c>
      <c r="BR42" s="8">
        <v>0</v>
      </c>
      <c r="BS42" s="8">
        <v>0</v>
      </c>
      <c r="BT42" s="8">
        <v>0</v>
      </c>
      <c r="BU42" s="8">
        <v>0</v>
      </c>
      <c r="BV42" s="8">
        <v>0</v>
      </c>
      <c r="BW42" s="8">
        <v>0</v>
      </c>
      <c r="BX42" s="8">
        <v>0</v>
      </c>
      <c r="BY42" s="8">
        <v>0</v>
      </c>
      <c r="BZ42" s="8">
        <v>0</v>
      </c>
      <c r="CA42" s="8">
        <v>0</v>
      </c>
      <c r="CB42" s="8">
        <v>0</v>
      </c>
      <c r="CC42" s="8">
        <v>0</v>
      </c>
      <c r="CD42" s="8">
        <v>0</v>
      </c>
      <c r="CE42" s="8">
        <v>0</v>
      </c>
      <c r="CF42" s="8">
        <v>0</v>
      </c>
      <c r="CG42" s="8">
        <v>0</v>
      </c>
      <c r="CH42" s="8">
        <v>0</v>
      </c>
      <c r="CI42" s="8">
        <v>0</v>
      </c>
      <c r="CJ42" s="8">
        <v>0</v>
      </c>
      <c r="CK42" s="8">
        <v>0</v>
      </c>
      <c r="CL42" s="8">
        <v>0</v>
      </c>
      <c r="CM42" s="8">
        <v>0</v>
      </c>
      <c r="CN42" s="8">
        <v>0</v>
      </c>
      <c r="CO42" s="8">
        <v>0</v>
      </c>
      <c r="CP42" s="8">
        <v>0</v>
      </c>
      <c r="CQ42" s="8">
        <v>0</v>
      </c>
      <c r="CR42" s="8">
        <v>0</v>
      </c>
      <c r="CS42" t="str">
        <f>IFERROR(INDEX('Initiative Summary'!$C$5:$C$25,MATCH($A42,'Initiative Summary'!$A$5:$A$25,0)),"")</f>
        <v>Westmark Region</v>
      </c>
    </row>
    <row r="43" spans="1:97" ht="21.75" customHeight="1" x14ac:dyDescent="0.25">
      <c r="A43" s="6" t="s">
        <v>42</v>
      </c>
      <c r="B43" s="10" t="s">
        <v>655</v>
      </c>
      <c r="C43" s="11" t="s">
        <v>205</v>
      </c>
      <c r="D43" s="11" t="s">
        <v>203</v>
      </c>
      <c r="E43" s="11" t="s">
        <v>206</v>
      </c>
      <c r="F43" s="11" t="s">
        <v>207</v>
      </c>
      <c r="G43" s="11"/>
      <c r="H43" s="11" t="s">
        <v>215</v>
      </c>
      <c r="I43" s="11" t="s">
        <v>216</v>
      </c>
      <c r="J43" s="11"/>
      <c r="K43" s="10"/>
      <c r="L43" s="11" t="s">
        <v>228</v>
      </c>
      <c r="M43" s="11" t="s">
        <v>199</v>
      </c>
      <c r="N43" s="20">
        <v>3</v>
      </c>
      <c r="O43" s="11" t="b">
        <v>0</v>
      </c>
      <c r="P43" s="11" t="s">
        <v>218</v>
      </c>
      <c r="Q43" s="11" t="s">
        <v>227</v>
      </c>
      <c r="R43" s="11" t="s">
        <v>227</v>
      </c>
      <c r="S43" s="11"/>
      <c r="T43" s="11"/>
      <c r="U43" s="11"/>
      <c r="V43" s="11"/>
      <c r="W43" s="11"/>
      <c r="X43" s="11">
        <v>0</v>
      </c>
      <c r="Y43" s="11">
        <v>0</v>
      </c>
      <c r="Z43" s="11">
        <v>0</v>
      </c>
      <c r="AA43" s="11">
        <v>0</v>
      </c>
      <c r="AB43" s="11">
        <v>0</v>
      </c>
      <c r="AC43" s="11">
        <v>0</v>
      </c>
      <c r="AD43" s="11">
        <v>0</v>
      </c>
      <c r="AE43" s="11">
        <v>0</v>
      </c>
      <c r="AF43" s="11">
        <v>0</v>
      </c>
      <c r="AG43" s="11">
        <v>0</v>
      </c>
      <c r="AH43" s="11">
        <v>0</v>
      </c>
      <c r="AI43" s="11">
        <v>0</v>
      </c>
      <c r="AJ43" s="11">
        <v>0</v>
      </c>
      <c r="AK43" s="11">
        <v>0</v>
      </c>
      <c r="AL43" s="11">
        <v>0</v>
      </c>
      <c r="AM43" s="11">
        <v>0</v>
      </c>
      <c r="AN43" s="11">
        <v>0</v>
      </c>
      <c r="AO43" s="11">
        <v>0</v>
      </c>
      <c r="AP43" s="11">
        <v>0</v>
      </c>
      <c r="AQ43" s="11">
        <v>0</v>
      </c>
      <c r="AR43" s="11">
        <v>0</v>
      </c>
      <c r="AS43" s="11">
        <v>0</v>
      </c>
      <c r="AT43" s="11">
        <v>0</v>
      </c>
      <c r="AU43" s="11">
        <v>0</v>
      </c>
      <c r="AV43" s="11">
        <v>0</v>
      </c>
      <c r="AW43" s="11">
        <v>0</v>
      </c>
      <c r="AX43" s="11">
        <v>0</v>
      </c>
      <c r="AY43" s="11">
        <v>0</v>
      </c>
      <c r="AZ43" s="11">
        <v>0</v>
      </c>
      <c r="BA43" s="11">
        <v>0</v>
      </c>
      <c r="BB43" s="11">
        <v>0</v>
      </c>
      <c r="BC43" s="11">
        <v>0</v>
      </c>
      <c r="BD43" s="11">
        <v>0</v>
      </c>
      <c r="BE43" s="11">
        <v>0</v>
      </c>
      <c r="BF43" s="11">
        <v>0</v>
      </c>
      <c r="BG43" s="11">
        <v>0</v>
      </c>
      <c r="BH43" s="11">
        <v>0</v>
      </c>
      <c r="BI43" s="11">
        <v>0</v>
      </c>
      <c r="BJ43" s="11">
        <v>0</v>
      </c>
      <c r="BK43" s="11">
        <v>0</v>
      </c>
      <c r="BL43" s="11">
        <v>0</v>
      </c>
      <c r="BM43" s="11">
        <v>0</v>
      </c>
      <c r="BN43" s="11">
        <v>0</v>
      </c>
      <c r="BO43" s="11">
        <v>0</v>
      </c>
      <c r="BP43" s="11">
        <v>0</v>
      </c>
      <c r="BQ43" s="11">
        <v>0</v>
      </c>
      <c r="BR43" s="11">
        <v>0</v>
      </c>
      <c r="BS43" s="11">
        <v>0</v>
      </c>
      <c r="BT43" s="11">
        <v>0</v>
      </c>
      <c r="BU43" s="11">
        <v>0</v>
      </c>
      <c r="BV43" s="11">
        <v>0</v>
      </c>
      <c r="BW43" s="11">
        <v>0</v>
      </c>
      <c r="BX43" s="11">
        <v>0</v>
      </c>
      <c r="BY43" s="11">
        <v>0</v>
      </c>
      <c r="BZ43" s="11">
        <v>0</v>
      </c>
      <c r="CA43" s="11">
        <v>0</v>
      </c>
      <c r="CB43" s="11">
        <v>0</v>
      </c>
      <c r="CC43" s="11">
        <v>0</v>
      </c>
      <c r="CD43" s="11">
        <v>0</v>
      </c>
      <c r="CE43" s="11">
        <v>0</v>
      </c>
      <c r="CF43" s="11">
        <v>0</v>
      </c>
      <c r="CG43" s="11">
        <v>0</v>
      </c>
      <c r="CH43" s="11">
        <v>0</v>
      </c>
      <c r="CI43" s="11">
        <v>0</v>
      </c>
      <c r="CJ43" s="11">
        <v>0</v>
      </c>
      <c r="CK43" s="11">
        <v>0</v>
      </c>
      <c r="CL43" s="11">
        <v>0</v>
      </c>
      <c r="CM43" s="11">
        <v>0</v>
      </c>
      <c r="CN43" s="11">
        <v>0</v>
      </c>
      <c r="CO43" s="11">
        <v>0</v>
      </c>
      <c r="CP43" s="11">
        <v>0</v>
      </c>
      <c r="CQ43" s="11">
        <v>0</v>
      </c>
      <c r="CR43" s="11">
        <v>0</v>
      </c>
      <c r="CS43" t="str">
        <f>IFERROR(INDEX('Initiative Summary'!$C$5:$C$25,MATCH($A43,'Initiative Summary'!$A$5:$A$25,0)),"")</f>
        <v>Westmark Region</v>
      </c>
    </row>
    <row r="44" spans="1:97" ht="21.75" customHeight="1" x14ac:dyDescent="0.25">
      <c r="A44" s="6" t="s">
        <v>42</v>
      </c>
      <c r="B44" s="7" t="s">
        <v>655</v>
      </c>
      <c r="C44" s="8" t="s">
        <v>205</v>
      </c>
      <c r="D44" s="8" t="s">
        <v>204</v>
      </c>
      <c r="E44" s="8" t="s">
        <v>206</v>
      </c>
      <c r="F44" s="8" t="s">
        <v>207</v>
      </c>
      <c r="G44" s="8"/>
      <c r="H44" s="8" t="s">
        <v>215</v>
      </c>
      <c r="I44" s="8" t="s">
        <v>216</v>
      </c>
      <c r="J44" s="8"/>
      <c r="K44" s="7"/>
      <c r="L44" s="8" t="s">
        <v>228</v>
      </c>
      <c r="M44" s="8" t="s">
        <v>199</v>
      </c>
      <c r="N44" s="21">
        <v>3</v>
      </c>
      <c r="O44" s="8" t="b">
        <v>0</v>
      </c>
      <c r="P44" s="8" t="s">
        <v>218</v>
      </c>
      <c r="Q44" s="8" t="s">
        <v>227</v>
      </c>
      <c r="R44" s="8" t="s">
        <v>227</v>
      </c>
      <c r="S44" s="8"/>
      <c r="T44" s="8"/>
      <c r="U44" s="8"/>
      <c r="V44" s="8"/>
      <c r="W44" s="8"/>
      <c r="X44" s="8">
        <v>0</v>
      </c>
      <c r="Y44" s="8">
        <v>0</v>
      </c>
      <c r="Z44" s="8">
        <v>0</v>
      </c>
      <c r="AA44" s="8">
        <v>0</v>
      </c>
      <c r="AB44" s="8">
        <v>0</v>
      </c>
      <c r="AC44" s="8">
        <v>0</v>
      </c>
      <c r="AD44" s="8">
        <v>0</v>
      </c>
      <c r="AE44" s="8">
        <v>0</v>
      </c>
      <c r="AF44" s="8">
        <v>0</v>
      </c>
      <c r="AG44" s="8">
        <v>0</v>
      </c>
      <c r="AH44" s="8">
        <v>0</v>
      </c>
      <c r="AI44" s="8">
        <v>0</v>
      </c>
      <c r="AJ44" s="8">
        <v>0</v>
      </c>
      <c r="AK44" s="8">
        <v>0</v>
      </c>
      <c r="AL44" s="8">
        <v>0</v>
      </c>
      <c r="AM44" s="8">
        <v>0</v>
      </c>
      <c r="AN44" s="8">
        <v>0</v>
      </c>
      <c r="AO44" s="8">
        <v>0</v>
      </c>
      <c r="AP44" s="8">
        <v>0</v>
      </c>
      <c r="AQ44" s="8">
        <v>0</v>
      </c>
      <c r="AR44" s="8">
        <v>0</v>
      </c>
      <c r="AS44" s="8">
        <v>0</v>
      </c>
      <c r="AT44" s="8">
        <v>0</v>
      </c>
      <c r="AU44" s="8">
        <v>0</v>
      </c>
      <c r="AV44" s="8">
        <v>0</v>
      </c>
      <c r="AW44" s="8">
        <v>0</v>
      </c>
      <c r="AX44" s="8">
        <v>0</v>
      </c>
      <c r="AY44" s="8">
        <v>0</v>
      </c>
      <c r="AZ44" s="8">
        <v>0</v>
      </c>
      <c r="BA44" s="8">
        <v>0</v>
      </c>
      <c r="BB44" s="8">
        <v>0</v>
      </c>
      <c r="BC44" s="8">
        <v>0</v>
      </c>
      <c r="BD44" s="8">
        <v>0</v>
      </c>
      <c r="BE44" s="8">
        <v>0</v>
      </c>
      <c r="BF44" s="8">
        <v>0</v>
      </c>
      <c r="BG44" s="8">
        <v>0</v>
      </c>
      <c r="BH44" s="8">
        <v>0</v>
      </c>
      <c r="BI44" s="8">
        <v>0</v>
      </c>
      <c r="BJ44" s="8">
        <v>0</v>
      </c>
      <c r="BK44" s="8">
        <v>0</v>
      </c>
      <c r="BL44" s="8">
        <v>0</v>
      </c>
      <c r="BM44" s="8">
        <v>0</v>
      </c>
      <c r="BN44" s="8">
        <v>0</v>
      </c>
      <c r="BO44" s="8">
        <v>0</v>
      </c>
      <c r="BP44" s="8">
        <v>0</v>
      </c>
      <c r="BQ44" s="8">
        <v>0</v>
      </c>
      <c r="BR44" s="8">
        <v>0</v>
      </c>
      <c r="BS44" s="8">
        <v>0</v>
      </c>
      <c r="BT44" s="8">
        <v>0</v>
      </c>
      <c r="BU44" s="8">
        <v>0</v>
      </c>
      <c r="BV44" s="8">
        <v>0</v>
      </c>
      <c r="BW44" s="8">
        <v>0</v>
      </c>
      <c r="BX44" s="8">
        <v>0</v>
      </c>
      <c r="BY44" s="8">
        <v>0</v>
      </c>
      <c r="BZ44" s="8">
        <v>0</v>
      </c>
      <c r="CA44" s="8">
        <v>0</v>
      </c>
      <c r="CB44" s="8">
        <v>0</v>
      </c>
      <c r="CC44" s="8">
        <v>0</v>
      </c>
      <c r="CD44" s="8">
        <v>0</v>
      </c>
      <c r="CE44" s="8">
        <v>0</v>
      </c>
      <c r="CF44" s="8">
        <v>0</v>
      </c>
      <c r="CG44" s="8">
        <v>0</v>
      </c>
      <c r="CH44" s="8">
        <v>0</v>
      </c>
      <c r="CI44" s="8">
        <v>0</v>
      </c>
      <c r="CJ44" s="8">
        <v>0</v>
      </c>
      <c r="CK44" s="8">
        <v>0</v>
      </c>
      <c r="CL44" s="8">
        <v>0</v>
      </c>
      <c r="CM44" s="8">
        <v>0</v>
      </c>
      <c r="CN44" s="8">
        <v>0</v>
      </c>
      <c r="CO44" s="8">
        <v>0</v>
      </c>
      <c r="CP44" s="8">
        <v>0</v>
      </c>
      <c r="CQ44" s="8">
        <v>0</v>
      </c>
      <c r="CR44" s="8">
        <v>0</v>
      </c>
      <c r="CS44" t="str">
        <f>IFERROR(INDEX('Initiative Summary'!$C$5:$C$25,MATCH($A44,'Initiative Summary'!$A$5:$A$25,0)),"")</f>
        <v>Westmark Region</v>
      </c>
    </row>
    <row r="45" spans="1:97" ht="21.75" customHeight="1" x14ac:dyDescent="0.25">
      <c r="A45" s="6" t="s">
        <v>42</v>
      </c>
      <c r="B45" s="10" t="s">
        <v>655</v>
      </c>
      <c r="C45" s="11" t="s">
        <v>206</v>
      </c>
      <c r="D45" s="11" t="s">
        <v>195</v>
      </c>
      <c r="E45" s="11" t="s">
        <v>206</v>
      </c>
      <c r="F45" s="11" t="s">
        <v>197</v>
      </c>
      <c r="G45" s="11"/>
      <c r="H45" s="11"/>
      <c r="I45" s="11"/>
      <c r="J45" s="11"/>
      <c r="K45" s="10"/>
      <c r="L45" s="11" t="s">
        <v>229</v>
      </c>
      <c r="M45" s="11" t="s">
        <v>199</v>
      </c>
      <c r="N45" s="20">
        <v>100</v>
      </c>
      <c r="O45" s="11" t="b">
        <v>0</v>
      </c>
      <c r="P45" s="11" t="s">
        <v>201</v>
      </c>
      <c r="Q45" s="11" t="s">
        <v>210</v>
      </c>
      <c r="R45" s="11" t="s">
        <v>210</v>
      </c>
      <c r="S45" s="11">
        <v>0</v>
      </c>
      <c r="T45" s="20">
        <v>0.48</v>
      </c>
      <c r="U45" s="20">
        <v>1.42</v>
      </c>
      <c r="V45" s="20">
        <v>1.42</v>
      </c>
      <c r="W45" s="20">
        <v>1.42</v>
      </c>
      <c r="X45" s="11">
        <v>0</v>
      </c>
      <c r="Y45" s="11">
        <v>0</v>
      </c>
      <c r="Z45" s="11">
        <v>0</v>
      </c>
      <c r="AA45" s="11">
        <v>0</v>
      </c>
      <c r="AB45" s="11">
        <v>0</v>
      </c>
      <c r="AC45" s="11">
        <v>0</v>
      </c>
      <c r="AD45" s="11">
        <v>0</v>
      </c>
      <c r="AE45" s="11">
        <v>0</v>
      </c>
      <c r="AF45" s="11">
        <v>0</v>
      </c>
      <c r="AG45" s="11">
        <v>0</v>
      </c>
      <c r="AH45" s="11">
        <v>0</v>
      </c>
      <c r="AI45" s="11">
        <v>0</v>
      </c>
      <c r="AJ45" s="20">
        <v>0</v>
      </c>
      <c r="AK45" s="20">
        <v>0</v>
      </c>
      <c r="AL45" s="20">
        <v>0</v>
      </c>
      <c r="AM45" s="20">
        <v>0</v>
      </c>
      <c r="AN45" s="20">
        <v>0</v>
      </c>
      <c r="AO45" s="20">
        <v>0</v>
      </c>
      <c r="AP45" s="20">
        <v>0</v>
      </c>
      <c r="AQ45" s="20">
        <v>0</v>
      </c>
      <c r="AR45" s="20">
        <v>0</v>
      </c>
      <c r="AS45" s="20">
        <v>0</v>
      </c>
      <c r="AT45" s="20">
        <v>0</v>
      </c>
      <c r="AU45" s="20">
        <v>0.48</v>
      </c>
      <c r="AV45" s="20">
        <v>0.11833333333333333</v>
      </c>
      <c r="AW45" s="20">
        <v>0.11833333333333333</v>
      </c>
      <c r="AX45" s="20">
        <v>0.11833333333333333</v>
      </c>
      <c r="AY45" s="20">
        <v>0.11833333333333333</v>
      </c>
      <c r="AZ45" s="20">
        <v>0.11833333333333333</v>
      </c>
      <c r="BA45" s="20">
        <v>0.11833333333333333</v>
      </c>
      <c r="BB45" s="20">
        <v>0.11833333333333333</v>
      </c>
      <c r="BC45" s="20">
        <v>0.11833333333333333</v>
      </c>
      <c r="BD45" s="20">
        <v>0.11833333333333333</v>
      </c>
      <c r="BE45" s="20">
        <v>0.11833333333333333</v>
      </c>
      <c r="BF45" s="20">
        <v>0.11833333333333333</v>
      </c>
      <c r="BG45" s="20">
        <v>0.11833333333333333</v>
      </c>
      <c r="BH45" s="20">
        <v>0.11833333333333333</v>
      </c>
      <c r="BI45" s="20">
        <v>0.11833333333333333</v>
      </c>
      <c r="BJ45" s="20">
        <v>0.11833333333333333</v>
      </c>
      <c r="BK45" s="20">
        <v>0.11833333333333333</v>
      </c>
      <c r="BL45" s="20">
        <v>0.11833333333333333</v>
      </c>
      <c r="BM45" s="20">
        <v>0.11833333333333333</v>
      </c>
      <c r="BN45" s="20">
        <v>0.11833333333333333</v>
      </c>
      <c r="BO45" s="20">
        <v>0.11833333333333333</v>
      </c>
      <c r="BP45" s="20">
        <v>0.11833333333333333</v>
      </c>
      <c r="BQ45" s="20">
        <v>0.11833333333333333</v>
      </c>
      <c r="BR45" s="20">
        <v>0.11833333333333333</v>
      </c>
      <c r="BS45" s="20">
        <v>0.11833333333333333</v>
      </c>
      <c r="BT45" s="20">
        <v>0.11833333333333333</v>
      </c>
      <c r="BU45" s="20">
        <v>0.11833333333333333</v>
      </c>
      <c r="BV45" s="20">
        <v>0.11833333333333333</v>
      </c>
      <c r="BW45" s="20">
        <v>0.11833333333333333</v>
      </c>
      <c r="BX45" s="20">
        <v>0.11833333333333333</v>
      </c>
      <c r="BY45" s="20">
        <v>0.11833333333333333</v>
      </c>
      <c r="BZ45" s="20">
        <v>0.11833333333333333</v>
      </c>
      <c r="CA45" s="20">
        <v>0.11833333333333333</v>
      </c>
      <c r="CB45" s="20">
        <v>0.11833333333333333</v>
      </c>
      <c r="CC45" s="20">
        <v>0.11833333333333333</v>
      </c>
      <c r="CD45" s="20">
        <v>0.11833333333333333</v>
      </c>
      <c r="CE45" s="20">
        <v>0.11833333333333333</v>
      </c>
      <c r="CF45" s="11">
        <v>1.42</v>
      </c>
      <c r="CG45" s="11">
        <v>0.11833333333333333</v>
      </c>
      <c r="CH45" s="11">
        <v>0.11833333333333333</v>
      </c>
      <c r="CI45" s="11">
        <v>0.11833333333333333</v>
      </c>
      <c r="CJ45" s="11">
        <v>0.11833333333333333</v>
      </c>
      <c r="CK45" s="11">
        <v>0.11833333333333333</v>
      </c>
      <c r="CL45" s="11">
        <v>0.11833333333333333</v>
      </c>
      <c r="CM45" s="11">
        <v>0.11833333333333333</v>
      </c>
      <c r="CN45" s="11">
        <v>0.11833333333333333</v>
      </c>
      <c r="CO45" s="11">
        <v>0.11833333333333333</v>
      </c>
      <c r="CP45" s="11">
        <v>0.11833333333333333</v>
      </c>
      <c r="CQ45" s="11">
        <v>0.11833333333333333</v>
      </c>
      <c r="CR45" s="11">
        <v>0.11833333333333333</v>
      </c>
      <c r="CS45" t="str">
        <f>IFERROR(INDEX('Initiative Summary'!$C$5:$C$25,MATCH($A45,'Initiative Summary'!$A$5:$A$25,0)),"")</f>
        <v>Westmark Region</v>
      </c>
    </row>
    <row r="46" spans="1:97" ht="21.75" customHeight="1" x14ac:dyDescent="0.25">
      <c r="A46" s="6" t="s">
        <v>42</v>
      </c>
      <c r="B46" s="7" t="s">
        <v>655</v>
      </c>
      <c r="C46" s="8" t="s">
        <v>206</v>
      </c>
      <c r="D46" s="8" t="s">
        <v>203</v>
      </c>
      <c r="E46" s="8" t="s">
        <v>206</v>
      </c>
      <c r="F46" s="8" t="s">
        <v>197</v>
      </c>
      <c r="G46" s="8"/>
      <c r="H46" s="8"/>
      <c r="I46" s="8"/>
      <c r="J46" s="8"/>
      <c r="K46" s="7"/>
      <c r="L46" s="8" t="s">
        <v>229</v>
      </c>
      <c r="M46" s="8" t="s">
        <v>199</v>
      </c>
      <c r="N46" s="21">
        <v>100</v>
      </c>
      <c r="O46" s="8" t="b">
        <v>0</v>
      </c>
      <c r="P46" s="8" t="s">
        <v>201</v>
      </c>
      <c r="Q46" s="8" t="s">
        <v>210</v>
      </c>
      <c r="R46" s="8" t="s">
        <v>210</v>
      </c>
      <c r="S46" s="8">
        <v>0</v>
      </c>
      <c r="T46" s="21">
        <v>0.64</v>
      </c>
      <c r="U46" s="21">
        <v>1.92</v>
      </c>
      <c r="V46" s="21">
        <v>1.92</v>
      </c>
      <c r="W46" s="21">
        <v>1.92</v>
      </c>
      <c r="X46" s="8">
        <v>0</v>
      </c>
      <c r="Y46" s="8">
        <v>0</v>
      </c>
      <c r="Z46" s="8">
        <v>0</v>
      </c>
      <c r="AA46" s="8">
        <v>0</v>
      </c>
      <c r="AB46" s="8">
        <v>0</v>
      </c>
      <c r="AC46" s="8">
        <v>0</v>
      </c>
      <c r="AD46" s="8">
        <v>0</v>
      </c>
      <c r="AE46" s="8">
        <v>0</v>
      </c>
      <c r="AF46" s="8">
        <v>0</v>
      </c>
      <c r="AG46" s="8">
        <v>0</v>
      </c>
      <c r="AH46" s="8">
        <v>0</v>
      </c>
      <c r="AI46" s="8">
        <v>0</v>
      </c>
      <c r="AJ46" s="21">
        <v>0</v>
      </c>
      <c r="AK46" s="21">
        <v>0</v>
      </c>
      <c r="AL46" s="21">
        <v>0</v>
      </c>
      <c r="AM46" s="21">
        <v>0</v>
      </c>
      <c r="AN46" s="21">
        <v>0</v>
      </c>
      <c r="AO46" s="21">
        <v>0</v>
      </c>
      <c r="AP46" s="21">
        <v>0</v>
      </c>
      <c r="AQ46" s="21">
        <v>0</v>
      </c>
      <c r="AR46" s="21">
        <v>0</v>
      </c>
      <c r="AS46" s="21">
        <v>0</v>
      </c>
      <c r="AT46" s="21">
        <v>0</v>
      </c>
      <c r="AU46" s="21">
        <v>0.64</v>
      </c>
      <c r="AV46" s="21">
        <v>0.16</v>
      </c>
      <c r="AW46" s="21">
        <v>0.16</v>
      </c>
      <c r="AX46" s="21">
        <v>0.16</v>
      </c>
      <c r="AY46" s="21">
        <v>0.16</v>
      </c>
      <c r="AZ46" s="21">
        <v>0.16</v>
      </c>
      <c r="BA46" s="21">
        <v>0.16</v>
      </c>
      <c r="BB46" s="21">
        <v>0.16</v>
      </c>
      <c r="BC46" s="21">
        <v>0.16</v>
      </c>
      <c r="BD46" s="21">
        <v>0.16</v>
      </c>
      <c r="BE46" s="21">
        <v>0.16</v>
      </c>
      <c r="BF46" s="21">
        <v>0.16</v>
      </c>
      <c r="BG46" s="21">
        <v>0.16</v>
      </c>
      <c r="BH46" s="21">
        <v>0.16</v>
      </c>
      <c r="BI46" s="21">
        <v>0.16</v>
      </c>
      <c r="BJ46" s="21">
        <v>0.16</v>
      </c>
      <c r="BK46" s="21">
        <v>0.16</v>
      </c>
      <c r="BL46" s="21">
        <v>0.16</v>
      </c>
      <c r="BM46" s="21">
        <v>0.16</v>
      </c>
      <c r="BN46" s="21">
        <v>0.16</v>
      </c>
      <c r="BO46" s="21">
        <v>0.16</v>
      </c>
      <c r="BP46" s="21">
        <v>0.16</v>
      </c>
      <c r="BQ46" s="21">
        <v>0.16</v>
      </c>
      <c r="BR46" s="21">
        <v>0.16</v>
      </c>
      <c r="BS46" s="21">
        <v>0.16</v>
      </c>
      <c r="BT46" s="21">
        <v>0.16</v>
      </c>
      <c r="BU46" s="21">
        <v>0.16</v>
      </c>
      <c r="BV46" s="21">
        <v>0.16</v>
      </c>
      <c r="BW46" s="21">
        <v>0.16</v>
      </c>
      <c r="BX46" s="21">
        <v>0.16</v>
      </c>
      <c r="BY46" s="21">
        <v>0.16</v>
      </c>
      <c r="BZ46" s="21">
        <v>0.16</v>
      </c>
      <c r="CA46" s="21">
        <v>0.16</v>
      </c>
      <c r="CB46" s="21">
        <v>0.16</v>
      </c>
      <c r="CC46" s="21">
        <v>0.16</v>
      </c>
      <c r="CD46" s="21">
        <v>0.16</v>
      </c>
      <c r="CE46" s="21">
        <v>0.16</v>
      </c>
      <c r="CF46" s="8">
        <v>1.92</v>
      </c>
      <c r="CG46" s="8">
        <v>0.16</v>
      </c>
      <c r="CH46" s="8">
        <v>0.16</v>
      </c>
      <c r="CI46" s="8">
        <v>0.16</v>
      </c>
      <c r="CJ46" s="8">
        <v>0.16</v>
      </c>
      <c r="CK46" s="8">
        <v>0.16</v>
      </c>
      <c r="CL46" s="8">
        <v>0.16</v>
      </c>
      <c r="CM46" s="8">
        <v>0.16</v>
      </c>
      <c r="CN46" s="8">
        <v>0.16</v>
      </c>
      <c r="CO46" s="8">
        <v>0.16</v>
      </c>
      <c r="CP46" s="8">
        <v>0.16</v>
      </c>
      <c r="CQ46" s="8">
        <v>0.16</v>
      </c>
      <c r="CR46" s="8">
        <v>0.16</v>
      </c>
      <c r="CS46" t="str">
        <f>IFERROR(INDEX('Initiative Summary'!$C$5:$C$25,MATCH($A46,'Initiative Summary'!$A$5:$A$25,0)),"")</f>
        <v>Westmark Region</v>
      </c>
    </row>
    <row r="47" spans="1:97" ht="21.75" customHeight="1" x14ac:dyDescent="0.25">
      <c r="A47" s="6" t="s">
        <v>42</v>
      </c>
      <c r="B47" s="10" t="s">
        <v>655</v>
      </c>
      <c r="C47" s="11" t="s">
        <v>206</v>
      </c>
      <c r="D47" s="11" t="s">
        <v>204</v>
      </c>
      <c r="E47" s="11" t="s">
        <v>206</v>
      </c>
      <c r="F47" s="11" t="s">
        <v>197</v>
      </c>
      <c r="G47" s="11"/>
      <c r="H47" s="11"/>
      <c r="I47" s="11"/>
      <c r="J47" s="11"/>
      <c r="K47" s="10"/>
      <c r="L47" s="11" t="s">
        <v>229</v>
      </c>
      <c r="M47" s="11" t="s">
        <v>199</v>
      </c>
      <c r="N47" s="20">
        <v>100</v>
      </c>
      <c r="O47" s="11" t="b">
        <v>0</v>
      </c>
      <c r="P47" s="11" t="s">
        <v>201</v>
      </c>
      <c r="Q47" s="11" t="s">
        <v>210</v>
      </c>
      <c r="R47" s="11" t="s">
        <v>210</v>
      </c>
      <c r="S47" s="11"/>
      <c r="T47" s="11"/>
      <c r="U47" s="11"/>
      <c r="V47" s="11"/>
      <c r="W47" s="11"/>
      <c r="X47" s="11">
        <v>0</v>
      </c>
      <c r="Y47" s="11">
        <v>0</v>
      </c>
      <c r="Z47" s="11">
        <v>0</v>
      </c>
      <c r="AA47" s="11">
        <v>0</v>
      </c>
      <c r="AB47" s="11">
        <v>0</v>
      </c>
      <c r="AC47" s="11">
        <v>0</v>
      </c>
      <c r="AD47" s="11">
        <v>0</v>
      </c>
      <c r="AE47" s="11">
        <v>0</v>
      </c>
      <c r="AF47" s="11">
        <v>0</v>
      </c>
      <c r="AG47" s="11">
        <v>0</v>
      </c>
      <c r="AH47" s="11">
        <v>0</v>
      </c>
      <c r="AI47" s="11">
        <v>0</v>
      </c>
      <c r="AJ47" s="11">
        <v>0</v>
      </c>
      <c r="AK47" s="11">
        <v>0</v>
      </c>
      <c r="AL47" s="11">
        <v>0</v>
      </c>
      <c r="AM47" s="11">
        <v>0</v>
      </c>
      <c r="AN47" s="11">
        <v>0</v>
      </c>
      <c r="AO47" s="11">
        <v>0</v>
      </c>
      <c r="AP47" s="11">
        <v>0</v>
      </c>
      <c r="AQ47" s="11">
        <v>0</v>
      </c>
      <c r="AR47" s="11">
        <v>0</v>
      </c>
      <c r="AS47" s="11">
        <v>0</v>
      </c>
      <c r="AT47" s="11">
        <v>0</v>
      </c>
      <c r="AU47" s="11">
        <v>0</v>
      </c>
      <c r="AV47" s="11">
        <v>0</v>
      </c>
      <c r="AW47" s="11">
        <v>0</v>
      </c>
      <c r="AX47" s="11">
        <v>0</v>
      </c>
      <c r="AY47" s="11">
        <v>0</v>
      </c>
      <c r="AZ47" s="11">
        <v>0</v>
      </c>
      <c r="BA47" s="11">
        <v>0</v>
      </c>
      <c r="BB47" s="11">
        <v>0</v>
      </c>
      <c r="BC47" s="11">
        <v>0</v>
      </c>
      <c r="BD47" s="11">
        <v>0</v>
      </c>
      <c r="BE47" s="11">
        <v>0</v>
      </c>
      <c r="BF47" s="11">
        <v>0</v>
      </c>
      <c r="BG47" s="11">
        <v>0</v>
      </c>
      <c r="BH47" s="11">
        <v>0</v>
      </c>
      <c r="BI47" s="11">
        <v>0</v>
      </c>
      <c r="BJ47" s="11">
        <v>0</v>
      </c>
      <c r="BK47" s="11">
        <v>0</v>
      </c>
      <c r="BL47" s="11">
        <v>0</v>
      </c>
      <c r="BM47" s="11">
        <v>0</v>
      </c>
      <c r="BN47" s="11">
        <v>0</v>
      </c>
      <c r="BO47" s="11">
        <v>0</v>
      </c>
      <c r="BP47" s="11">
        <v>0</v>
      </c>
      <c r="BQ47" s="11">
        <v>0</v>
      </c>
      <c r="BR47" s="11">
        <v>0</v>
      </c>
      <c r="BS47" s="11">
        <v>0</v>
      </c>
      <c r="BT47" s="11">
        <v>0</v>
      </c>
      <c r="BU47" s="11">
        <v>0</v>
      </c>
      <c r="BV47" s="11">
        <v>0</v>
      </c>
      <c r="BW47" s="11">
        <v>0</v>
      </c>
      <c r="BX47" s="11">
        <v>0</v>
      </c>
      <c r="BY47" s="11">
        <v>0</v>
      </c>
      <c r="BZ47" s="11">
        <v>0</v>
      </c>
      <c r="CA47" s="11">
        <v>0</v>
      </c>
      <c r="CB47" s="11">
        <v>0</v>
      </c>
      <c r="CC47" s="11">
        <v>0</v>
      </c>
      <c r="CD47" s="11">
        <v>0</v>
      </c>
      <c r="CE47" s="11">
        <v>0</v>
      </c>
      <c r="CF47" s="11">
        <v>0</v>
      </c>
      <c r="CG47" s="11">
        <v>0</v>
      </c>
      <c r="CH47" s="11">
        <v>0</v>
      </c>
      <c r="CI47" s="11">
        <v>0</v>
      </c>
      <c r="CJ47" s="11">
        <v>0</v>
      </c>
      <c r="CK47" s="11">
        <v>0</v>
      </c>
      <c r="CL47" s="11">
        <v>0</v>
      </c>
      <c r="CM47" s="11">
        <v>0</v>
      </c>
      <c r="CN47" s="11">
        <v>0</v>
      </c>
      <c r="CO47" s="11">
        <v>0</v>
      </c>
      <c r="CP47" s="11">
        <v>0</v>
      </c>
      <c r="CQ47" s="11">
        <v>0</v>
      </c>
      <c r="CR47" s="11">
        <v>0</v>
      </c>
      <c r="CS47" t="str">
        <f>IFERROR(INDEX('Initiative Summary'!$C$5:$C$25,MATCH($A47,'Initiative Summary'!$A$5:$A$25,0)),"")</f>
        <v>Westmark Region</v>
      </c>
    </row>
    <row r="48" spans="1:97" ht="32.25" customHeight="1" x14ac:dyDescent="0.25">
      <c r="A48" s="6" t="s">
        <v>43</v>
      </c>
      <c r="B48" s="7" t="s">
        <v>44</v>
      </c>
      <c r="C48" s="8" t="s">
        <v>230</v>
      </c>
      <c r="D48" s="8" t="s">
        <v>195</v>
      </c>
      <c r="E48" s="8" t="s">
        <v>196</v>
      </c>
      <c r="F48" s="8" t="s">
        <v>197</v>
      </c>
      <c r="G48" s="8"/>
      <c r="H48" s="8"/>
      <c r="I48" s="8"/>
      <c r="J48" s="8"/>
      <c r="K48" s="7"/>
      <c r="L48" s="8" t="s">
        <v>231</v>
      </c>
      <c r="M48" s="8" t="s">
        <v>199</v>
      </c>
      <c r="N48" s="21">
        <v>0</v>
      </c>
      <c r="O48" s="8" t="b">
        <v>0</v>
      </c>
      <c r="P48" s="8" t="s">
        <v>201</v>
      </c>
      <c r="Q48" s="8" t="s">
        <v>232</v>
      </c>
      <c r="R48" s="8" t="s">
        <v>232</v>
      </c>
      <c r="S48" s="8">
        <v>0</v>
      </c>
      <c r="T48" s="21">
        <v>0.4</v>
      </c>
      <c r="U48" s="21">
        <v>0.4</v>
      </c>
      <c r="V48" s="21">
        <v>0.4</v>
      </c>
      <c r="W48" s="21">
        <v>0.4</v>
      </c>
      <c r="X48" s="8">
        <v>0</v>
      </c>
      <c r="Y48" s="8">
        <v>0</v>
      </c>
      <c r="Z48" s="8">
        <v>0</v>
      </c>
      <c r="AA48" s="8">
        <v>0</v>
      </c>
      <c r="AB48" s="8">
        <v>0</v>
      </c>
      <c r="AC48" s="8">
        <v>0</v>
      </c>
      <c r="AD48" s="8">
        <v>0</v>
      </c>
      <c r="AE48" s="8">
        <v>0</v>
      </c>
      <c r="AF48" s="8">
        <v>0</v>
      </c>
      <c r="AG48" s="8">
        <v>0</v>
      </c>
      <c r="AH48" s="8">
        <v>0</v>
      </c>
      <c r="AI48" s="8">
        <v>0</v>
      </c>
      <c r="AJ48" s="21">
        <v>0</v>
      </c>
      <c r="AK48" s="21">
        <v>0</v>
      </c>
      <c r="AL48" s="21">
        <v>0</v>
      </c>
      <c r="AM48" s="21">
        <v>4.4444444444444446E-2</v>
      </c>
      <c r="AN48" s="21">
        <v>4.4444444444444446E-2</v>
      </c>
      <c r="AO48" s="21">
        <v>4.4444444444444446E-2</v>
      </c>
      <c r="AP48" s="21">
        <v>4.4444444444444446E-2</v>
      </c>
      <c r="AQ48" s="21">
        <v>4.4444444444444446E-2</v>
      </c>
      <c r="AR48" s="21">
        <v>4.4444444444444446E-2</v>
      </c>
      <c r="AS48" s="21">
        <v>4.4444444444444446E-2</v>
      </c>
      <c r="AT48" s="21">
        <v>4.4444444444444446E-2</v>
      </c>
      <c r="AU48" s="21">
        <v>4.4444444444444446E-2</v>
      </c>
      <c r="AV48" s="21">
        <v>3.3333333333333333E-2</v>
      </c>
      <c r="AW48" s="21">
        <v>3.3333333333333333E-2</v>
      </c>
      <c r="AX48" s="21">
        <v>3.3333333333333333E-2</v>
      </c>
      <c r="AY48" s="21">
        <v>3.3333333333333333E-2</v>
      </c>
      <c r="AZ48" s="21">
        <v>3.3333333333333333E-2</v>
      </c>
      <c r="BA48" s="21">
        <v>3.3333333333333333E-2</v>
      </c>
      <c r="BB48" s="21">
        <v>3.3333333333333333E-2</v>
      </c>
      <c r="BC48" s="21">
        <v>3.3333333333333333E-2</v>
      </c>
      <c r="BD48" s="21">
        <v>3.3333333333333333E-2</v>
      </c>
      <c r="BE48" s="21">
        <v>3.3333333333333333E-2</v>
      </c>
      <c r="BF48" s="21">
        <v>3.3333333333333333E-2</v>
      </c>
      <c r="BG48" s="21">
        <v>3.3333333333333333E-2</v>
      </c>
      <c r="BH48" s="21">
        <v>3.3333333333333333E-2</v>
      </c>
      <c r="BI48" s="21">
        <v>3.3333333333333333E-2</v>
      </c>
      <c r="BJ48" s="21">
        <v>3.3333333333333333E-2</v>
      </c>
      <c r="BK48" s="21">
        <v>3.3333333333333333E-2</v>
      </c>
      <c r="BL48" s="21">
        <v>3.3333333333333333E-2</v>
      </c>
      <c r="BM48" s="21">
        <v>3.3333333333333333E-2</v>
      </c>
      <c r="BN48" s="21">
        <v>3.3333333333333333E-2</v>
      </c>
      <c r="BO48" s="21">
        <v>3.3333333333333333E-2</v>
      </c>
      <c r="BP48" s="21">
        <v>3.3333333333333333E-2</v>
      </c>
      <c r="BQ48" s="21">
        <v>3.3333333333333333E-2</v>
      </c>
      <c r="BR48" s="21">
        <v>3.3333333333333333E-2</v>
      </c>
      <c r="BS48" s="21">
        <v>3.3333333333333333E-2</v>
      </c>
      <c r="BT48" s="21">
        <v>3.3333333333333333E-2</v>
      </c>
      <c r="BU48" s="21">
        <v>3.3333333333333333E-2</v>
      </c>
      <c r="BV48" s="21">
        <v>3.3333333333333333E-2</v>
      </c>
      <c r="BW48" s="21">
        <v>3.3333333333333333E-2</v>
      </c>
      <c r="BX48" s="21">
        <v>3.3333333333333333E-2</v>
      </c>
      <c r="BY48" s="21">
        <v>3.3333333333333333E-2</v>
      </c>
      <c r="BZ48" s="21">
        <v>3.3333333333333333E-2</v>
      </c>
      <c r="CA48" s="21">
        <v>3.3333333333333333E-2</v>
      </c>
      <c r="CB48" s="21">
        <v>3.3333333333333333E-2</v>
      </c>
      <c r="CC48" s="21">
        <v>3.3333333333333333E-2</v>
      </c>
      <c r="CD48" s="21">
        <v>3.3333333333333333E-2</v>
      </c>
      <c r="CE48" s="21">
        <v>3.3333333333333333E-2</v>
      </c>
      <c r="CF48" s="8">
        <v>0.4</v>
      </c>
      <c r="CG48" s="8">
        <v>3.3333333333333333E-2</v>
      </c>
      <c r="CH48" s="8">
        <v>3.3333333333333333E-2</v>
      </c>
      <c r="CI48" s="8">
        <v>3.3333333333333333E-2</v>
      </c>
      <c r="CJ48" s="8">
        <v>3.3333333333333333E-2</v>
      </c>
      <c r="CK48" s="8">
        <v>3.3333333333333333E-2</v>
      </c>
      <c r="CL48" s="8">
        <v>3.3333333333333333E-2</v>
      </c>
      <c r="CM48" s="8">
        <v>3.3333333333333333E-2</v>
      </c>
      <c r="CN48" s="8">
        <v>3.3333333333333333E-2</v>
      </c>
      <c r="CO48" s="8">
        <v>3.3333333333333333E-2</v>
      </c>
      <c r="CP48" s="8">
        <v>3.3333333333333333E-2</v>
      </c>
      <c r="CQ48" s="8">
        <v>3.3333333333333333E-2</v>
      </c>
      <c r="CR48" s="8">
        <v>3.3333333333333333E-2</v>
      </c>
      <c r="CS48" t="str">
        <f>IFERROR(INDEX('Initiative Summary'!$C$5:$C$25,MATCH($A48,'Initiative Summary'!$A$5:$A$25,0)),"")</f>
        <v>Westmark Region</v>
      </c>
    </row>
    <row r="49" spans="1:97" ht="32.25" customHeight="1" x14ac:dyDescent="0.25">
      <c r="A49" s="6" t="s">
        <v>43</v>
      </c>
      <c r="B49" s="10" t="s">
        <v>44</v>
      </c>
      <c r="C49" s="11" t="s">
        <v>230</v>
      </c>
      <c r="D49" s="11" t="s">
        <v>203</v>
      </c>
      <c r="E49" s="11" t="s">
        <v>196</v>
      </c>
      <c r="F49" s="11" t="s">
        <v>197</v>
      </c>
      <c r="G49" s="11"/>
      <c r="H49" s="11"/>
      <c r="I49" s="11"/>
      <c r="J49" s="11"/>
      <c r="K49" s="10"/>
      <c r="L49" s="11" t="s">
        <v>231</v>
      </c>
      <c r="M49" s="11" t="s">
        <v>199</v>
      </c>
      <c r="N49" s="20">
        <v>0</v>
      </c>
      <c r="O49" s="11" t="b">
        <v>0</v>
      </c>
      <c r="P49" s="11" t="s">
        <v>201</v>
      </c>
      <c r="Q49" s="11" t="s">
        <v>232</v>
      </c>
      <c r="R49" s="11" t="s">
        <v>232</v>
      </c>
      <c r="S49" s="11">
        <v>0</v>
      </c>
      <c r="T49" s="20">
        <v>0.8</v>
      </c>
      <c r="U49" s="20">
        <v>0.8</v>
      </c>
      <c r="V49" s="20">
        <v>0.8</v>
      </c>
      <c r="W49" s="20">
        <v>0.8</v>
      </c>
      <c r="X49" s="11">
        <v>0</v>
      </c>
      <c r="Y49" s="11">
        <v>0</v>
      </c>
      <c r="Z49" s="11">
        <v>0</v>
      </c>
      <c r="AA49" s="11">
        <v>0</v>
      </c>
      <c r="AB49" s="11">
        <v>0</v>
      </c>
      <c r="AC49" s="11">
        <v>0</v>
      </c>
      <c r="AD49" s="11">
        <v>0</v>
      </c>
      <c r="AE49" s="11">
        <v>0</v>
      </c>
      <c r="AF49" s="11">
        <v>0</v>
      </c>
      <c r="AG49" s="11">
        <v>0</v>
      </c>
      <c r="AH49" s="11">
        <v>0</v>
      </c>
      <c r="AI49" s="11">
        <v>0</v>
      </c>
      <c r="AJ49" s="20">
        <v>0</v>
      </c>
      <c r="AK49" s="20">
        <v>0</v>
      </c>
      <c r="AL49" s="20">
        <v>0</v>
      </c>
      <c r="AM49" s="20">
        <v>8.8888888888888892E-2</v>
      </c>
      <c r="AN49" s="20">
        <v>8.8888888888888892E-2</v>
      </c>
      <c r="AO49" s="20">
        <v>8.8888888888888892E-2</v>
      </c>
      <c r="AP49" s="20">
        <v>8.8888888888888892E-2</v>
      </c>
      <c r="AQ49" s="20">
        <v>8.8888888888888892E-2</v>
      </c>
      <c r="AR49" s="20">
        <v>8.8888888888888892E-2</v>
      </c>
      <c r="AS49" s="20">
        <v>8.8888888888888892E-2</v>
      </c>
      <c r="AT49" s="20">
        <v>8.8888888888888892E-2</v>
      </c>
      <c r="AU49" s="20">
        <v>8.8888888888888892E-2</v>
      </c>
      <c r="AV49" s="20">
        <v>6.6666666666666666E-2</v>
      </c>
      <c r="AW49" s="20">
        <v>6.6666666666666666E-2</v>
      </c>
      <c r="AX49" s="20">
        <v>6.6666666666666666E-2</v>
      </c>
      <c r="AY49" s="20">
        <v>6.6666666666666666E-2</v>
      </c>
      <c r="AZ49" s="20">
        <v>6.6666666666666666E-2</v>
      </c>
      <c r="BA49" s="20">
        <v>6.6666666666666666E-2</v>
      </c>
      <c r="BB49" s="20">
        <v>6.6666666666666666E-2</v>
      </c>
      <c r="BC49" s="20">
        <v>6.6666666666666666E-2</v>
      </c>
      <c r="BD49" s="20">
        <v>6.6666666666666666E-2</v>
      </c>
      <c r="BE49" s="20">
        <v>6.6666666666666666E-2</v>
      </c>
      <c r="BF49" s="20">
        <v>6.6666666666666666E-2</v>
      </c>
      <c r="BG49" s="20">
        <v>6.6666666666666666E-2</v>
      </c>
      <c r="BH49" s="20">
        <v>6.6666666666666666E-2</v>
      </c>
      <c r="BI49" s="20">
        <v>6.6666666666666666E-2</v>
      </c>
      <c r="BJ49" s="20">
        <v>6.6666666666666666E-2</v>
      </c>
      <c r="BK49" s="20">
        <v>6.6666666666666666E-2</v>
      </c>
      <c r="BL49" s="20">
        <v>6.6666666666666666E-2</v>
      </c>
      <c r="BM49" s="20">
        <v>6.6666666666666666E-2</v>
      </c>
      <c r="BN49" s="20">
        <v>6.6666666666666666E-2</v>
      </c>
      <c r="BO49" s="20">
        <v>6.6666666666666666E-2</v>
      </c>
      <c r="BP49" s="20">
        <v>6.6666666666666666E-2</v>
      </c>
      <c r="BQ49" s="20">
        <v>6.6666666666666666E-2</v>
      </c>
      <c r="BR49" s="20">
        <v>6.6666666666666666E-2</v>
      </c>
      <c r="BS49" s="20">
        <v>6.6666666666666666E-2</v>
      </c>
      <c r="BT49" s="20">
        <v>6.6666666666666666E-2</v>
      </c>
      <c r="BU49" s="20">
        <v>6.6666666666666666E-2</v>
      </c>
      <c r="BV49" s="20">
        <v>6.6666666666666666E-2</v>
      </c>
      <c r="BW49" s="20">
        <v>6.6666666666666666E-2</v>
      </c>
      <c r="BX49" s="20">
        <v>6.6666666666666666E-2</v>
      </c>
      <c r="BY49" s="20">
        <v>6.6666666666666666E-2</v>
      </c>
      <c r="BZ49" s="20">
        <v>6.6666666666666666E-2</v>
      </c>
      <c r="CA49" s="20">
        <v>6.6666666666666666E-2</v>
      </c>
      <c r="CB49" s="20">
        <v>6.6666666666666666E-2</v>
      </c>
      <c r="CC49" s="20">
        <v>6.6666666666666666E-2</v>
      </c>
      <c r="CD49" s="20">
        <v>6.6666666666666666E-2</v>
      </c>
      <c r="CE49" s="20">
        <v>6.6666666666666666E-2</v>
      </c>
      <c r="CF49" s="11">
        <v>0.8</v>
      </c>
      <c r="CG49" s="11">
        <v>6.6666666666666666E-2</v>
      </c>
      <c r="CH49" s="11">
        <v>6.6666666666666666E-2</v>
      </c>
      <c r="CI49" s="11">
        <v>6.6666666666666666E-2</v>
      </c>
      <c r="CJ49" s="11">
        <v>6.6666666666666666E-2</v>
      </c>
      <c r="CK49" s="11">
        <v>6.6666666666666666E-2</v>
      </c>
      <c r="CL49" s="11">
        <v>6.6666666666666666E-2</v>
      </c>
      <c r="CM49" s="11">
        <v>6.6666666666666666E-2</v>
      </c>
      <c r="CN49" s="11">
        <v>6.6666666666666666E-2</v>
      </c>
      <c r="CO49" s="11">
        <v>6.6666666666666666E-2</v>
      </c>
      <c r="CP49" s="11">
        <v>6.6666666666666666E-2</v>
      </c>
      <c r="CQ49" s="11">
        <v>6.6666666666666666E-2</v>
      </c>
      <c r="CR49" s="11">
        <v>6.6666666666666666E-2</v>
      </c>
      <c r="CS49" t="str">
        <f>IFERROR(INDEX('Initiative Summary'!$C$5:$C$25,MATCH($A49,'Initiative Summary'!$A$5:$A$25,0)),"")</f>
        <v>Westmark Region</v>
      </c>
    </row>
    <row r="50" spans="1:97" ht="32.25" customHeight="1" x14ac:dyDescent="0.25">
      <c r="A50" s="6" t="s">
        <v>43</v>
      </c>
      <c r="B50" s="7" t="s">
        <v>44</v>
      </c>
      <c r="C50" s="8" t="s">
        <v>230</v>
      </c>
      <c r="D50" s="8" t="s">
        <v>204</v>
      </c>
      <c r="E50" s="8" t="s">
        <v>196</v>
      </c>
      <c r="F50" s="8" t="s">
        <v>197</v>
      </c>
      <c r="G50" s="8"/>
      <c r="H50" s="8"/>
      <c r="I50" s="8"/>
      <c r="J50" s="8"/>
      <c r="K50" s="7"/>
      <c r="L50" s="8" t="s">
        <v>231</v>
      </c>
      <c r="M50" s="8" t="s">
        <v>199</v>
      </c>
      <c r="N50" s="21">
        <v>0</v>
      </c>
      <c r="O50" s="8" t="b">
        <v>0</v>
      </c>
      <c r="P50" s="8" t="s">
        <v>201</v>
      </c>
      <c r="Q50" s="8" t="s">
        <v>232</v>
      </c>
      <c r="R50" s="8" t="s">
        <v>232</v>
      </c>
      <c r="S50" s="8"/>
      <c r="T50" s="8"/>
      <c r="U50" s="8"/>
      <c r="V50" s="8"/>
      <c r="W50" s="8"/>
      <c r="X50" s="8">
        <v>0</v>
      </c>
      <c r="Y50" s="8">
        <v>0</v>
      </c>
      <c r="Z50" s="8">
        <v>0</v>
      </c>
      <c r="AA50" s="8">
        <v>0</v>
      </c>
      <c r="AB50" s="8">
        <v>0</v>
      </c>
      <c r="AC50" s="8">
        <v>0</v>
      </c>
      <c r="AD50" s="8">
        <v>0</v>
      </c>
      <c r="AE50" s="8">
        <v>0</v>
      </c>
      <c r="AF50" s="8">
        <v>0</v>
      </c>
      <c r="AG50" s="8">
        <v>0</v>
      </c>
      <c r="AH50" s="8">
        <v>0</v>
      </c>
      <c r="AI50" s="8">
        <v>0</v>
      </c>
      <c r="AJ50" s="8">
        <v>0</v>
      </c>
      <c r="AK50" s="8">
        <v>0</v>
      </c>
      <c r="AL50" s="8">
        <v>0</v>
      </c>
      <c r="AM50" s="8">
        <v>0</v>
      </c>
      <c r="AN50" s="8">
        <v>0</v>
      </c>
      <c r="AO50" s="8">
        <v>0</v>
      </c>
      <c r="AP50" s="8">
        <v>0</v>
      </c>
      <c r="AQ50" s="8">
        <v>0</v>
      </c>
      <c r="AR50" s="8">
        <v>0</v>
      </c>
      <c r="AS50" s="8">
        <v>0</v>
      </c>
      <c r="AT50" s="8">
        <v>0</v>
      </c>
      <c r="AU50" s="8">
        <v>0</v>
      </c>
      <c r="AV50" s="8">
        <v>0</v>
      </c>
      <c r="AW50" s="8">
        <v>0</v>
      </c>
      <c r="AX50" s="8">
        <v>0</v>
      </c>
      <c r="AY50" s="8">
        <v>0</v>
      </c>
      <c r="AZ50" s="8">
        <v>0</v>
      </c>
      <c r="BA50" s="8">
        <v>0</v>
      </c>
      <c r="BB50" s="8">
        <v>0</v>
      </c>
      <c r="BC50" s="8">
        <v>0</v>
      </c>
      <c r="BD50" s="8">
        <v>0</v>
      </c>
      <c r="BE50" s="8">
        <v>0</v>
      </c>
      <c r="BF50" s="8">
        <v>0</v>
      </c>
      <c r="BG50" s="8">
        <v>0</v>
      </c>
      <c r="BH50" s="8">
        <v>0</v>
      </c>
      <c r="BI50" s="8">
        <v>0</v>
      </c>
      <c r="BJ50" s="8">
        <v>0</v>
      </c>
      <c r="BK50" s="8">
        <v>0</v>
      </c>
      <c r="BL50" s="8">
        <v>0</v>
      </c>
      <c r="BM50" s="8">
        <v>0</v>
      </c>
      <c r="BN50" s="8">
        <v>0</v>
      </c>
      <c r="BO50" s="8">
        <v>0</v>
      </c>
      <c r="BP50" s="8">
        <v>0</v>
      </c>
      <c r="BQ50" s="8">
        <v>0</v>
      </c>
      <c r="BR50" s="8">
        <v>0</v>
      </c>
      <c r="BS50" s="8">
        <v>0</v>
      </c>
      <c r="BT50" s="8">
        <v>0</v>
      </c>
      <c r="BU50" s="8">
        <v>0</v>
      </c>
      <c r="BV50" s="8">
        <v>0</v>
      </c>
      <c r="BW50" s="8">
        <v>0</v>
      </c>
      <c r="BX50" s="8">
        <v>0</v>
      </c>
      <c r="BY50" s="8">
        <v>0</v>
      </c>
      <c r="BZ50" s="8">
        <v>0</v>
      </c>
      <c r="CA50" s="8">
        <v>0</v>
      </c>
      <c r="CB50" s="8">
        <v>0</v>
      </c>
      <c r="CC50" s="8">
        <v>0</v>
      </c>
      <c r="CD50" s="8">
        <v>0</v>
      </c>
      <c r="CE50" s="8">
        <v>0</v>
      </c>
      <c r="CF50" s="8">
        <v>0</v>
      </c>
      <c r="CG50" s="8">
        <v>0</v>
      </c>
      <c r="CH50" s="8">
        <v>0</v>
      </c>
      <c r="CI50" s="8">
        <v>0</v>
      </c>
      <c r="CJ50" s="8">
        <v>0</v>
      </c>
      <c r="CK50" s="8">
        <v>0</v>
      </c>
      <c r="CL50" s="8">
        <v>0</v>
      </c>
      <c r="CM50" s="8">
        <v>0</v>
      </c>
      <c r="CN50" s="8">
        <v>0</v>
      </c>
      <c r="CO50" s="8">
        <v>0</v>
      </c>
      <c r="CP50" s="8">
        <v>0</v>
      </c>
      <c r="CQ50" s="8">
        <v>0</v>
      </c>
      <c r="CR50" s="8">
        <v>0</v>
      </c>
      <c r="CS50" t="str">
        <f>IFERROR(INDEX('Initiative Summary'!$C$5:$C$25,MATCH($A50,'Initiative Summary'!$A$5:$A$25,0)),"")</f>
        <v>Westmark Region</v>
      </c>
    </row>
    <row r="51" spans="1:97" ht="32.25" customHeight="1" x14ac:dyDescent="0.25">
      <c r="A51" s="6" t="s">
        <v>43</v>
      </c>
      <c r="B51" s="10" t="s">
        <v>44</v>
      </c>
      <c r="C51" s="11" t="s">
        <v>205</v>
      </c>
      <c r="D51" s="11" t="s">
        <v>195</v>
      </c>
      <c r="E51" s="11" t="s">
        <v>206</v>
      </c>
      <c r="F51" s="11" t="s">
        <v>207</v>
      </c>
      <c r="G51" s="11"/>
      <c r="H51" s="11" t="s">
        <v>215</v>
      </c>
      <c r="I51" s="11" t="s">
        <v>216</v>
      </c>
      <c r="J51" s="11"/>
      <c r="K51" s="10"/>
      <c r="L51" s="11" t="s">
        <v>233</v>
      </c>
      <c r="M51" s="11" t="s">
        <v>199</v>
      </c>
      <c r="N51" s="20">
        <v>3</v>
      </c>
      <c r="O51" s="11" t="b">
        <v>0</v>
      </c>
      <c r="P51" s="11" t="s">
        <v>218</v>
      </c>
      <c r="Q51" s="11" t="s">
        <v>232</v>
      </c>
      <c r="R51" s="11" t="s">
        <v>232</v>
      </c>
      <c r="S51" s="11"/>
      <c r="T51" s="11"/>
      <c r="U51" s="11"/>
      <c r="V51" s="11"/>
      <c r="W51" s="11"/>
      <c r="X51" s="11">
        <v>0</v>
      </c>
      <c r="Y51" s="11">
        <v>0</v>
      </c>
      <c r="Z51" s="11">
        <v>0</v>
      </c>
      <c r="AA51" s="11">
        <v>0</v>
      </c>
      <c r="AB51" s="11">
        <v>0</v>
      </c>
      <c r="AC51" s="11">
        <v>0</v>
      </c>
      <c r="AD51" s="11">
        <v>0</v>
      </c>
      <c r="AE51" s="11">
        <v>0</v>
      </c>
      <c r="AF51" s="11">
        <v>0</v>
      </c>
      <c r="AG51" s="11">
        <v>0</v>
      </c>
      <c r="AH51" s="11">
        <v>0</v>
      </c>
      <c r="AI51" s="11">
        <v>0</v>
      </c>
      <c r="AJ51" s="11">
        <v>0</v>
      </c>
      <c r="AK51" s="11">
        <v>0</v>
      </c>
      <c r="AL51" s="11">
        <v>0</v>
      </c>
      <c r="AM51" s="11">
        <v>0</v>
      </c>
      <c r="AN51" s="11">
        <v>0</v>
      </c>
      <c r="AO51" s="11">
        <v>0</v>
      </c>
      <c r="AP51" s="11">
        <v>0</v>
      </c>
      <c r="AQ51" s="11">
        <v>0</v>
      </c>
      <c r="AR51" s="11">
        <v>0</v>
      </c>
      <c r="AS51" s="11">
        <v>0</v>
      </c>
      <c r="AT51" s="11">
        <v>0</v>
      </c>
      <c r="AU51" s="11">
        <v>0</v>
      </c>
      <c r="AV51" s="11">
        <v>0</v>
      </c>
      <c r="AW51" s="11">
        <v>0</v>
      </c>
      <c r="AX51" s="11">
        <v>0</v>
      </c>
      <c r="AY51" s="11">
        <v>0</v>
      </c>
      <c r="AZ51" s="11">
        <v>0</v>
      </c>
      <c r="BA51" s="11">
        <v>0</v>
      </c>
      <c r="BB51" s="11">
        <v>0</v>
      </c>
      <c r="BC51" s="11">
        <v>0</v>
      </c>
      <c r="BD51" s="11">
        <v>0</v>
      </c>
      <c r="BE51" s="11">
        <v>0</v>
      </c>
      <c r="BF51" s="11">
        <v>0</v>
      </c>
      <c r="BG51" s="11">
        <v>0</v>
      </c>
      <c r="BH51" s="11">
        <v>0</v>
      </c>
      <c r="BI51" s="11">
        <v>0</v>
      </c>
      <c r="BJ51" s="11">
        <v>0</v>
      </c>
      <c r="BK51" s="11">
        <v>0</v>
      </c>
      <c r="BL51" s="11">
        <v>0</v>
      </c>
      <c r="BM51" s="11">
        <v>0</v>
      </c>
      <c r="BN51" s="11">
        <v>0</v>
      </c>
      <c r="BO51" s="11">
        <v>0</v>
      </c>
      <c r="BP51" s="11">
        <v>0</v>
      </c>
      <c r="BQ51" s="11">
        <v>0</v>
      </c>
      <c r="BR51" s="11">
        <v>0</v>
      </c>
      <c r="BS51" s="11">
        <v>0</v>
      </c>
      <c r="BT51" s="11">
        <v>0</v>
      </c>
      <c r="BU51" s="11">
        <v>0</v>
      </c>
      <c r="BV51" s="11">
        <v>0</v>
      </c>
      <c r="BW51" s="11">
        <v>0</v>
      </c>
      <c r="BX51" s="11">
        <v>0</v>
      </c>
      <c r="BY51" s="11">
        <v>0</v>
      </c>
      <c r="BZ51" s="11">
        <v>0</v>
      </c>
      <c r="CA51" s="11">
        <v>0</v>
      </c>
      <c r="CB51" s="11">
        <v>0</v>
      </c>
      <c r="CC51" s="11">
        <v>0</v>
      </c>
      <c r="CD51" s="11">
        <v>0</v>
      </c>
      <c r="CE51" s="11">
        <v>0</v>
      </c>
      <c r="CF51" s="11">
        <v>0</v>
      </c>
      <c r="CG51" s="11">
        <v>0</v>
      </c>
      <c r="CH51" s="11">
        <v>0</v>
      </c>
      <c r="CI51" s="11">
        <v>0</v>
      </c>
      <c r="CJ51" s="11">
        <v>0</v>
      </c>
      <c r="CK51" s="11">
        <v>0</v>
      </c>
      <c r="CL51" s="11">
        <v>0</v>
      </c>
      <c r="CM51" s="11">
        <v>0</v>
      </c>
      <c r="CN51" s="11">
        <v>0</v>
      </c>
      <c r="CO51" s="11">
        <v>0</v>
      </c>
      <c r="CP51" s="11">
        <v>0</v>
      </c>
      <c r="CQ51" s="11">
        <v>0</v>
      </c>
      <c r="CR51" s="11">
        <v>0</v>
      </c>
      <c r="CS51" t="str">
        <f>IFERROR(INDEX('Initiative Summary'!$C$5:$C$25,MATCH($A51,'Initiative Summary'!$A$5:$A$25,0)),"")</f>
        <v>Westmark Region</v>
      </c>
    </row>
    <row r="52" spans="1:97" ht="32.25" customHeight="1" x14ac:dyDescent="0.25">
      <c r="A52" s="6" t="s">
        <v>43</v>
      </c>
      <c r="B52" s="7" t="s">
        <v>44</v>
      </c>
      <c r="C52" s="8" t="s">
        <v>205</v>
      </c>
      <c r="D52" s="8" t="s">
        <v>203</v>
      </c>
      <c r="E52" s="8" t="s">
        <v>206</v>
      </c>
      <c r="F52" s="8" t="s">
        <v>207</v>
      </c>
      <c r="G52" s="8"/>
      <c r="H52" s="8" t="s">
        <v>215</v>
      </c>
      <c r="I52" s="8" t="s">
        <v>216</v>
      </c>
      <c r="J52" s="8"/>
      <c r="K52" s="7"/>
      <c r="L52" s="8" t="s">
        <v>233</v>
      </c>
      <c r="M52" s="8" t="s">
        <v>199</v>
      </c>
      <c r="N52" s="21">
        <v>3</v>
      </c>
      <c r="O52" s="8" t="b">
        <v>0</v>
      </c>
      <c r="P52" s="8" t="s">
        <v>218</v>
      </c>
      <c r="Q52" s="8" t="s">
        <v>232</v>
      </c>
      <c r="R52" s="8" t="s">
        <v>232</v>
      </c>
      <c r="S52" s="8"/>
      <c r="T52" s="8"/>
      <c r="U52" s="8"/>
      <c r="V52" s="8"/>
      <c r="W52" s="8"/>
      <c r="X52" s="8">
        <v>0</v>
      </c>
      <c r="Y52" s="8">
        <v>0</v>
      </c>
      <c r="Z52" s="8">
        <v>0</v>
      </c>
      <c r="AA52" s="8">
        <v>0</v>
      </c>
      <c r="AB52" s="8">
        <v>0</v>
      </c>
      <c r="AC52" s="8">
        <v>0</v>
      </c>
      <c r="AD52" s="8">
        <v>0</v>
      </c>
      <c r="AE52" s="8">
        <v>0</v>
      </c>
      <c r="AF52" s="8">
        <v>0</v>
      </c>
      <c r="AG52" s="8">
        <v>0</v>
      </c>
      <c r="AH52" s="8">
        <v>0</v>
      </c>
      <c r="AI52" s="8">
        <v>0</v>
      </c>
      <c r="AJ52" s="8">
        <v>0</v>
      </c>
      <c r="AK52" s="8">
        <v>0</v>
      </c>
      <c r="AL52" s="8">
        <v>0</v>
      </c>
      <c r="AM52" s="8">
        <v>0</v>
      </c>
      <c r="AN52" s="8">
        <v>0</v>
      </c>
      <c r="AO52" s="8">
        <v>0</v>
      </c>
      <c r="AP52" s="8">
        <v>0</v>
      </c>
      <c r="AQ52" s="8">
        <v>0</v>
      </c>
      <c r="AR52" s="8">
        <v>0</v>
      </c>
      <c r="AS52" s="8">
        <v>0</v>
      </c>
      <c r="AT52" s="8">
        <v>0</v>
      </c>
      <c r="AU52" s="8">
        <v>0</v>
      </c>
      <c r="AV52" s="8">
        <v>0</v>
      </c>
      <c r="AW52" s="8">
        <v>0</v>
      </c>
      <c r="AX52" s="8">
        <v>0</v>
      </c>
      <c r="AY52" s="8">
        <v>0</v>
      </c>
      <c r="AZ52" s="8">
        <v>0</v>
      </c>
      <c r="BA52" s="8">
        <v>0</v>
      </c>
      <c r="BB52" s="8">
        <v>0</v>
      </c>
      <c r="BC52" s="8">
        <v>0</v>
      </c>
      <c r="BD52" s="8">
        <v>0</v>
      </c>
      <c r="BE52" s="8">
        <v>0</v>
      </c>
      <c r="BF52" s="8">
        <v>0</v>
      </c>
      <c r="BG52" s="8">
        <v>0</v>
      </c>
      <c r="BH52" s="8">
        <v>0</v>
      </c>
      <c r="BI52" s="8">
        <v>0</v>
      </c>
      <c r="BJ52" s="8">
        <v>0</v>
      </c>
      <c r="BK52" s="8">
        <v>0</v>
      </c>
      <c r="BL52" s="8">
        <v>0</v>
      </c>
      <c r="BM52" s="8">
        <v>0</v>
      </c>
      <c r="BN52" s="8">
        <v>0</v>
      </c>
      <c r="BO52" s="8">
        <v>0</v>
      </c>
      <c r="BP52" s="8">
        <v>0</v>
      </c>
      <c r="BQ52" s="8">
        <v>0</v>
      </c>
      <c r="BR52" s="8">
        <v>0</v>
      </c>
      <c r="BS52" s="8">
        <v>0</v>
      </c>
      <c r="BT52" s="8">
        <v>0</v>
      </c>
      <c r="BU52" s="8">
        <v>0</v>
      </c>
      <c r="BV52" s="8">
        <v>0</v>
      </c>
      <c r="BW52" s="8">
        <v>0</v>
      </c>
      <c r="BX52" s="8">
        <v>0</v>
      </c>
      <c r="BY52" s="8">
        <v>0</v>
      </c>
      <c r="BZ52" s="8">
        <v>0</v>
      </c>
      <c r="CA52" s="8">
        <v>0</v>
      </c>
      <c r="CB52" s="8">
        <v>0</v>
      </c>
      <c r="CC52" s="8">
        <v>0</v>
      </c>
      <c r="CD52" s="8">
        <v>0</v>
      </c>
      <c r="CE52" s="8">
        <v>0</v>
      </c>
      <c r="CF52" s="8">
        <v>0</v>
      </c>
      <c r="CG52" s="8">
        <v>0</v>
      </c>
      <c r="CH52" s="8">
        <v>0</v>
      </c>
      <c r="CI52" s="8">
        <v>0</v>
      </c>
      <c r="CJ52" s="8">
        <v>0</v>
      </c>
      <c r="CK52" s="8">
        <v>0</v>
      </c>
      <c r="CL52" s="8">
        <v>0</v>
      </c>
      <c r="CM52" s="8">
        <v>0</v>
      </c>
      <c r="CN52" s="8">
        <v>0</v>
      </c>
      <c r="CO52" s="8">
        <v>0</v>
      </c>
      <c r="CP52" s="8">
        <v>0</v>
      </c>
      <c r="CQ52" s="8">
        <v>0</v>
      </c>
      <c r="CR52" s="8">
        <v>0</v>
      </c>
      <c r="CS52" t="str">
        <f>IFERROR(INDEX('Initiative Summary'!$C$5:$C$25,MATCH($A52,'Initiative Summary'!$A$5:$A$25,0)),"")</f>
        <v>Westmark Region</v>
      </c>
    </row>
    <row r="53" spans="1:97" ht="32.25" customHeight="1" x14ac:dyDescent="0.25">
      <c r="A53" s="6" t="s">
        <v>43</v>
      </c>
      <c r="B53" s="10" t="s">
        <v>44</v>
      </c>
      <c r="C53" s="11" t="s">
        <v>205</v>
      </c>
      <c r="D53" s="11" t="s">
        <v>204</v>
      </c>
      <c r="E53" s="11" t="s">
        <v>206</v>
      </c>
      <c r="F53" s="11" t="s">
        <v>207</v>
      </c>
      <c r="G53" s="11"/>
      <c r="H53" s="11" t="s">
        <v>215</v>
      </c>
      <c r="I53" s="11" t="s">
        <v>216</v>
      </c>
      <c r="J53" s="11"/>
      <c r="K53" s="10"/>
      <c r="L53" s="11" t="s">
        <v>233</v>
      </c>
      <c r="M53" s="11" t="s">
        <v>199</v>
      </c>
      <c r="N53" s="20">
        <v>3</v>
      </c>
      <c r="O53" s="11" t="b">
        <v>0</v>
      </c>
      <c r="P53" s="11" t="s">
        <v>218</v>
      </c>
      <c r="Q53" s="11" t="s">
        <v>232</v>
      </c>
      <c r="R53" s="11" t="s">
        <v>232</v>
      </c>
      <c r="S53" s="11"/>
      <c r="T53" s="11"/>
      <c r="U53" s="11"/>
      <c r="V53" s="11"/>
      <c r="W53" s="11"/>
      <c r="X53" s="11">
        <v>0</v>
      </c>
      <c r="Y53" s="11">
        <v>0</v>
      </c>
      <c r="Z53" s="11">
        <v>0</v>
      </c>
      <c r="AA53" s="11">
        <v>0</v>
      </c>
      <c r="AB53" s="11">
        <v>0</v>
      </c>
      <c r="AC53" s="11">
        <v>0</v>
      </c>
      <c r="AD53" s="11">
        <v>0</v>
      </c>
      <c r="AE53" s="11">
        <v>0</v>
      </c>
      <c r="AF53" s="11">
        <v>0</v>
      </c>
      <c r="AG53" s="11">
        <v>0</v>
      </c>
      <c r="AH53" s="11">
        <v>0</v>
      </c>
      <c r="AI53" s="11">
        <v>0</v>
      </c>
      <c r="AJ53" s="11">
        <v>0</v>
      </c>
      <c r="AK53" s="11">
        <v>0</v>
      </c>
      <c r="AL53" s="11">
        <v>0</v>
      </c>
      <c r="AM53" s="11">
        <v>0</v>
      </c>
      <c r="AN53" s="11">
        <v>0</v>
      </c>
      <c r="AO53" s="11">
        <v>0</v>
      </c>
      <c r="AP53" s="11">
        <v>0</v>
      </c>
      <c r="AQ53" s="11">
        <v>0</v>
      </c>
      <c r="AR53" s="11">
        <v>0</v>
      </c>
      <c r="AS53" s="11">
        <v>0</v>
      </c>
      <c r="AT53" s="11">
        <v>0</v>
      </c>
      <c r="AU53" s="11">
        <v>0</v>
      </c>
      <c r="AV53" s="11">
        <v>0</v>
      </c>
      <c r="AW53" s="11">
        <v>0</v>
      </c>
      <c r="AX53" s="11">
        <v>0</v>
      </c>
      <c r="AY53" s="11">
        <v>0</v>
      </c>
      <c r="AZ53" s="11">
        <v>0</v>
      </c>
      <c r="BA53" s="11">
        <v>0</v>
      </c>
      <c r="BB53" s="11">
        <v>0</v>
      </c>
      <c r="BC53" s="11">
        <v>0</v>
      </c>
      <c r="BD53" s="11">
        <v>0</v>
      </c>
      <c r="BE53" s="11">
        <v>0</v>
      </c>
      <c r="BF53" s="11">
        <v>0</v>
      </c>
      <c r="BG53" s="11">
        <v>0</v>
      </c>
      <c r="BH53" s="11">
        <v>0</v>
      </c>
      <c r="BI53" s="11">
        <v>0</v>
      </c>
      <c r="BJ53" s="11">
        <v>0</v>
      </c>
      <c r="BK53" s="11">
        <v>0</v>
      </c>
      <c r="BL53" s="11">
        <v>0</v>
      </c>
      <c r="BM53" s="11">
        <v>0</v>
      </c>
      <c r="BN53" s="11">
        <v>0</v>
      </c>
      <c r="BO53" s="11">
        <v>0</v>
      </c>
      <c r="BP53" s="11">
        <v>0</v>
      </c>
      <c r="BQ53" s="11">
        <v>0</v>
      </c>
      <c r="BR53" s="11">
        <v>0</v>
      </c>
      <c r="BS53" s="11">
        <v>0</v>
      </c>
      <c r="BT53" s="11">
        <v>0</v>
      </c>
      <c r="BU53" s="11">
        <v>0</v>
      </c>
      <c r="BV53" s="11">
        <v>0</v>
      </c>
      <c r="BW53" s="11">
        <v>0</v>
      </c>
      <c r="BX53" s="11">
        <v>0</v>
      </c>
      <c r="BY53" s="11">
        <v>0</v>
      </c>
      <c r="BZ53" s="11">
        <v>0</v>
      </c>
      <c r="CA53" s="11">
        <v>0</v>
      </c>
      <c r="CB53" s="11">
        <v>0</v>
      </c>
      <c r="CC53" s="11">
        <v>0</v>
      </c>
      <c r="CD53" s="11">
        <v>0</v>
      </c>
      <c r="CE53" s="11">
        <v>0</v>
      </c>
      <c r="CF53" s="11">
        <v>0</v>
      </c>
      <c r="CG53" s="11">
        <v>0</v>
      </c>
      <c r="CH53" s="11">
        <v>0</v>
      </c>
      <c r="CI53" s="11">
        <v>0</v>
      </c>
      <c r="CJ53" s="11">
        <v>0</v>
      </c>
      <c r="CK53" s="11">
        <v>0</v>
      </c>
      <c r="CL53" s="11">
        <v>0</v>
      </c>
      <c r="CM53" s="11">
        <v>0</v>
      </c>
      <c r="CN53" s="11">
        <v>0</v>
      </c>
      <c r="CO53" s="11">
        <v>0</v>
      </c>
      <c r="CP53" s="11">
        <v>0</v>
      </c>
      <c r="CQ53" s="11">
        <v>0</v>
      </c>
      <c r="CR53" s="11">
        <v>0</v>
      </c>
      <c r="CS53" t="str">
        <f>IFERROR(INDEX('Initiative Summary'!$C$5:$C$25,MATCH($A53,'Initiative Summary'!$A$5:$A$25,0)),"")</f>
        <v>Westmark Region</v>
      </c>
    </row>
    <row r="54" spans="1:97" ht="32.25" customHeight="1" x14ac:dyDescent="0.25">
      <c r="A54" s="6" t="s">
        <v>43</v>
      </c>
      <c r="B54" s="7" t="s">
        <v>44</v>
      </c>
      <c r="C54" s="8" t="s">
        <v>234</v>
      </c>
      <c r="D54" s="8" t="s">
        <v>195</v>
      </c>
      <c r="E54" s="8" t="s">
        <v>206</v>
      </c>
      <c r="F54" s="8" t="s">
        <v>197</v>
      </c>
      <c r="G54" s="8"/>
      <c r="H54" s="8"/>
      <c r="I54" s="8"/>
      <c r="J54" s="8"/>
      <c r="K54" s="7"/>
      <c r="L54" s="8" t="s">
        <v>235</v>
      </c>
      <c r="M54" s="8" t="s">
        <v>199</v>
      </c>
      <c r="N54" s="21">
        <v>100</v>
      </c>
      <c r="O54" s="8" t="b">
        <v>0</v>
      </c>
      <c r="P54" s="8" t="s">
        <v>201</v>
      </c>
      <c r="Q54" s="8" t="s">
        <v>210</v>
      </c>
      <c r="R54" s="8" t="s">
        <v>210</v>
      </c>
      <c r="S54" s="8">
        <v>0</v>
      </c>
      <c r="T54" s="21">
        <v>0.24</v>
      </c>
      <c r="U54" s="21">
        <v>0.24</v>
      </c>
      <c r="V54" s="21">
        <v>0.24</v>
      </c>
      <c r="W54" s="21">
        <v>0.24</v>
      </c>
      <c r="X54" s="8">
        <v>0</v>
      </c>
      <c r="Y54" s="8">
        <v>0</v>
      </c>
      <c r="Z54" s="8">
        <v>0</v>
      </c>
      <c r="AA54" s="8">
        <v>0</v>
      </c>
      <c r="AB54" s="8">
        <v>0</v>
      </c>
      <c r="AC54" s="8">
        <v>0</v>
      </c>
      <c r="AD54" s="8">
        <v>0</v>
      </c>
      <c r="AE54" s="8">
        <v>0</v>
      </c>
      <c r="AF54" s="8">
        <v>0</v>
      </c>
      <c r="AG54" s="8">
        <v>0</v>
      </c>
      <c r="AH54" s="8">
        <v>0</v>
      </c>
      <c r="AI54" s="8">
        <v>0</v>
      </c>
      <c r="AJ54" s="21">
        <v>0</v>
      </c>
      <c r="AK54" s="21">
        <v>0</v>
      </c>
      <c r="AL54" s="21">
        <v>0</v>
      </c>
      <c r="AM54" s="21">
        <v>2.6666666666666665E-2</v>
      </c>
      <c r="AN54" s="21">
        <v>2.6666666666666665E-2</v>
      </c>
      <c r="AO54" s="21">
        <v>2.6666666666666665E-2</v>
      </c>
      <c r="AP54" s="21">
        <v>2.6666666666666665E-2</v>
      </c>
      <c r="AQ54" s="21">
        <v>2.6666666666666665E-2</v>
      </c>
      <c r="AR54" s="21">
        <v>2.6666666666666665E-2</v>
      </c>
      <c r="AS54" s="21">
        <v>2.6666666666666665E-2</v>
      </c>
      <c r="AT54" s="21">
        <v>2.6666666666666665E-2</v>
      </c>
      <c r="AU54" s="21">
        <v>2.6666666666666665E-2</v>
      </c>
      <c r="AV54" s="21">
        <v>0.02</v>
      </c>
      <c r="AW54" s="21">
        <v>0.02</v>
      </c>
      <c r="AX54" s="21">
        <v>0.02</v>
      </c>
      <c r="AY54" s="21">
        <v>0.02</v>
      </c>
      <c r="AZ54" s="21">
        <v>0.02</v>
      </c>
      <c r="BA54" s="21">
        <v>0.02</v>
      </c>
      <c r="BB54" s="21">
        <v>0.02</v>
      </c>
      <c r="BC54" s="21">
        <v>0.02</v>
      </c>
      <c r="BD54" s="21">
        <v>0.02</v>
      </c>
      <c r="BE54" s="21">
        <v>0.02</v>
      </c>
      <c r="BF54" s="21">
        <v>0.02</v>
      </c>
      <c r="BG54" s="21">
        <v>0.02</v>
      </c>
      <c r="BH54" s="21">
        <v>0.02</v>
      </c>
      <c r="BI54" s="21">
        <v>0.02</v>
      </c>
      <c r="BJ54" s="21">
        <v>0.02</v>
      </c>
      <c r="BK54" s="21">
        <v>0.02</v>
      </c>
      <c r="BL54" s="21">
        <v>0.02</v>
      </c>
      <c r="BM54" s="21">
        <v>0.02</v>
      </c>
      <c r="BN54" s="21">
        <v>0.02</v>
      </c>
      <c r="BO54" s="21">
        <v>0.02</v>
      </c>
      <c r="BP54" s="21">
        <v>0.02</v>
      </c>
      <c r="BQ54" s="21">
        <v>0.02</v>
      </c>
      <c r="BR54" s="21">
        <v>0.02</v>
      </c>
      <c r="BS54" s="21">
        <v>0.02</v>
      </c>
      <c r="BT54" s="21">
        <v>0.02</v>
      </c>
      <c r="BU54" s="21">
        <v>0.02</v>
      </c>
      <c r="BV54" s="21">
        <v>0.02</v>
      </c>
      <c r="BW54" s="21">
        <v>0.02</v>
      </c>
      <c r="BX54" s="21">
        <v>0.02</v>
      </c>
      <c r="BY54" s="21">
        <v>0.02</v>
      </c>
      <c r="BZ54" s="21">
        <v>0.02</v>
      </c>
      <c r="CA54" s="21">
        <v>0.02</v>
      </c>
      <c r="CB54" s="21">
        <v>0.02</v>
      </c>
      <c r="CC54" s="21">
        <v>0.02</v>
      </c>
      <c r="CD54" s="21">
        <v>0.02</v>
      </c>
      <c r="CE54" s="21">
        <v>0.02</v>
      </c>
      <c r="CF54" s="8">
        <v>0.24</v>
      </c>
      <c r="CG54" s="8">
        <v>0.02</v>
      </c>
      <c r="CH54" s="8">
        <v>0.02</v>
      </c>
      <c r="CI54" s="8">
        <v>0.02</v>
      </c>
      <c r="CJ54" s="8">
        <v>0.02</v>
      </c>
      <c r="CK54" s="8">
        <v>0.02</v>
      </c>
      <c r="CL54" s="8">
        <v>0.02</v>
      </c>
      <c r="CM54" s="8">
        <v>0.02</v>
      </c>
      <c r="CN54" s="8">
        <v>0.02</v>
      </c>
      <c r="CO54" s="8">
        <v>0.02</v>
      </c>
      <c r="CP54" s="8">
        <v>0.02</v>
      </c>
      <c r="CQ54" s="8">
        <v>0.02</v>
      </c>
      <c r="CR54" s="8">
        <v>0.02</v>
      </c>
      <c r="CS54" t="str">
        <f>IFERROR(INDEX('Initiative Summary'!$C$5:$C$25,MATCH($A54,'Initiative Summary'!$A$5:$A$25,0)),"")</f>
        <v>Westmark Region</v>
      </c>
    </row>
    <row r="55" spans="1:97" ht="32.25" customHeight="1" x14ac:dyDescent="0.25">
      <c r="A55" s="6" t="s">
        <v>43</v>
      </c>
      <c r="B55" s="10" t="s">
        <v>44</v>
      </c>
      <c r="C55" s="11" t="s">
        <v>234</v>
      </c>
      <c r="D55" s="11" t="s">
        <v>203</v>
      </c>
      <c r="E55" s="11" t="s">
        <v>206</v>
      </c>
      <c r="F55" s="11" t="s">
        <v>197</v>
      </c>
      <c r="G55" s="11"/>
      <c r="H55" s="11"/>
      <c r="I55" s="11"/>
      <c r="J55" s="11"/>
      <c r="K55" s="10"/>
      <c r="L55" s="11" t="s">
        <v>235</v>
      </c>
      <c r="M55" s="11" t="s">
        <v>199</v>
      </c>
      <c r="N55" s="20">
        <v>100</v>
      </c>
      <c r="O55" s="11" t="b">
        <v>0</v>
      </c>
      <c r="P55" s="11" t="s">
        <v>201</v>
      </c>
      <c r="Q55" s="11" t="s">
        <v>210</v>
      </c>
      <c r="R55" s="11" t="s">
        <v>210</v>
      </c>
      <c r="S55" s="11">
        <v>0</v>
      </c>
      <c r="T55" s="20">
        <v>0.5</v>
      </c>
      <c r="U55" s="20">
        <v>0.5</v>
      </c>
      <c r="V55" s="20">
        <v>0.5</v>
      </c>
      <c r="W55" s="20">
        <v>0.5</v>
      </c>
      <c r="X55" s="11">
        <v>0</v>
      </c>
      <c r="Y55" s="11">
        <v>0</v>
      </c>
      <c r="Z55" s="11">
        <v>0</v>
      </c>
      <c r="AA55" s="11">
        <v>0</v>
      </c>
      <c r="AB55" s="11">
        <v>0</v>
      </c>
      <c r="AC55" s="11">
        <v>0</v>
      </c>
      <c r="AD55" s="11">
        <v>0</v>
      </c>
      <c r="AE55" s="11">
        <v>0</v>
      </c>
      <c r="AF55" s="11">
        <v>0</v>
      </c>
      <c r="AG55" s="11">
        <v>0</v>
      </c>
      <c r="AH55" s="11">
        <v>0</v>
      </c>
      <c r="AI55" s="11">
        <v>0</v>
      </c>
      <c r="AJ55" s="20">
        <v>0</v>
      </c>
      <c r="AK55" s="20">
        <v>0</v>
      </c>
      <c r="AL55" s="20">
        <v>0</v>
      </c>
      <c r="AM55" s="20">
        <v>5.5555555555555552E-2</v>
      </c>
      <c r="AN55" s="20">
        <v>5.5555555555555552E-2</v>
      </c>
      <c r="AO55" s="20">
        <v>5.5555555555555552E-2</v>
      </c>
      <c r="AP55" s="20">
        <v>5.5555555555555552E-2</v>
      </c>
      <c r="AQ55" s="20">
        <v>5.5555555555555552E-2</v>
      </c>
      <c r="AR55" s="20">
        <v>5.5555555555555552E-2</v>
      </c>
      <c r="AS55" s="20">
        <v>5.5555555555555552E-2</v>
      </c>
      <c r="AT55" s="20">
        <v>5.5555555555555552E-2</v>
      </c>
      <c r="AU55" s="20">
        <v>5.5555555555555552E-2</v>
      </c>
      <c r="AV55" s="20">
        <v>4.1666666666666664E-2</v>
      </c>
      <c r="AW55" s="20">
        <v>4.1666666666666664E-2</v>
      </c>
      <c r="AX55" s="20">
        <v>4.1666666666666664E-2</v>
      </c>
      <c r="AY55" s="20">
        <v>4.1666666666666664E-2</v>
      </c>
      <c r="AZ55" s="20">
        <v>4.1666666666666664E-2</v>
      </c>
      <c r="BA55" s="20">
        <v>4.1666666666666664E-2</v>
      </c>
      <c r="BB55" s="20">
        <v>4.1666666666666664E-2</v>
      </c>
      <c r="BC55" s="20">
        <v>4.1666666666666664E-2</v>
      </c>
      <c r="BD55" s="20">
        <v>4.1666666666666664E-2</v>
      </c>
      <c r="BE55" s="20">
        <v>4.1666666666666664E-2</v>
      </c>
      <c r="BF55" s="20">
        <v>4.1666666666666664E-2</v>
      </c>
      <c r="BG55" s="20">
        <v>4.1666666666666664E-2</v>
      </c>
      <c r="BH55" s="20">
        <v>4.1666666666666664E-2</v>
      </c>
      <c r="BI55" s="20">
        <v>4.1666666666666664E-2</v>
      </c>
      <c r="BJ55" s="20">
        <v>4.1666666666666664E-2</v>
      </c>
      <c r="BK55" s="20">
        <v>4.1666666666666664E-2</v>
      </c>
      <c r="BL55" s="20">
        <v>4.1666666666666664E-2</v>
      </c>
      <c r="BM55" s="20">
        <v>4.1666666666666664E-2</v>
      </c>
      <c r="BN55" s="20">
        <v>4.1666666666666664E-2</v>
      </c>
      <c r="BO55" s="20">
        <v>4.1666666666666664E-2</v>
      </c>
      <c r="BP55" s="20">
        <v>4.1666666666666664E-2</v>
      </c>
      <c r="BQ55" s="20">
        <v>4.1666666666666664E-2</v>
      </c>
      <c r="BR55" s="20">
        <v>4.1666666666666664E-2</v>
      </c>
      <c r="BS55" s="20">
        <v>4.1666666666666664E-2</v>
      </c>
      <c r="BT55" s="20">
        <v>4.1666666666666664E-2</v>
      </c>
      <c r="BU55" s="20">
        <v>4.1666666666666664E-2</v>
      </c>
      <c r="BV55" s="20">
        <v>4.1666666666666664E-2</v>
      </c>
      <c r="BW55" s="20">
        <v>4.1666666666666664E-2</v>
      </c>
      <c r="BX55" s="20">
        <v>4.1666666666666664E-2</v>
      </c>
      <c r="BY55" s="20">
        <v>4.1666666666666664E-2</v>
      </c>
      <c r="BZ55" s="20">
        <v>4.1666666666666664E-2</v>
      </c>
      <c r="CA55" s="20">
        <v>4.1666666666666664E-2</v>
      </c>
      <c r="CB55" s="20">
        <v>4.1666666666666664E-2</v>
      </c>
      <c r="CC55" s="20">
        <v>4.1666666666666664E-2</v>
      </c>
      <c r="CD55" s="20">
        <v>4.1666666666666664E-2</v>
      </c>
      <c r="CE55" s="20">
        <v>4.1666666666666664E-2</v>
      </c>
      <c r="CF55" s="11">
        <v>0.5</v>
      </c>
      <c r="CG55" s="11">
        <v>4.1666666666666664E-2</v>
      </c>
      <c r="CH55" s="11">
        <v>4.1666666666666664E-2</v>
      </c>
      <c r="CI55" s="11">
        <v>4.1666666666666664E-2</v>
      </c>
      <c r="CJ55" s="11">
        <v>4.1666666666666664E-2</v>
      </c>
      <c r="CK55" s="11">
        <v>4.1666666666666664E-2</v>
      </c>
      <c r="CL55" s="11">
        <v>4.1666666666666664E-2</v>
      </c>
      <c r="CM55" s="11">
        <v>4.1666666666666664E-2</v>
      </c>
      <c r="CN55" s="11">
        <v>4.1666666666666664E-2</v>
      </c>
      <c r="CO55" s="11">
        <v>4.1666666666666664E-2</v>
      </c>
      <c r="CP55" s="11">
        <v>4.1666666666666664E-2</v>
      </c>
      <c r="CQ55" s="11">
        <v>4.1666666666666664E-2</v>
      </c>
      <c r="CR55" s="11">
        <v>4.1666666666666664E-2</v>
      </c>
      <c r="CS55" t="str">
        <f>IFERROR(INDEX('Initiative Summary'!$C$5:$C$25,MATCH($A55,'Initiative Summary'!$A$5:$A$25,0)),"")</f>
        <v>Westmark Region</v>
      </c>
    </row>
    <row r="56" spans="1:97" ht="32.25" customHeight="1" x14ac:dyDescent="0.25">
      <c r="A56" s="6" t="s">
        <v>43</v>
      </c>
      <c r="B56" s="7" t="s">
        <v>44</v>
      </c>
      <c r="C56" s="8" t="s">
        <v>234</v>
      </c>
      <c r="D56" s="8" t="s">
        <v>204</v>
      </c>
      <c r="E56" s="8" t="s">
        <v>206</v>
      </c>
      <c r="F56" s="8" t="s">
        <v>197</v>
      </c>
      <c r="G56" s="8"/>
      <c r="H56" s="8"/>
      <c r="I56" s="8"/>
      <c r="J56" s="8"/>
      <c r="K56" s="7"/>
      <c r="L56" s="8" t="s">
        <v>235</v>
      </c>
      <c r="M56" s="8" t="s">
        <v>199</v>
      </c>
      <c r="N56" s="21">
        <v>100</v>
      </c>
      <c r="O56" s="8" t="b">
        <v>0</v>
      </c>
      <c r="P56" s="8" t="s">
        <v>201</v>
      </c>
      <c r="Q56" s="8" t="s">
        <v>210</v>
      </c>
      <c r="R56" s="8" t="s">
        <v>210</v>
      </c>
      <c r="S56" s="8"/>
      <c r="T56" s="8"/>
      <c r="U56" s="8"/>
      <c r="V56" s="8"/>
      <c r="W56" s="8"/>
      <c r="X56" s="8">
        <v>0</v>
      </c>
      <c r="Y56" s="8">
        <v>0</v>
      </c>
      <c r="Z56" s="8">
        <v>0</v>
      </c>
      <c r="AA56" s="8">
        <v>0</v>
      </c>
      <c r="AB56" s="8">
        <v>0</v>
      </c>
      <c r="AC56" s="8">
        <v>0</v>
      </c>
      <c r="AD56" s="8">
        <v>0</v>
      </c>
      <c r="AE56" s="8">
        <v>0</v>
      </c>
      <c r="AF56" s="8">
        <v>0</v>
      </c>
      <c r="AG56" s="8">
        <v>0</v>
      </c>
      <c r="AH56" s="8">
        <v>0</v>
      </c>
      <c r="AI56" s="8">
        <v>0</v>
      </c>
      <c r="AJ56" s="8">
        <v>0</v>
      </c>
      <c r="AK56" s="8">
        <v>0</v>
      </c>
      <c r="AL56" s="8">
        <v>0</v>
      </c>
      <c r="AM56" s="8">
        <v>0</v>
      </c>
      <c r="AN56" s="8">
        <v>0</v>
      </c>
      <c r="AO56" s="8">
        <v>0</v>
      </c>
      <c r="AP56" s="8">
        <v>0</v>
      </c>
      <c r="AQ56" s="8">
        <v>0</v>
      </c>
      <c r="AR56" s="8">
        <v>0</v>
      </c>
      <c r="AS56" s="8">
        <v>0</v>
      </c>
      <c r="AT56" s="8">
        <v>0</v>
      </c>
      <c r="AU56" s="8">
        <v>0</v>
      </c>
      <c r="AV56" s="8">
        <v>0</v>
      </c>
      <c r="AW56" s="8">
        <v>0</v>
      </c>
      <c r="AX56" s="8">
        <v>0</v>
      </c>
      <c r="AY56" s="8">
        <v>0</v>
      </c>
      <c r="AZ56" s="8">
        <v>0</v>
      </c>
      <c r="BA56" s="8">
        <v>0</v>
      </c>
      <c r="BB56" s="8">
        <v>0</v>
      </c>
      <c r="BC56" s="8">
        <v>0</v>
      </c>
      <c r="BD56" s="8">
        <v>0</v>
      </c>
      <c r="BE56" s="8">
        <v>0</v>
      </c>
      <c r="BF56" s="8">
        <v>0</v>
      </c>
      <c r="BG56" s="8">
        <v>0</v>
      </c>
      <c r="BH56" s="8">
        <v>0</v>
      </c>
      <c r="BI56" s="8">
        <v>0</v>
      </c>
      <c r="BJ56" s="8">
        <v>0</v>
      </c>
      <c r="BK56" s="8">
        <v>0</v>
      </c>
      <c r="BL56" s="8">
        <v>0</v>
      </c>
      <c r="BM56" s="8">
        <v>0</v>
      </c>
      <c r="BN56" s="8">
        <v>0</v>
      </c>
      <c r="BO56" s="8">
        <v>0</v>
      </c>
      <c r="BP56" s="8">
        <v>0</v>
      </c>
      <c r="BQ56" s="8">
        <v>0</v>
      </c>
      <c r="BR56" s="8">
        <v>0</v>
      </c>
      <c r="BS56" s="8">
        <v>0</v>
      </c>
      <c r="BT56" s="8">
        <v>0</v>
      </c>
      <c r="BU56" s="8">
        <v>0</v>
      </c>
      <c r="BV56" s="8">
        <v>0</v>
      </c>
      <c r="BW56" s="8">
        <v>0</v>
      </c>
      <c r="BX56" s="8">
        <v>0</v>
      </c>
      <c r="BY56" s="8">
        <v>0</v>
      </c>
      <c r="BZ56" s="8">
        <v>0</v>
      </c>
      <c r="CA56" s="8">
        <v>0</v>
      </c>
      <c r="CB56" s="8">
        <v>0</v>
      </c>
      <c r="CC56" s="8">
        <v>0</v>
      </c>
      <c r="CD56" s="8">
        <v>0</v>
      </c>
      <c r="CE56" s="8">
        <v>0</v>
      </c>
      <c r="CF56" s="8">
        <v>0</v>
      </c>
      <c r="CG56" s="8">
        <v>0</v>
      </c>
      <c r="CH56" s="8">
        <v>0</v>
      </c>
      <c r="CI56" s="8">
        <v>0</v>
      </c>
      <c r="CJ56" s="8">
        <v>0</v>
      </c>
      <c r="CK56" s="8">
        <v>0</v>
      </c>
      <c r="CL56" s="8">
        <v>0</v>
      </c>
      <c r="CM56" s="8">
        <v>0</v>
      </c>
      <c r="CN56" s="8">
        <v>0</v>
      </c>
      <c r="CO56" s="8">
        <v>0</v>
      </c>
      <c r="CP56" s="8">
        <v>0</v>
      </c>
      <c r="CQ56" s="8">
        <v>0</v>
      </c>
      <c r="CR56" s="8">
        <v>0</v>
      </c>
      <c r="CS56" t="str">
        <f>IFERROR(INDEX('Initiative Summary'!$C$5:$C$25,MATCH($A56,'Initiative Summary'!$A$5:$A$25,0)),"")</f>
        <v>Westmark Region</v>
      </c>
    </row>
    <row r="57" spans="1:97" ht="24" x14ac:dyDescent="0.25">
      <c r="A57" s="6" t="s">
        <v>664</v>
      </c>
      <c r="B57" s="10" t="s">
        <v>663</v>
      </c>
      <c r="C57" s="11" t="s">
        <v>194</v>
      </c>
      <c r="D57" s="11" t="s">
        <v>195</v>
      </c>
      <c r="E57" s="11" t="s">
        <v>196</v>
      </c>
      <c r="F57" s="11" t="s">
        <v>197</v>
      </c>
      <c r="G57" s="11"/>
      <c r="H57" s="11"/>
      <c r="I57" s="11"/>
      <c r="J57" s="11"/>
      <c r="K57" s="10"/>
      <c r="L57" s="11" t="s">
        <v>717</v>
      </c>
      <c r="M57" s="11" t="s">
        <v>199</v>
      </c>
      <c r="N57" s="20">
        <v>0</v>
      </c>
      <c r="O57" s="11" t="b">
        <v>0</v>
      </c>
      <c r="P57" s="11" t="s">
        <v>201</v>
      </c>
      <c r="Q57" s="11" t="s">
        <v>202</v>
      </c>
      <c r="R57" s="11" t="s">
        <v>202</v>
      </c>
      <c r="S57" s="11">
        <v>0</v>
      </c>
      <c r="T57" s="20">
        <v>0</v>
      </c>
      <c r="U57" s="20">
        <v>0</v>
      </c>
      <c r="V57" s="20">
        <v>0</v>
      </c>
      <c r="W57" s="20">
        <v>0</v>
      </c>
      <c r="X57" s="11">
        <v>0</v>
      </c>
      <c r="Y57" s="11">
        <v>0</v>
      </c>
      <c r="Z57" s="11">
        <v>0</v>
      </c>
      <c r="AA57" s="11">
        <v>0</v>
      </c>
      <c r="AB57" s="11">
        <v>0</v>
      </c>
      <c r="AC57" s="11">
        <v>0</v>
      </c>
      <c r="AD57" s="11">
        <v>0</v>
      </c>
      <c r="AE57" s="11">
        <v>0</v>
      </c>
      <c r="AF57" s="11">
        <v>0</v>
      </c>
      <c r="AG57" s="11">
        <v>0</v>
      </c>
      <c r="AH57" s="11">
        <v>0</v>
      </c>
      <c r="AI57" s="11">
        <v>0</v>
      </c>
      <c r="AJ57" s="20">
        <v>0</v>
      </c>
      <c r="AK57" s="20">
        <v>0</v>
      </c>
      <c r="AL57" s="20">
        <v>0</v>
      </c>
      <c r="AM57" s="20">
        <v>0</v>
      </c>
      <c r="AN57" s="20">
        <v>0</v>
      </c>
      <c r="AO57" s="20">
        <v>0</v>
      </c>
      <c r="AP57" s="20">
        <v>0</v>
      </c>
      <c r="AQ57" s="20">
        <v>0</v>
      </c>
      <c r="AR57" s="20">
        <v>0</v>
      </c>
      <c r="AS57" s="20">
        <v>0</v>
      </c>
      <c r="AT57" s="20">
        <v>0</v>
      </c>
      <c r="AU57" s="20">
        <v>0</v>
      </c>
      <c r="AV57" s="20">
        <v>0</v>
      </c>
      <c r="AW57" s="20">
        <v>0</v>
      </c>
      <c r="AX57" s="20">
        <v>0</v>
      </c>
      <c r="AY57" s="20">
        <v>0</v>
      </c>
      <c r="AZ57" s="20">
        <v>0</v>
      </c>
      <c r="BA57" s="20">
        <v>0</v>
      </c>
      <c r="BB57" s="20">
        <v>0</v>
      </c>
      <c r="BC57" s="20">
        <v>0</v>
      </c>
      <c r="BD57" s="20">
        <v>0</v>
      </c>
      <c r="BE57" s="20">
        <v>0</v>
      </c>
      <c r="BF57" s="20">
        <v>0</v>
      </c>
      <c r="BG57" s="20">
        <v>0</v>
      </c>
      <c r="BH57" s="20">
        <v>0</v>
      </c>
      <c r="BI57" s="20">
        <v>0</v>
      </c>
      <c r="BJ57" s="20">
        <v>0</v>
      </c>
      <c r="BK57" s="20">
        <v>0</v>
      </c>
      <c r="BL57" s="20">
        <v>0</v>
      </c>
      <c r="BM57" s="20">
        <v>0</v>
      </c>
      <c r="BN57" s="20">
        <v>0</v>
      </c>
      <c r="BO57" s="20">
        <v>0</v>
      </c>
      <c r="BP57" s="20">
        <v>0</v>
      </c>
      <c r="BQ57" s="20">
        <v>0</v>
      </c>
      <c r="BR57" s="20">
        <v>0</v>
      </c>
      <c r="BS57" s="20">
        <v>0</v>
      </c>
      <c r="BT57" s="20">
        <v>0</v>
      </c>
      <c r="BU57" s="20">
        <v>0</v>
      </c>
      <c r="BV57" s="20">
        <v>0</v>
      </c>
      <c r="BW57" s="20">
        <v>0</v>
      </c>
      <c r="BX57" s="20">
        <v>0</v>
      </c>
      <c r="BY57" s="20">
        <v>0</v>
      </c>
      <c r="BZ57" s="20">
        <v>0</v>
      </c>
      <c r="CA57" s="20">
        <v>0</v>
      </c>
      <c r="CB57" s="20">
        <v>0</v>
      </c>
      <c r="CC57" s="20">
        <v>0</v>
      </c>
      <c r="CD57" s="20">
        <v>0</v>
      </c>
      <c r="CE57" s="20">
        <v>0</v>
      </c>
      <c r="CF57" s="11">
        <v>0</v>
      </c>
      <c r="CG57" s="11">
        <v>0</v>
      </c>
      <c r="CH57" s="11">
        <v>0</v>
      </c>
      <c r="CI57" s="11">
        <v>0</v>
      </c>
      <c r="CJ57" s="11">
        <v>0</v>
      </c>
      <c r="CK57" s="11">
        <v>0</v>
      </c>
      <c r="CL57" s="11">
        <v>0</v>
      </c>
      <c r="CM57" s="11">
        <v>0</v>
      </c>
      <c r="CN57" s="11">
        <v>0</v>
      </c>
      <c r="CO57" s="11">
        <v>0</v>
      </c>
      <c r="CP57" s="11">
        <v>0</v>
      </c>
      <c r="CQ57" s="11">
        <v>0</v>
      </c>
      <c r="CR57" s="11">
        <v>0</v>
      </c>
      <c r="CS57" t="str">
        <f>IFERROR(INDEX('Initiative Summary'!$C$5:$C$25,MATCH($A57,'Initiative Summary'!$A$5:$A$25,0)),"")</f>
        <v>Eastbridge Region</v>
      </c>
    </row>
    <row r="58" spans="1:97" ht="24" x14ac:dyDescent="0.25">
      <c r="A58" s="6" t="s">
        <v>664</v>
      </c>
      <c r="B58" s="7" t="s">
        <v>663</v>
      </c>
      <c r="C58" s="8" t="s">
        <v>194</v>
      </c>
      <c r="D58" s="8" t="s">
        <v>203</v>
      </c>
      <c r="E58" s="8" t="s">
        <v>196</v>
      </c>
      <c r="F58" s="8" t="s">
        <v>197</v>
      </c>
      <c r="G58" s="8"/>
      <c r="H58" s="8"/>
      <c r="I58" s="8"/>
      <c r="J58" s="8"/>
      <c r="K58" s="7"/>
      <c r="L58" s="8" t="s">
        <v>717</v>
      </c>
      <c r="M58" s="8" t="s">
        <v>199</v>
      </c>
      <c r="N58" s="21">
        <v>0</v>
      </c>
      <c r="O58" s="8" t="b">
        <v>0</v>
      </c>
      <c r="P58" s="8" t="s">
        <v>201</v>
      </c>
      <c r="Q58" s="8" t="s">
        <v>202</v>
      </c>
      <c r="R58" s="8" t="s">
        <v>202</v>
      </c>
      <c r="S58" s="8">
        <v>0</v>
      </c>
      <c r="T58" s="21">
        <v>0</v>
      </c>
      <c r="U58" s="21">
        <v>0</v>
      </c>
      <c r="V58" s="21">
        <v>0</v>
      </c>
      <c r="W58" s="21">
        <v>0</v>
      </c>
      <c r="X58" s="8">
        <v>0</v>
      </c>
      <c r="Y58" s="8">
        <v>0</v>
      </c>
      <c r="Z58" s="8">
        <v>0</v>
      </c>
      <c r="AA58" s="8">
        <v>0</v>
      </c>
      <c r="AB58" s="8">
        <v>0</v>
      </c>
      <c r="AC58" s="8">
        <v>0</v>
      </c>
      <c r="AD58" s="8">
        <v>0</v>
      </c>
      <c r="AE58" s="8">
        <v>0</v>
      </c>
      <c r="AF58" s="8">
        <v>0</v>
      </c>
      <c r="AG58" s="8">
        <v>0</v>
      </c>
      <c r="AH58" s="8">
        <v>0</v>
      </c>
      <c r="AI58" s="8">
        <v>0</v>
      </c>
      <c r="AJ58" s="21">
        <v>0</v>
      </c>
      <c r="AK58" s="21">
        <v>0</v>
      </c>
      <c r="AL58" s="21">
        <v>0</v>
      </c>
      <c r="AM58" s="21">
        <v>0</v>
      </c>
      <c r="AN58" s="21">
        <v>0</v>
      </c>
      <c r="AO58" s="21">
        <v>0</v>
      </c>
      <c r="AP58" s="21">
        <v>0</v>
      </c>
      <c r="AQ58" s="21">
        <v>0</v>
      </c>
      <c r="AR58" s="21">
        <v>0</v>
      </c>
      <c r="AS58" s="21">
        <v>0</v>
      </c>
      <c r="AT58" s="21">
        <v>0</v>
      </c>
      <c r="AU58" s="21">
        <v>0</v>
      </c>
      <c r="AV58" s="21">
        <v>0</v>
      </c>
      <c r="AW58" s="21">
        <v>0</v>
      </c>
      <c r="AX58" s="21">
        <v>0</v>
      </c>
      <c r="AY58" s="21">
        <v>0</v>
      </c>
      <c r="AZ58" s="21">
        <v>0</v>
      </c>
      <c r="BA58" s="21">
        <v>0</v>
      </c>
      <c r="BB58" s="21">
        <v>0</v>
      </c>
      <c r="BC58" s="21">
        <v>0</v>
      </c>
      <c r="BD58" s="21">
        <v>0</v>
      </c>
      <c r="BE58" s="21">
        <v>0</v>
      </c>
      <c r="BF58" s="21">
        <v>0</v>
      </c>
      <c r="BG58" s="21">
        <v>0</v>
      </c>
      <c r="BH58" s="21">
        <v>0</v>
      </c>
      <c r="BI58" s="21">
        <v>0</v>
      </c>
      <c r="BJ58" s="21">
        <v>0</v>
      </c>
      <c r="BK58" s="21">
        <v>0</v>
      </c>
      <c r="BL58" s="21">
        <v>0</v>
      </c>
      <c r="BM58" s="21">
        <v>0</v>
      </c>
      <c r="BN58" s="21">
        <v>0</v>
      </c>
      <c r="BO58" s="21">
        <v>0</v>
      </c>
      <c r="BP58" s="21">
        <v>0</v>
      </c>
      <c r="BQ58" s="21">
        <v>0</v>
      </c>
      <c r="BR58" s="21">
        <v>0</v>
      </c>
      <c r="BS58" s="21">
        <v>0</v>
      </c>
      <c r="BT58" s="21">
        <v>0</v>
      </c>
      <c r="BU58" s="21">
        <v>0</v>
      </c>
      <c r="BV58" s="21">
        <v>0</v>
      </c>
      <c r="BW58" s="21">
        <v>0</v>
      </c>
      <c r="BX58" s="21">
        <v>0</v>
      </c>
      <c r="BY58" s="21">
        <v>0</v>
      </c>
      <c r="BZ58" s="21">
        <v>0</v>
      </c>
      <c r="CA58" s="21">
        <v>0</v>
      </c>
      <c r="CB58" s="21">
        <v>0</v>
      </c>
      <c r="CC58" s="21">
        <v>0</v>
      </c>
      <c r="CD58" s="21">
        <v>0</v>
      </c>
      <c r="CE58" s="21">
        <v>0</v>
      </c>
      <c r="CF58" s="8">
        <v>0</v>
      </c>
      <c r="CG58" s="8">
        <v>0</v>
      </c>
      <c r="CH58" s="8">
        <v>0</v>
      </c>
      <c r="CI58" s="8">
        <v>0</v>
      </c>
      <c r="CJ58" s="8">
        <v>0</v>
      </c>
      <c r="CK58" s="8">
        <v>0</v>
      </c>
      <c r="CL58" s="8">
        <v>0</v>
      </c>
      <c r="CM58" s="8">
        <v>0</v>
      </c>
      <c r="CN58" s="8">
        <v>0</v>
      </c>
      <c r="CO58" s="8">
        <v>0</v>
      </c>
      <c r="CP58" s="8">
        <v>0</v>
      </c>
      <c r="CQ58" s="8">
        <v>0</v>
      </c>
      <c r="CR58" s="8">
        <v>0</v>
      </c>
      <c r="CS58" t="str">
        <f>IFERROR(INDEX('Initiative Summary'!$C$5:$C$25,MATCH($A58,'Initiative Summary'!$A$5:$A$25,0)),"")</f>
        <v>Eastbridge Region</v>
      </c>
    </row>
    <row r="59" spans="1:97" ht="24" x14ac:dyDescent="0.25">
      <c r="A59" s="6" t="s">
        <v>664</v>
      </c>
      <c r="B59" s="10" t="s">
        <v>663</v>
      </c>
      <c r="C59" s="11" t="s">
        <v>194</v>
      </c>
      <c r="D59" s="11" t="s">
        <v>204</v>
      </c>
      <c r="E59" s="11" t="s">
        <v>196</v>
      </c>
      <c r="F59" s="11" t="s">
        <v>197</v>
      </c>
      <c r="G59" s="11"/>
      <c r="H59" s="11"/>
      <c r="I59" s="11"/>
      <c r="J59" s="11"/>
      <c r="K59" s="10"/>
      <c r="L59" s="11" t="s">
        <v>717</v>
      </c>
      <c r="M59" s="11" t="s">
        <v>199</v>
      </c>
      <c r="N59" s="20">
        <v>0</v>
      </c>
      <c r="O59" s="11" t="b">
        <v>0</v>
      </c>
      <c r="P59" s="11" t="s">
        <v>201</v>
      </c>
      <c r="Q59" s="11" t="s">
        <v>202</v>
      </c>
      <c r="R59" s="11" t="s">
        <v>202</v>
      </c>
      <c r="S59" s="11">
        <v>0</v>
      </c>
      <c r="T59" s="11">
        <v>0</v>
      </c>
      <c r="U59" s="11">
        <v>0</v>
      </c>
      <c r="V59" s="11">
        <v>0</v>
      </c>
      <c r="W59" s="11">
        <v>0</v>
      </c>
      <c r="X59" s="11">
        <v>0</v>
      </c>
      <c r="Y59" s="11">
        <v>0</v>
      </c>
      <c r="Z59" s="11">
        <v>0</v>
      </c>
      <c r="AA59" s="11">
        <v>0</v>
      </c>
      <c r="AB59" s="11">
        <v>0</v>
      </c>
      <c r="AC59" s="11">
        <v>0</v>
      </c>
      <c r="AD59" s="11">
        <v>0</v>
      </c>
      <c r="AE59" s="11">
        <v>0</v>
      </c>
      <c r="AF59" s="11">
        <v>0</v>
      </c>
      <c r="AG59" s="11">
        <v>0</v>
      </c>
      <c r="AH59" s="11">
        <v>0</v>
      </c>
      <c r="AI59" s="11">
        <v>0</v>
      </c>
      <c r="AJ59" s="11">
        <v>0</v>
      </c>
      <c r="AK59" s="11">
        <v>0</v>
      </c>
      <c r="AL59" s="11">
        <v>0</v>
      </c>
      <c r="AM59" s="11">
        <v>0</v>
      </c>
      <c r="AN59" s="11">
        <v>0</v>
      </c>
      <c r="AO59" s="11">
        <v>0</v>
      </c>
      <c r="AP59" s="11">
        <v>0</v>
      </c>
      <c r="AQ59" s="11">
        <v>0</v>
      </c>
      <c r="AR59" s="11">
        <v>0</v>
      </c>
      <c r="AS59" s="11">
        <v>0</v>
      </c>
      <c r="AT59" s="11">
        <v>0</v>
      </c>
      <c r="AU59" s="11">
        <v>0</v>
      </c>
      <c r="AV59" s="11">
        <v>0</v>
      </c>
      <c r="AW59" s="11">
        <v>0</v>
      </c>
      <c r="AX59" s="11">
        <v>0</v>
      </c>
      <c r="AY59" s="11">
        <v>0</v>
      </c>
      <c r="AZ59" s="11">
        <v>0</v>
      </c>
      <c r="BA59" s="11">
        <v>0</v>
      </c>
      <c r="BB59" s="11">
        <v>0</v>
      </c>
      <c r="BC59" s="11">
        <v>0</v>
      </c>
      <c r="BD59" s="11">
        <v>0</v>
      </c>
      <c r="BE59" s="11">
        <v>0</v>
      </c>
      <c r="BF59" s="11">
        <v>0</v>
      </c>
      <c r="BG59" s="11">
        <v>0</v>
      </c>
      <c r="BH59" s="11">
        <v>0</v>
      </c>
      <c r="BI59" s="11">
        <v>0</v>
      </c>
      <c r="BJ59" s="11">
        <v>0</v>
      </c>
      <c r="BK59" s="11">
        <v>0</v>
      </c>
      <c r="BL59" s="11">
        <v>0</v>
      </c>
      <c r="BM59" s="11">
        <v>0</v>
      </c>
      <c r="BN59" s="11">
        <v>0</v>
      </c>
      <c r="BO59" s="11">
        <v>0</v>
      </c>
      <c r="BP59" s="11">
        <v>0</v>
      </c>
      <c r="BQ59" s="11">
        <v>0</v>
      </c>
      <c r="BR59" s="11">
        <v>0</v>
      </c>
      <c r="BS59" s="11">
        <v>0</v>
      </c>
      <c r="BT59" s="11">
        <v>0</v>
      </c>
      <c r="BU59" s="11">
        <v>0</v>
      </c>
      <c r="BV59" s="11">
        <v>0</v>
      </c>
      <c r="BW59" s="11">
        <v>0</v>
      </c>
      <c r="BX59" s="11">
        <v>0</v>
      </c>
      <c r="BY59" s="11">
        <v>0</v>
      </c>
      <c r="BZ59" s="11">
        <v>0</v>
      </c>
      <c r="CA59" s="11">
        <v>0</v>
      </c>
      <c r="CB59" s="11">
        <v>0</v>
      </c>
      <c r="CC59" s="11">
        <v>0</v>
      </c>
      <c r="CD59" s="11">
        <v>0</v>
      </c>
      <c r="CE59" s="11">
        <v>0</v>
      </c>
      <c r="CF59" s="11">
        <v>0</v>
      </c>
      <c r="CG59" s="11">
        <v>0</v>
      </c>
      <c r="CH59" s="11">
        <v>0</v>
      </c>
      <c r="CI59" s="11">
        <v>0</v>
      </c>
      <c r="CJ59" s="11">
        <v>0</v>
      </c>
      <c r="CK59" s="11">
        <v>0</v>
      </c>
      <c r="CL59" s="11">
        <v>0</v>
      </c>
      <c r="CM59" s="11">
        <v>0</v>
      </c>
      <c r="CN59" s="11">
        <v>0</v>
      </c>
      <c r="CO59" s="11">
        <v>0</v>
      </c>
      <c r="CP59" s="11">
        <v>0</v>
      </c>
      <c r="CQ59" s="11">
        <v>0</v>
      </c>
      <c r="CR59" s="11">
        <v>0</v>
      </c>
      <c r="CS59" t="str">
        <f>IFERROR(INDEX('Initiative Summary'!$C$5:$C$25,MATCH($A59,'Initiative Summary'!$A$5:$A$25,0)),"")</f>
        <v>Eastbridge Region</v>
      </c>
    </row>
    <row r="60" spans="1:97" ht="24" x14ac:dyDescent="0.25">
      <c r="A60" s="6" t="s">
        <v>664</v>
      </c>
      <c r="B60" s="7" t="s">
        <v>663</v>
      </c>
      <c r="C60" s="8" t="s">
        <v>205</v>
      </c>
      <c r="D60" s="8" t="s">
        <v>195</v>
      </c>
      <c r="E60" s="8" t="s">
        <v>206</v>
      </c>
      <c r="F60" s="8" t="s">
        <v>207</v>
      </c>
      <c r="G60" s="8"/>
      <c r="H60" s="8"/>
      <c r="I60" s="8"/>
      <c r="J60" s="8"/>
      <c r="K60" s="7"/>
      <c r="L60" s="8" t="s">
        <v>718</v>
      </c>
      <c r="M60" s="8" t="s">
        <v>199</v>
      </c>
      <c r="N60" s="21">
        <v>3</v>
      </c>
      <c r="O60" s="8" t="b">
        <v>0</v>
      </c>
      <c r="P60" s="8" t="s">
        <v>201</v>
      </c>
      <c r="Q60" s="8" t="s">
        <v>202</v>
      </c>
      <c r="R60" s="8" t="s">
        <v>202</v>
      </c>
      <c r="S60" s="8"/>
      <c r="T60" s="21">
        <v>11.374000000000001</v>
      </c>
      <c r="U60" s="21">
        <v>16.478000000000002</v>
      </c>
      <c r="V60" s="21">
        <v>16.478000000000002</v>
      </c>
      <c r="W60" s="21">
        <v>16.478000000000002</v>
      </c>
      <c r="X60" s="8">
        <v>0</v>
      </c>
      <c r="Y60" s="8">
        <v>0</v>
      </c>
      <c r="Z60" s="8">
        <v>0</v>
      </c>
      <c r="AA60" s="8">
        <v>0</v>
      </c>
      <c r="AB60" s="8">
        <v>0</v>
      </c>
      <c r="AC60" s="8">
        <v>0</v>
      </c>
      <c r="AD60" s="8">
        <v>0</v>
      </c>
      <c r="AE60" s="8">
        <v>0</v>
      </c>
      <c r="AF60" s="8">
        <v>0</v>
      </c>
      <c r="AG60" s="8">
        <v>0</v>
      </c>
      <c r="AH60" s="8">
        <v>0</v>
      </c>
      <c r="AI60" s="8">
        <v>0</v>
      </c>
      <c r="AJ60" s="21">
        <v>0</v>
      </c>
      <c r="AK60" s="21">
        <v>0</v>
      </c>
      <c r="AL60" s="21">
        <v>0</v>
      </c>
      <c r="AM60" s="21">
        <v>11.374000000000001</v>
      </c>
      <c r="AN60" s="21">
        <v>11.374000000000001</v>
      </c>
      <c r="AO60" s="21">
        <v>11.374000000000001</v>
      </c>
      <c r="AP60" s="21">
        <v>11.374000000000001</v>
      </c>
      <c r="AQ60" s="21">
        <v>11.374000000000001</v>
      </c>
      <c r="AR60" s="21">
        <v>11.374000000000001</v>
      </c>
      <c r="AS60" s="21">
        <v>11.374000000000001</v>
      </c>
      <c r="AT60" s="21">
        <v>11.374000000000001</v>
      </c>
      <c r="AU60" s="21">
        <v>11.374000000000001</v>
      </c>
      <c r="AV60" s="21">
        <v>16.478000000000002</v>
      </c>
      <c r="AW60" s="21">
        <v>16.478000000000002</v>
      </c>
      <c r="AX60" s="21">
        <v>16.478000000000002</v>
      </c>
      <c r="AY60" s="21">
        <v>16.478000000000002</v>
      </c>
      <c r="AZ60" s="21">
        <v>16.478000000000002</v>
      </c>
      <c r="BA60" s="21">
        <v>16.478000000000002</v>
      </c>
      <c r="BB60" s="21">
        <v>16.478000000000002</v>
      </c>
      <c r="BC60" s="21">
        <v>16.478000000000002</v>
      </c>
      <c r="BD60" s="21">
        <v>16.478000000000002</v>
      </c>
      <c r="BE60" s="21">
        <v>16.478000000000002</v>
      </c>
      <c r="BF60" s="21">
        <v>16.478000000000002</v>
      </c>
      <c r="BG60" s="21">
        <v>16.478000000000002</v>
      </c>
      <c r="BH60" s="21">
        <v>16.478000000000002</v>
      </c>
      <c r="BI60" s="21">
        <v>16.478000000000002</v>
      </c>
      <c r="BJ60" s="21">
        <v>16.478000000000002</v>
      </c>
      <c r="BK60" s="21">
        <v>16.478000000000002</v>
      </c>
      <c r="BL60" s="21">
        <v>16.478000000000002</v>
      </c>
      <c r="BM60" s="21">
        <v>16.478000000000002</v>
      </c>
      <c r="BN60" s="21">
        <v>16.478000000000002</v>
      </c>
      <c r="BO60" s="21">
        <v>16.478000000000002</v>
      </c>
      <c r="BP60" s="21">
        <v>16.478000000000002</v>
      </c>
      <c r="BQ60" s="21">
        <v>16.478000000000002</v>
      </c>
      <c r="BR60" s="21">
        <v>16.478000000000002</v>
      </c>
      <c r="BS60" s="21">
        <v>16.478000000000002</v>
      </c>
      <c r="BT60" s="21">
        <v>16.478000000000002</v>
      </c>
      <c r="BU60" s="21">
        <v>16.478000000000002</v>
      </c>
      <c r="BV60" s="21">
        <v>16.478000000000002</v>
      </c>
      <c r="BW60" s="21">
        <v>16.478000000000002</v>
      </c>
      <c r="BX60" s="21">
        <v>16.478000000000002</v>
      </c>
      <c r="BY60" s="21">
        <v>16.478000000000002</v>
      </c>
      <c r="BZ60" s="21">
        <v>16.478000000000002</v>
      </c>
      <c r="CA60" s="21">
        <v>16.478000000000002</v>
      </c>
      <c r="CB60" s="21">
        <v>16.478000000000002</v>
      </c>
      <c r="CC60" s="21">
        <v>16.478000000000002</v>
      </c>
      <c r="CD60" s="21">
        <v>16.478000000000002</v>
      </c>
      <c r="CE60" s="21">
        <v>16.478000000000002</v>
      </c>
      <c r="CF60" s="8">
        <v>16.478000000000002</v>
      </c>
      <c r="CG60" s="8">
        <v>16.478000000000002</v>
      </c>
      <c r="CH60" s="8">
        <v>16.478000000000002</v>
      </c>
      <c r="CI60" s="8">
        <v>16.478000000000002</v>
      </c>
      <c r="CJ60" s="8">
        <v>16.478000000000002</v>
      </c>
      <c r="CK60" s="8">
        <v>16.478000000000002</v>
      </c>
      <c r="CL60" s="8">
        <v>16.478000000000002</v>
      </c>
      <c r="CM60" s="8">
        <v>16.478000000000002</v>
      </c>
      <c r="CN60" s="8">
        <v>16.478000000000002</v>
      </c>
      <c r="CO60" s="8">
        <v>16.478000000000002</v>
      </c>
      <c r="CP60" s="8">
        <v>16.478000000000002</v>
      </c>
      <c r="CQ60" s="8">
        <v>16.478000000000002</v>
      </c>
      <c r="CR60" s="8">
        <v>16.478000000000002</v>
      </c>
      <c r="CS60" t="str">
        <f>IFERROR(INDEX('Initiative Summary'!$C$5:$C$25,MATCH($A60,'Initiative Summary'!$A$5:$A$25,0)),"")</f>
        <v>Eastbridge Region</v>
      </c>
    </row>
    <row r="61" spans="1:97" ht="24" x14ac:dyDescent="0.25">
      <c r="A61" s="6" t="s">
        <v>664</v>
      </c>
      <c r="B61" s="10" t="s">
        <v>663</v>
      </c>
      <c r="C61" s="11" t="s">
        <v>205</v>
      </c>
      <c r="D61" s="11" t="s">
        <v>203</v>
      </c>
      <c r="E61" s="11" t="s">
        <v>206</v>
      </c>
      <c r="F61" s="11" t="s">
        <v>207</v>
      </c>
      <c r="G61" s="11"/>
      <c r="H61" s="11"/>
      <c r="I61" s="11"/>
      <c r="J61" s="11"/>
      <c r="K61" s="10"/>
      <c r="L61" s="11" t="s">
        <v>718</v>
      </c>
      <c r="M61" s="11" t="s">
        <v>199</v>
      </c>
      <c r="N61" s="20">
        <v>3</v>
      </c>
      <c r="O61" s="11" t="b">
        <v>0</v>
      </c>
      <c r="P61" s="11" t="s">
        <v>201</v>
      </c>
      <c r="Q61" s="11" t="s">
        <v>202</v>
      </c>
      <c r="R61" s="11" t="s">
        <v>202</v>
      </c>
      <c r="S61" s="11"/>
      <c r="T61" s="20">
        <v>13.926000000000002</v>
      </c>
      <c r="U61" s="20">
        <v>19.778000000000002</v>
      </c>
      <c r="V61" s="20">
        <v>19.778000000000002</v>
      </c>
      <c r="W61" s="20">
        <v>19.778000000000002</v>
      </c>
      <c r="X61" s="11">
        <v>0</v>
      </c>
      <c r="Y61" s="11">
        <v>0</v>
      </c>
      <c r="Z61" s="11">
        <v>0</v>
      </c>
      <c r="AA61" s="11">
        <v>0</v>
      </c>
      <c r="AB61" s="11">
        <v>0</v>
      </c>
      <c r="AC61" s="11">
        <v>0</v>
      </c>
      <c r="AD61" s="11">
        <v>0</v>
      </c>
      <c r="AE61" s="11">
        <v>0</v>
      </c>
      <c r="AF61" s="11">
        <v>0</v>
      </c>
      <c r="AG61" s="11">
        <v>0</v>
      </c>
      <c r="AH61" s="11">
        <v>0</v>
      </c>
      <c r="AI61" s="11">
        <v>0</v>
      </c>
      <c r="AJ61" s="20">
        <v>0</v>
      </c>
      <c r="AK61" s="20">
        <v>0</v>
      </c>
      <c r="AL61" s="20">
        <v>0</v>
      </c>
      <c r="AM61" s="20">
        <v>13.926</v>
      </c>
      <c r="AN61" s="20">
        <v>13.926</v>
      </c>
      <c r="AO61" s="20">
        <v>13.926</v>
      </c>
      <c r="AP61" s="20">
        <v>13.926</v>
      </c>
      <c r="AQ61" s="20">
        <v>13.926</v>
      </c>
      <c r="AR61" s="20">
        <v>13.926</v>
      </c>
      <c r="AS61" s="20">
        <v>13.926</v>
      </c>
      <c r="AT61" s="20">
        <v>13.926</v>
      </c>
      <c r="AU61" s="20">
        <v>13.926</v>
      </c>
      <c r="AV61" s="20">
        <v>19.777999999999999</v>
      </c>
      <c r="AW61" s="20">
        <v>19.777999999999999</v>
      </c>
      <c r="AX61" s="20">
        <v>19.777999999999999</v>
      </c>
      <c r="AY61" s="20">
        <v>19.777999999999999</v>
      </c>
      <c r="AZ61" s="20">
        <v>19.777999999999999</v>
      </c>
      <c r="BA61" s="20">
        <v>19.777999999999999</v>
      </c>
      <c r="BB61" s="20">
        <v>19.777999999999999</v>
      </c>
      <c r="BC61" s="20">
        <v>19.777999999999999</v>
      </c>
      <c r="BD61" s="20">
        <v>19.777999999999999</v>
      </c>
      <c r="BE61" s="20">
        <v>19.777999999999999</v>
      </c>
      <c r="BF61" s="20">
        <v>19.777999999999999</v>
      </c>
      <c r="BG61" s="20">
        <v>19.777999999999999</v>
      </c>
      <c r="BH61" s="20">
        <v>19.777999999999999</v>
      </c>
      <c r="BI61" s="20">
        <v>19.777999999999999</v>
      </c>
      <c r="BJ61" s="20">
        <v>19.777999999999999</v>
      </c>
      <c r="BK61" s="20">
        <v>19.777999999999999</v>
      </c>
      <c r="BL61" s="20">
        <v>19.777999999999999</v>
      </c>
      <c r="BM61" s="20">
        <v>19.777999999999999</v>
      </c>
      <c r="BN61" s="20">
        <v>19.777999999999999</v>
      </c>
      <c r="BO61" s="20">
        <v>19.777999999999999</v>
      </c>
      <c r="BP61" s="20">
        <v>19.777999999999999</v>
      </c>
      <c r="BQ61" s="20">
        <v>19.777999999999999</v>
      </c>
      <c r="BR61" s="20">
        <v>19.777999999999999</v>
      </c>
      <c r="BS61" s="20">
        <v>19.777999999999999</v>
      </c>
      <c r="BT61" s="20">
        <v>19.777999999999999</v>
      </c>
      <c r="BU61" s="20">
        <v>19.777999999999999</v>
      </c>
      <c r="BV61" s="20">
        <v>19.777999999999999</v>
      </c>
      <c r="BW61" s="20">
        <v>19.777999999999999</v>
      </c>
      <c r="BX61" s="20">
        <v>19.777999999999999</v>
      </c>
      <c r="BY61" s="20">
        <v>19.777999999999999</v>
      </c>
      <c r="BZ61" s="20">
        <v>19.777999999999999</v>
      </c>
      <c r="CA61" s="20">
        <v>19.777999999999999</v>
      </c>
      <c r="CB61" s="20">
        <v>19.777999999999999</v>
      </c>
      <c r="CC61" s="20">
        <v>19.777999999999999</v>
      </c>
      <c r="CD61" s="20">
        <v>19.777999999999999</v>
      </c>
      <c r="CE61" s="20">
        <v>19.777999999999999</v>
      </c>
      <c r="CF61" s="11">
        <v>19.777999999999999</v>
      </c>
      <c r="CG61" s="11">
        <v>19.777999999999999</v>
      </c>
      <c r="CH61" s="11">
        <v>19.777999999999999</v>
      </c>
      <c r="CI61" s="11">
        <v>19.777999999999999</v>
      </c>
      <c r="CJ61" s="11">
        <v>19.777999999999999</v>
      </c>
      <c r="CK61" s="11">
        <v>19.777999999999999</v>
      </c>
      <c r="CL61" s="11">
        <v>19.777999999999999</v>
      </c>
      <c r="CM61" s="11">
        <v>19.777999999999999</v>
      </c>
      <c r="CN61" s="11">
        <v>19.777999999999999</v>
      </c>
      <c r="CO61" s="11">
        <v>19.777999999999999</v>
      </c>
      <c r="CP61" s="11">
        <v>19.777999999999999</v>
      </c>
      <c r="CQ61" s="11">
        <v>19.777999999999999</v>
      </c>
      <c r="CR61" s="11">
        <v>19.777999999999999</v>
      </c>
      <c r="CS61" t="str">
        <f>IFERROR(INDEX('Initiative Summary'!$C$5:$C$25,MATCH($A61,'Initiative Summary'!$A$5:$A$25,0)),"")</f>
        <v>Eastbridge Region</v>
      </c>
    </row>
    <row r="62" spans="1:97" ht="24" x14ac:dyDescent="0.25">
      <c r="A62" s="6" t="s">
        <v>664</v>
      </c>
      <c r="B62" s="7" t="s">
        <v>663</v>
      </c>
      <c r="C62" s="8" t="s">
        <v>205</v>
      </c>
      <c r="D62" s="8" t="s">
        <v>204</v>
      </c>
      <c r="E62" s="8" t="s">
        <v>206</v>
      </c>
      <c r="F62" s="8" t="s">
        <v>207</v>
      </c>
      <c r="G62" s="8"/>
      <c r="H62" s="8"/>
      <c r="I62" s="8"/>
      <c r="J62" s="8"/>
      <c r="K62" s="7"/>
      <c r="L62" s="8" t="s">
        <v>718</v>
      </c>
      <c r="M62" s="8" t="s">
        <v>199</v>
      </c>
      <c r="N62" s="21">
        <v>3</v>
      </c>
      <c r="O62" s="8" t="b">
        <v>0</v>
      </c>
      <c r="P62" s="8" t="s">
        <v>201</v>
      </c>
      <c r="Q62" s="8" t="s">
        <v>202</v>
      </c>
      <c r="R62" s="8" t="s">
        <v>202</v>
      </c>
      <c r="S62" s="8"/>
      <c r="T62" s="8"/>
      <c r="U62" s="8"/>
      <c r="V62" s="8"/>
      <c r="W62" s="8"/>
      <c r="X62" s="8">
        <v>0</v>
      </c>
      <c r="Y62" s="8">
        <v>0</v>
      </c>
      <c r="Z62" s="8">
        <v>0</v>
      </c>
      <c r="AA62" s="8">
        <v>0</v>
      </c>
      <c r="AB62" s="8">
        <v>0</v>
      </c>
      <c r="AC62" s="8">
        <v>0</v>
      </c>
      <c r="AD62" s="8">
        <v>0</v>
      </c>
      <c r="AE62" s="8">
        <v>0</v>
      </c>
      <c r="AF62" s="8">
        <v>0</v>
      </c>
      <c r="AG62" s="8">
        <v>0</v>
      </c>
      <c r="AH62" s="8">
        <v>0</v>
      </c>
      <c r="AI62" s="8">
        <v>0</v>
      </c>
      <c r="AJ62" s="8">
        <v>0</v>
      </c>
      <c r="AK62" s="8">
        <v>0</v>
      </c>
      <c r="AL62" s="8">
        <v>0</v>
      </c>
      <c r="AM62" s="8">
        <v>0</v>
      </c>
      <c r="AN62" s="8">
        <v>0</v>
      </c>
      <c r="AO62" s="8">
        <v>0</v>
      </c>
      <c r="AP62" s="8">
        <v>0</v>
      </c>
      <c r="AQ62" s="8">
        <v>0</v>
      </c>
      <c r="AR62" s="8">
        <v>0</v>
      </c>
      <c r="AS62" s="8">
        <v>0</v>
      </c>
      <c r="AT62" s="8">
        <v>0</v>
      </c>
      <c r="AU62" s="8">
        <v>0</v>
      </c>
      <c r="AV62" s="8">
        <v>0</v>
      </c>
      <c r="AW62" s="8">
        <v>0</v>
      </c>
      <c r="AX62" s="8">
        <v>0</v>
      </c>
      <c r="AY62" s="8">
        <v>0</v>
      </c>
      <c r="AZ62" s="8">
        <v>0</v>
      </c>
      <c r="BA62" s="8">
        <v>0</v>
      </c>
      <c r="BB62" s="8">
        <v>0</v>
      </c>
      <c r="BC62" s="8">
        <v>0</v>
      </c>
      <c r="BD62" s="8">
        <v>0</v>
      </c>
      <c r="BE62" s="8">
        <v>0</v>
      </c>
      <c r="BF62" s="8">
        <v>0</v>
      </c>
      <c r="BG62" s="8">
        <v>0</v>
      </c>
      <c r="BH62" s="8">
        <v>0</v>
      </c>
      <c r="BI62" s="8">
        <v>0</v>
      </c>
      <c r="BJ62" s="8">
        <v>0</v>
      </c>
      <c r="BK62" s="8">
        <v>0</v>
      </c>
      <c r="BL62" s="8">
        <v>0</v>
      </c>
      <c r="BM62" s="8">
        <v>0</v>
      </c>
      <c r="BN62" s="8">
        <v>0</v>
      </c>
      <c r="BO62" s="8">
        <v>0</v>
      </c>
      <c r="BP62" s="8">
        <v>0</v>
      </c>
      <c r="BQ62" s="8">
        <v>0</v>
      </c>
      <c r="BR62" s="8">
        <v>0</v>
      </c>
      <c r="BS62" s="8">
        <v>0</v>
      </c>
      <c r="BT62" s="8">
        <v>0</v>
      </c>
      <c r="BU62" s="8">
        <v>0</v>
      </c>
      <c r="BV62" s="8">
        <v>0</v>
      </c>
      <c r="BW62" s="8">
        <v>0</v>
      </c>
      <c r="BX62" s="8">
        <v>0</v>
      </c>
      <c r="BY62" s="8">
        <v>0</v>
      </c>
      <c r="BZ62" s="8">
        <v>0</v>
      </c>
      <c r="CA62" s="8">
        <v>0</v>
      </c>
      <c r="CB62" s="8">
        <v>0</v>
      </c>
      <c r="CC62" s="8">
        <v>0</v>
      </c>
      <c r="CD62" s="8">
        <v>0</v>
      </c>
      <c r="CE62" s="8">
        <v>0</v>
      </c>
      <c r="CF62" s="8">
        <v>0</v>
      </c>
      <c r="CG62" s="8">
        <v>0</v>
      </c>
      <c r="CH62" s="8">
        <v>0</v>
      </c>
      <c r="CI62" s="8">
        <v>0</v>
      </c>
      <c r="CJ62" s="8">
        <v>0</v>
      </c>
      <c r="CK62" s="8">
        <v>0</v>
      </c>
      <c r="CL62" s="8">
        <v>0</v>
      </c>
      <c r="CM62" s="8">
        <v>0</v>
      </c>
      <c r="CN62" s="8">
        <v>0</v>
      </c>
      <c r="CO62" s="8">
        <v>0</v>
      </c>
      <c r="CP62" s="8">
        <v>0</v>
      </c>
      <c r="CQ62" s="8">
        <v>0</v>
      </c>
      <c r="CR62" s="8">
        <v>0</v>
      </c>
      <c r="CS62" t="str">
        <f>IFERROR(INDEX('Initiative Summary'!$C$5:$C$25,MATCH($A62,'Initiative Summary'!$A$5:$A$25,0)),"")</f>
        <v>Eastbridge Region</v>
      </c>
    </row>
    <row r="63" spans="1:97" ht="24" x14ac:dyDescent="0.25">
      <c r="A63" s="6" t="s">
        <v>664</v>
      </c>
      <c r="B63" s="10" t="s">
        <v>663</v>
      </c>
      <c r="C63" s="11" t="s">
        <v>206</v>
      </c>
      <c r="D63" s="11" t="s">
        <v>195</v>
      </c>
      <c r="E63" s="11" t="s">
        <v>206</v>
      </c>
      <c r="F63" s="11" t="s">
        <v>197</v>
      </c>
      <c r="G63" s="11"/>
      <c r="H63" s="11"/>
      <c r="I63" s="11"/>
      <c r="J63" s="11"/>
      <c r="K63" s="10"/>
      <c r="L63" s="11" t="s">
        <v>719</v>
      </c>
      <c r="M63" s="11" t="s">
        <v>199</v>
      </c>
      <c r="N63" s="20">
        <v>100</v>
      </c>
      <c r="O63" s="11" t="b">
        <v>0</v>
      </c>
      <c r="P63" s="11" t="s">
        <v>201</v>
      </c>
      <c r="Q63" s="11" t="s">
        <v>210</v>
      </c>
      <c r="R63" s="11" t="s">
        <v>210</v>
      </c>
      <c r="S63" s="11">
        <v>0</v>
      </c>
      <c r="T63" s="20">
        <v>0.46200000000000002</v>
      </c>
      <c r="U63" s="20">
        <v>0.68200000000000005</v>
      </c>
      <c r="V63" s="20">
        <v>0.68200000000000005</v>
      </c>
      <c r="W63" s="20">
        <v>0.68200000000000005</v>
      </c>
      <c r="X63" s="11">
        <v>0</v>
      </c>
      <c r="Y63" s="11">
        <v>0</v>
      </c>
      <c r="Z63" s="11">
        <v>0</v>
      </c>
      <c r="AA63" s="11">
        <v>0</v>
      </c>
      <c r="AB63" s="11">
        <v>0</v>
      </c>
      <c r="AC63" s="11">
        <v>0</v>
      </c>
      <c r="AD63" s="11">
        <v>0</v>
      </c>
      <c r="AE63" s="11">
        <v>0</v>
      </c>
      <c r="AF63" s="11">
        <v>0</v>
      </c>
      <c r="AG63" s="11">
        <v>0</v>
      </c>
      <c r="AH63" s="11">
        <v>0</v>
      </c>
      <c r="AI63" s="11">
        <v>0</v>
      </c>
      <c r="AJ63" s="20">
        <v>0</v>
      </c>
      <c r="AK63" s="20">
        <v>0</v>
      </c>
      <c r="AL63" s="20">
        <v>0</v>
      </c>
      <c r="AM63" s="20">
        <v>5.1333333333333335E-2</v>
      </c>
      <c r="AN63" s="20">
        <v>5.1333333333333335E-2</v>
      </c>
      <c r="AO63" s="20">
        <v>5.1333333333333335E-2</v>
      </c>
      <c r="AP63" s="20">
        <v>5.1333333333333335E-2</v>
      </c>
      <c r="AQ63" s="20">
        <v>5.1333333333333335E-2</v>
      </c>
      <c r="AR63" s="20">
        <v>5.1333333333333335E-2</v>
      </c>
      <c r="AS63" s="20">
        <v>5.1333333333333335E-2</v>
      </c>
      <c r="AT63" s="20">
        <v>5.1333333333333335E-2</v>
      </c>
      <c r="AU63" s="20">
        <v>5.1333333333333335E-2</v>
      </c>
      <c r="AV63" s="20">
        <v>5.683333333333334E-2</v>
      </c>
      <c r="AW63" s="20">
        <v>5.683333333333334E-2</v>
      </c>
      <c r="AX63" s="20">
        <v>5.683333333333334E-2</v>
      </c>
      <c r="AY63" s="20">
        <v>5.683333333333334E-2</v>
      </c>
      <c r="AZ63" s="20">
        <v>5.683333333333334E-2</v>
      </c>
      <c r="BA63" s="20">
        <v>5.683333333333334E-2</v>
      </c>
      <c r="BB63" s="20">
        <v>5.683333333333334E-2</v>
      </c>
      <c r="BC63" s="20">
        <v>5.683333333333334E-2</v>
      </c>
      <c r="BD63" s="20">
        <v>5.683333333333334E-2</v>
      </c>
      <c r="BE63" s="20">
        <v>5.683333333333334E-2</v>
      </c>
      <c r="BF63" s="20">
        <v>5.683333333333334E-2</v>
      </c>
      <c r="BG63" s="20">
        <v>5.683333333333334E-2</v>
      </c>
      <c r="BH63" s="20">
        <v>5.683333333333334E-2</v>
      </c>
      <c r="BI63" s="20">
        <v>5.683333333333334E-2</v>
      </c>
      <c r="BJ63" s="20">
        <v>5.683333333333334E-2</v>
      </c>
      <c r="BK63" s="20">
        <v>5.683333333333334E-2</v>
      </c>
      <c r="BL63" s="20">
        <v>5.683333333333334E-2</v>
      </c>
      <c r="BM63" s="20">
        <v>5.683333333333334E-2</v>
      </c>
      <c r="BN63" s="20">
        <v>5.683333333333334E-2</v>
      </c>
      <c r="BO63" s="20">
        <v>5.683333333333334E-2</v>
      </c>
      <c r="BP63" s="20">
        <v>5.683333333333334E-2</v>
      </c>
      <c r="BQ63" s="20">
        <v>5.683333333333334E-2</v>
      </c>
      <c r="BR63" s="20">
        <v>5.683333333333334E-2</v>
      </c>
      <c r="BS63" s="20">
        <v>5.683333333333334E-2</v>
      </c>
      <c r="BT63" s="20">
        <v>5.683333333333334E-2</v>
      </c>
      <c r="BU63" s="20">
        <v>5.683333333333334E-2</v>
      </c>
      <c r="BV63" s="20">
        <v>5.683333333333334E-2</v>
      </c>
      <c r="BW63" s="20">
        <v>5.683333333333334E-2</v>
      </c>
      <c r="BX63" s="20">
        <v>5.683333333333334E-2</v>
      </c>
      <c r="BY63" s="20">
        <v>5.683333333333334E-2</v>
      </c>
      <c r="BZ63" s="20">
        <v>5.683333333333334E-2</v>
      </c>
      <c r="CA63" s="20">
        <v>5.683333333333334E-2</v>
      </c>
      <c r="CB63" s="20">
        <v>5.683333333333334E-2</v>
      </c>
      <c r="CC63" s="20">
        <v>5.683333333333334E-2</v>
      </c>
      <c r="CD63" s="20">
        <v>5.683333333333334E-2</v>
      </c>
      <c r="CE63" s="20">
        <v>5.683333333333334E-2</v>
      </c>
      <c r="CF63" s="11">
        <v>0.68200000000000005</v>
      </c>
      <c r="CG63" s="11">
        <v>5.683333333333334E-2</v>
      </c>
      <c r="CH63" s="11">
        <v>5.683333333333334E-2</v>
      </c>
      <c r="CI63" s="11">
        <v>5.683333333333334E-2</v>
      </c>
      <c r="CJ63" s="11">
        <v>5.683333333333334E-2</v>
      </c>
      <c r="CK63" s="11">
        <v>5.683333333333334E-2</v>
      </c>
      <c r="CL63" s="11">
        <v>5.683333333333334E-2</v>
      </c>
      <c r="CM63" s="11">
        <v>5.683333333333334E-2</v>
      </c>
      <c r="CN63" s="11">
        <v>5.683333333333334E-2</v>
      </c>
      <c r="CO63" s="11">
        <v>5.683333333333334E-2</v>
      </c>
      <c r="CP63" s="11">
        <v>5.683333333333334E-2</v>
      </c>
      <c r="CQ63" s="11">
        <v>5.683333333333334E-2</v>
      </c>
      <c r="CR63" s="11">
        <v>5.683333333333334E-2</v>
      </c>
      <c r="CS63" t="str">
        <f>IFERROR(INDEX('Initiative Summary'!$C$5:$C$25,MATCH($A63,'Initiative Summary'!$A$5:$A$25,0)),"")</f>
        <v>Eastbridge Region</v>
      </c>
    </row>
    <row r="64" spans="1:97" ht="24" x14ac:dyDescent="0.25">
      <c r="A64" s="6" t="s">
        <v>664</v>
      </c>
      <c r="B64" s="7" t="s">
        <v>663</v>
      </c>
      <c r="C64" s="8" t="s">
        <v>206</v>
      </c>
      <c r="D64" s="8" t="s">
        <v>203</v>
      </c>
      <c r="E64" s="8" t="s">
        <v>206</v>
      </c>
      <c r="F64" s="8" t="s">
        <v>197</v>
      </c>
      <c r="G64" s="8"/>
      <c r="H64" s="8"/>
      <c r="I64" s="8"/>
      <c r="J64" s="8"/>
      <c r="K64" s="7"/>
      <c r="L64" s="8" t="s">
        <v>719</v>
      </c>
      <c r="M64" s="8" t="s">
        <v>199</v>
      </c>
      <c r="N64" s="21">
        <v>100</v>
      </c>
      <c r="O64" s="8" t="b">
        <v>0</v>
      </c>
      <c r="P64" s="8" t="s">
        <v>201</v>
      </c>
      <c r="Q64" s="8" t="s">
        <v>210</v>
      </c>
      <c r="R64" s="8" t="s">
        <v>210</v>
      </c>
      <c r="S64" s="8">
        <v>0</v>
      </c>
      <c r="T64" s="21">
        <v>0.57199999999999995</v>
      </c>
      <c r="U64" s="21">
        <v>0.81399999999999995</v>
      </c>
      <c r="V64" s="21">
        <v>0.81399999999999995</v>
      </c>
      <c r="W64" s="21">
        <v>0.81399999999999995</v>
      </c>
      <c r="X64" s="8">
        <v>0</v>
      </c>
      <c r="Y64" s="8">
        <v>0</v>
      </c>
      <c r="Z64" s="8">
        <v>0</v>
      </c>
      <c r="AA64" s="8">
        <v>0</v>
      </c>
      <c r="AB64" s="8">
        <v>0</v>
      </c>
      <c r="AC64" s="8">
        <v>0</v>
      </c>
      <c r="AD64" s="8">
        <v>0</v>
      </c>
      <c r="AE64" s="8">
        <v>0</v>
      </c>
      <c r="AF64" s="8">
        <v>0</v>
      </c>
      <c r="AG64" s="8">
        <v>0</v>
      </c>
      <c r="AH64" s="8">
        <v>0</v>
      </c>
      <c r="AI64" s="8">
        <v>0</v>
      </c>
      <c r="AJ64" s="21">
        <v>0</v>
      </c>
      <c r="AK64" s="21">
        <v>0</v>
      </c>
      <c r="AL64" s="21">
        <v>0</v>
      </c>
      <c r="AM64" s="21">
        <v>6.3555555555555546E-2</v>
      </c>
      <c r="AN64" s="21">
        <v>6.3555555555555546E-2</v>
      </c>
      <c r="AO64" s="21">
        <v>6.3555555555555546E-2</v>
      </c>
      <c r="AP64" s="21">
        <v>6.3555555555555546E-2</v>
      </c>
      <c r="AQ64" s="21">
        <v>6.3555555555555546E-2</v>
      </c>
      <c r="AR64" s="21">
        <v>6.3555555555555546E-2</v>
      </c>
      <c r="AS64" s="21">
        <v>6.3555555555555546E-2</v>
      </c>
      <c r="AT64" s="21">
        <v>6.3555555555555546E-2</v>
      </c>
      <c r="AU64" s="21">
        <v>6.3555555555555546E-2</v>
      </c>
      <c r="AV64" s="21">
        <v>6.7833333333333329E-2</v>
      </c>
      <c r="AW64" s="21">
        <v>6.7833333333333329E-2</v>
      </c>
      <c r="AX64" s="21">
        <v>6.7833333333333329E-2</v>
      </c>
      <c r="AY64" s="21">
        <v>6.7833333333333329E-2</v>
      </c>
      <c r="AZ64" s="21">
        <v>6.7833333333333329E-2</v>
      </c>
      <c r="BA64" s="21">
        <v>6.7833333333333329E-2</v>
      </c>
      <c r="BB64" s="21">
        <v>6.7833333333333329E-2</v>
      </c>
      <c r="BC64" s="21">
        <v>6.7833333333333329E-2</v>
      </c>
      <c r="BD64" s="21">
        <v>6.7833333333333329E-2</v>
      </c>
      <c r="BE64" s="21">
        <v>6.7833333333333329E-2</v>
      </c>
      <c r="BF64" s="21">
        <v>6.7833333333333329E-2</v>
      </c>
      <c r="BG64" s="21">
        <v>6.7833333333333329E-2</v>
      </c>
      <c r="BH64" s="21">
        <v>6.7833333333333329E-2</v>
      </c>
      <c r="BI64" s="21">
        <v>6.7833333333333329E-2</v>
      </c>
      <c r="BJ64" s="21">
        <v>6.7833333333333329E-2</v>
      </c>
      <c r="BK64" s="21">
        <v>6.7833333333333329E-2</v>
      </c>
      <c r="BL64" s="21">
        <v>6.7833333333333329E-2</v>
      </c>
      <c r="BM64" s="21">
        <v>6.7833333333333329E-2</v>
      </c>
      <c r="BN64" s="21">
        <v>6.7833333333333329E-2</v>
      </c>
      <c r="BO64" s="21">
        <v>6.7833333333333329E-2</v>
      </c>
      <c r="BP64" s="21">
        <v>6.7833333333333329E-2</v>
      </c>
      <c r="BQ64" s="21">
        <v>6.7833333333333329E-2</v>
      </c>
      <c r="BR64" s="21">
        <v>6.7833333333333329E-2</v>
      </c>
      <c r="BS64" s="21">
        <v>6.7833333333333329E-2</v>
      </c>
      <c r="BT64" s="21">
        <v>6.7833333333333329E-2</v>
      </c>
      <c r="BU64" s="21">
        <v>6.7833333333333329E-2</v>
      </c>
      <c r="BV64" s="21">
        <v>6.7833333333333329E-2</v>
      </c>
      <c r="BW64" s="21">
        <v>6.7833333333333329E-2</v>
      </c>
      <c r="BX64" s="21">
        <v>6.7833333333333329E-2</v>
      </c>
      <c r="BY64" s="21">
        <v>6.7833333333333329E-2</v>
      </c>
      <c r="BZ64" s="21">
        <v>6.7833333333333329E-2</v>
      </c>
      <c r="CA64" s="21">
        <v>6.7833333333333329E-2</v>
      </c>
      <c r="CB64" s="21">
        <v>6.7833333333333329E-2</v>
      </c>
      <c r="CC64" s="21">
        <v>6.7833333333333329E-2</v>
      </c>
      <c r="CD64" s="21">
        <v>6.7833333333333329E-2</v>
      </c>
      <c r="CE64" s="21">
        <v>6.7833333333333329E-2</v>
      </c>
      <c r="CF64" s="8">
        <v>0.81399999999999995</v>
      </c>
      <c r="CG64" s="8">
        <v>6.7833333333333329E-2</v>
      </c>
      <c r="CH64" s="8">
        <v>6.7833333333333329E-2</v>
      </c>
      <c r="CI64" s="8">
        <v>6.7833333333333329E-2</v>
      </c>
      <c r="CJ64" s="8">
        <v>6.7833333333333329E-2</v>
      </c>
      <c r="CK64" s="8">
        <v>6.7833333333333329E-2</v>
      </c>
      <c r="CL64" s="8">
        <v>6.7833333333333329E-2</v>
      </c>
      <c r="CM64" s="8">
        <v>6.7833333333333329E-2</v>
      </c>
      <c r="CN64" s="8">
        <v>6.7833333333333329E-2</v>
      </c>
      <c r="CO64" s="8">
        <v>6.7833333333333329E-2</v>
      </c>
      <c r="CP64" s="8">
        <v>6.7833333333333329E-2</v>
      </c>
      <c r="CQ64" s="8">
        <v>6.7833333333333329E-2</v>
      </c>
      <c r="CR64" s="8">
        <v>6.7833333333333329E-2</v>
      </c>
      <c r="CS64" t="str">
        <f>IFERROR(INDEX('Initiative Summary'!$C$5:$C$25,MATCH($A64,'Initiative Summary'!$A$5:$A$25,0)),"")</f>
        <v>Eastbridge Region</v>
      </c>
    </row>
    <row r="65" spans="1:97" ht="24" x14ac:dyDescent="0.25">
      <c r="A65" s="6" t="s">
        <v>664</v>
      </c>
      <c r="B65" s="10" t="s">
        <v>663</v>
      </c>
      <c r="C65" s="11" t="s">
        <v>206</v>
      </c>
      <c r="D65" s="11" t="s">
        <v>204</v>
      </c>
      <c r="E65" s="11" t="s">
        <v>206</v>
      </c>
      <c r="F65" s="11" t="s">
        <v>197</v>
      </c>
      <c r="G65" s="11"/>
      <c r="H65" s="11"/>
      <c r="I65" s="11"/>
      <c r="J65" s="11"/>
      <c r="K65" s="10"/>
      <c r="L65" s="11" t="s">
        <v>719</v>
      </c>
      <c r="M65" s="11" t="s">
        <v>199</v>
      </c>
      <c r="N65" s="20">
        <v>100</v>
      </c>
      <c r="O65" s="11" t="b">
        <v>0</v>
      </c>
      <c r="P65" s="11" t="s">
        <v>201</v>
      </c>
      <c r="Q65" s="11" t="s">
        <v>210</v>
      </c>
      <c r="R65" s="11" t="s">
        <v>210</v>
      </c>
      <c r="S65" s="11"/>
      <c r="T65" s="11"/>
      <c r="U65" s="11"/>
      <c r="V65" s="11"/>
      <c r="W65" s="11"/>
      <c r="X65" s="11">
        <v>0</v>
      </c>
      <c r="Y65" s="11">
        <v>0</v>
      </c>
      <c r="Z65" s="11">
        <v>0</v>
      </c>
      <c r="AA65" s="11">
        <v>0</v>
      </c>
      <c r="AB65" s="11">
        <v>0</v>
      </c>
      <c r="AC65" s="11">
        <v>0</v>
      </c>
      <c r="AD65" s="11">
        <v>0</v>
      </c>
      <c r="AE65" s="11">
        <v>0</v>
      </c>
      <c r="AF65" s="11">
        <v>0</v>
      </c>
      <c r="AG65" s="11">
        <v>0</v>
      </c>
      <c r="AH65" s="11">
        <v>0</v>
      </c>
      <c r="AI65" s="11">
        <v>0</v>
      </c>
      <c r="AJ65" s="11">
        <v>0</v>
      </c>
      <c r="AK65" s="11">
        <v>0</v>
      </c>
      <c r="AL65" s="11">
        <v>0</v>
      </c>
      <c r="AM65" s="11">
        <v>0</v>
      </c>
      <c r="AN65" s="11">
        <v>0</v>
      </c>
      <c r="AO65" s="11">
        <v>0</v>
      </c>
      <c r="AP65" s="11">
        <v>0</v>
      </c>
      <c r="AQ65" s="11">
        <v>0</v>
      </c>
      <c r="AR65" s="11">
        <v>0</v>
      </c>
      <c r="AS65" s="11">
        <v>0</v>
      </c>
      <c r="AT65" s="11">
        <v>0</v>
      </c>
      <c r="AU65" s="11">
        <v>0</v>
      </c>
      <c r="AV65" s="11">
        <v>0</v>
      </c>
      <c r="AW65" s="11">
        <v>0</v>
      </c>
      <c r="AX65" s="11">
        <v>0</v>
      </c>
      <c r="AY65" s="11">
        <v>0</v>
      </c>
      <c r="AZ65" s="11">
        <v>0</v>
      </c>
      <c r="BA65" s="11">
        <v>0</v>
      </c>
      <c r="BB65" s="11">
        <v>0</v>
      </c>
      <c r="BC65" s="11">
        <v>0</v>
      </c>
      <c r="BD65" s="11">
        <v>0</v>
      </c>
      <c r="BE65" s="11">
        <v>0</v>
      </c>
      <c r="BF65" s="11">
        <v>0</v>
      </c>
      <c r="BG65" s="11">
        <v>0</v>
      </c>
      <c r="BH65" s="11">
        <v>0</v>
      </c>
      <c r="BI65" s="11">
        <v>0</v>
      </c>
      <c r="BJ65" s="11">
        <v>0</v>
      </c>
      <c r="BK65" s="11">
        <v>0</v>
      </c>
      <c r="BL65" s="11">
        <v>0</v>
      </c>
      <c r="BM65" s="11">
        <v>0</v>
      </c>
      <c r="BN65" s="11">
        <v>0</v>
      </c>
      <c r="BO65" s="11">
        <v>0</v>
      </c>
      <c r="BP65" s="11">
        <v>0</v>
      </c>
      <c r="BQ65" s="11">
        <v>0</v>
      </c>
      <c r="BR65" s="11">
        <v>0</v>
      </c>
      <c r="BS65" s="11">
        <v>0</v>
      </c>
      <c r="BT65" s="11">
        <v>0</v>
      </c>
      <c r="BU65" s="11">
        <v>0</v>
      </c>
      <c r="BV65" s="11">
        <v>0</v>
      </c>
      <c r="BW65" s="11">
        <v>0</v>
      </c>
      <c r="BX65" s="11">
        <v>0</v>
      </c>
      <c r="BY65" s="11">
        <v>0</v>
      </c>
      <c r="BZ65" s="11">
        <v>0</v>
      </c>
      <c r="CA65" s="11">
        <v>0</v>
      </c>
      <c r="CB65" s="11">
        <v>0</v>
      </c>
      <c r="CC65" s="11">
        <v>0</v>
      </c>
      <c r="CD65" s="11">
        <v>0</v>
      </c>
      <c r="CE65" s="11">
        <v>0</v>
      </c>
      <c r="CF65" s="11">
        <v>0</v>
      </c>
      <c r="CG65" s="11">
        <v>0</v>
      </c>
      <c r="CH65" s="11">
        <v>0</v>
      </c>
      <c r="CI65" s="11">
        <v>0</v>
      </c>
      <c r="CJ65" s="11">
        <v>0</v>
      </c>
      <c r="CK65" s="11">
        <v>0</v>
      </c>
      <c r="CL65" s="11">
        <v>0</v>
      </c>
      <c r="CM65" s="11">
        <v>0</v>
      </c>
      <c r="CN65" s="11">
        <v>0</v>
      </c>
      <c r="CO65" s="11">
        <v>0</v>
      </c>
      <c r="CP65" s="11">
        <v>0</v>
      </c>
      <c r="CQ65" s="11">
        <v>0</v>
      </c>
      <c r="CR65" s="11">
        <v>0</v>
      </c>
      <c r="CS65" t="str">
        <f>IFERROR(INDEX('Initiative Summary'!$C$5:$C$25,MATCH($A65,'Initiative Summary'!$A$5:$A$25,0)),"")</f>
        <v>Eastbridge Region</v>
      </c>
    </row>
    <row r="66" spans="1:97" ht="24" x14ac:dyDescent="0.25">
      <c r="A66" s="6" t="s">
        <v>668</v>
      </c>
      <c r="B66" s="10" t="s">
        <v>667</v>
      </c>
      <c r="C66" s="11" t="s">
        <v>194</v>
      </c>
      <c r="D66" s="11" t="s">
        <v>195</v>
      </c>
      <c r="E66" s="11" t="s">
        <v>196</v>
      </c>
      <c r="F66" s="11" t="s">
        <v>197</v>
      </c>
      <c r="G66" s="11"/>
      <c r="H66" s="11" t="s">
        <v>215</v>
      </c>
      <c r="I66" s="11" t="s">
        <v>216</v>
      </c>
      <c r="J66" s="11"/>
      <c r="K66" s="10"/>
      <c r="L66" s="11" t="s">
        <v>720</v>
      </c>
      <c r="M66" s="11" t="s">
        <v>199</v>
      </c>
      <c r="N66" s="20">
        <v>0</v>
      </c>
      <c r="O66" s="11" t="b">
        <v>0</v>
      </c>
      <c r="P66" s="11" t="s">
        <v>218</v>
      </c>
      <c r="Q66" s="11" t="s">
        <v>219</v>
      </c>
      <c r="R66" s="11" t="s">
        <v>219</v>
      </c>
      <c r="S66" s="11">
        <v>0</v>
      </c>
      <c r="T66" s="11">
        <v>0</v>
      </c>
      <c r="U66" s="11">
        <v>0</v>
      </c>
      <c r="V66" s="11">
        <v>0</v>
      </c>
      <c r="W66" s="11">
        <v>0</v>
      </c>
      <c r="X66" s="11">
        <v>0</v>
      </c>
      <c r="Y66" s="11">
        <v>0</v>
      </c>
      <c r="Z66" s="11">
        <v>0</v>
      </c>
      <c r="AA66" s="11">
        <v>0</v>
      </c>
      <c r="AB66" s="11">
        <v>0</v>
      </c>
      <c r="AC66" s="11">
        <v>0</v>
      </c>
      <c r="AD66" s="11">
        <v>0</v>
      </c>
      <c r="AE66" s="11">
        <v>0</v>
      </c>
      <c r="AF66" s="11">
        <v>0</v>
      </c>
      <c r="AG66" s="11">
        <v>0</v>
      </c>
      <c r="AH66" s="11">
        <v>0</v>
      </c>
      <c r="AI66" s="11">
        <v>0</v>
      </c>
      <c r="AJ66" s="11">
        <v>0</v>
      </c>
      <c r="AK66" s="11">
        <v>0</v>
      </c>
      <c r="AL66" s="11">
        <v>0</v>
      </c>
      <c r="AM66" s="11">
        <v>0</v>
      </c>
      <c r="AN66" s="11">
        <v>0</v>
      </c>
      <c r="AO66" s="11">
        <v>0</v>
      </c>
      <c r="AP66" s="11">
        <v>0</v>
      </c>
      <c r="AQ66" s="11">
        <v>0</v>
      </c>
      <c r="AR66" s="11">
        <v>0</v>
      </c>
      <c r="AS66" s="11">
        <v>0</v>
      </c>
      <c r="AT66" s="11">
        <v>0</v>
      </c>
      <c r="AU66" s="11">
        <v>0</v>
      </c>
      <c r="AV66" s="11">
        <v>0</v>
      </c>
      <c r="AW66" s="11">
        <v>0</v>
      </c>
      <c r="AX66" s="11">
        <v>0</v>
      </c>
      <c r="AY66" s="11">
        <v>0</v>
      </c>
      <c r="AZ66" s="11">
        <v>0</v>
      </c>
      <c r="BA66" s="11">
        <v>0</v>
      </c>
      <c r="BB66" s="11">
        <v>0</v>
      </c>
      <c r="BC66" s="11">
        <v>0</v>
      </c>
      <c r="BD66" s="11">
        <v>0</v>
      </c>
      <c r="BE66" s="11">
        <v>0</v>
      </c>
      <c r="BF66" s="11">
        <v>0</v>
      </c>
      <c r="BG66" s="11">
        <v>0</v>
      </c>
      <c r="BH66" s="11">
        <v>0</v>
      </c>
      <c r="BI66" s="11">
        <v>0</v>
      </c>
      <c r="BJ66" s="11">
        <v>0</v>
      </c>
      <c r="BK66" s="11">
        <v>0</v>
      </c>
      <c r="BL66" s="11">
        <v>0</v>
      </c>
      <c r="BM66" s="11">
        <v>0</v>
      </c>
      <c r="BN66" s="11">
        <v>0</v>
      </c>
      <c r="BO66" s="11">
        <v>0</v>
      </c>
      <c r="BP66" s="11">
        <v>0</v>
      </c>
      <c r="BQ66" s="11">
        <v>0</v>
      </c>
      <c r="BR66" s="11">
        <v>0</v>
      </c>
      <c r="BS66" s="11">
        <v>0</v>
      </c>
      <c r="BT66" s="11">
        <v>0</v>
      </c>
      <c r="BU66" s="11">
        <v>0</v>
      </c>
      <c r="BV66" s="11">
        <v>0</v>
      </c>
      <c r="BW66" s="11">
        <v>0</v>
      </c>
      <c r="BX66" s="11">
        <v>0</v>
      </c>
      <c r="BY66" s="11">
        <v>0</v>
      </c>
      <c r="BZ66" s="11">
        <v>0</v>
      </c>
      <c r="CA66" s="11">
        <v>0</v>
      </c>
      <c r="CB66" s="11">
        <v>0</v>
      </c>
      <c r="CC66" s="11">
        <v>0</v>
      </c>
      <c r="CD66" s="11">
        <v>0</v>
      </c>
      <c r="CE66" s="11">
        <v>0</v>
      </c>
      <c r="CF66" s="11">
        <v>0</v>
      </c>
      <c r="CG66" s="11">
        <v>0</v>
      </c>
      <c r="CH66" s="11">
        <v>0</v>
      </c>
      <c r="CI66" s="11">
        <v>0</v>
      </c>
      <c r="CJ66" s="11">
        <v>0</v>
      </c>
      <c r="CK66" s="11">
        <v>0</v>
      </c>
      <c r="CL66" s="11">
        <v>0</v>
      </c>
      <c r="CM66" s="11">
        <v>0</v>
      </c>
      <c r="CN66" s="11">
        <v>0</v>
      </c>
      <c r="CO66" s="11">
        <v>0</v>
      </c>
      <c r="CP66" s="11">
        <v>0</v>
      </c>
      <c r="CQ66" s="11">
        <v>0</v>
      </c>
      <c r="CR66" s="11">
        <v>0</v>
      </c>
      <c r="CS66" t="str">
        <f>IFERROR(INDEX('Initiative Summary'!$C$5:$C$25,MATCH($A66,'Initiative Summary'!$A$5:$A$25,0)),"")</f>
        <v>Eastbridge Region</v>
      </c>
    </row>
    <row r="67" spans="1:97" ht="24" x14ac:dyDescent="0.25">
      <c r="A67" s="6" t="s">
        <v>668</v>
      </c>
      <c r="B67" s="7" t="s">
        <v>667</v>
      </c>
      <c r="C67" s="8" t="s">
        <v>194</v>
      </c>
      <c r="D67" s="8" t="s">
        <v>203</v>
      </c>
      <c r="E67" s="8" t="s">
        <v>196</v>
      </c>
      <c r="F67" s="8" t="s">
        <v>197</v>
      </c>
      <c r="G67" s="8"/>
      <c r="H67" s="8" t="s">
        <v>215</v>
      </c>
      <c r="I67" s="8" t="s">
        <v>216</v>
      </c>
      <c r="J67" s="8"/>
      <c r="K67" s="7"/>
      <c r="L67" s="8" t="s">
        <v>720</v>
      </c>
      <c r="M67" s="8" t="s">
        <v>199</v>
      </c>
      <c r="N67" s="21">
        <v>0</v>
      </c>
      <c r="O67" s="8" t="b">
        <v>0</v>
      </c>
      <c r="P67" s="8" t="s">
        <v>218</v>
      </c>
      <c r="Q67" s="8" t="s">
        <v>219</v>
      </c>
      <c r="R67" s="8" t="s">
        <v>219</v>
      </c>
      <c r="S67" s="8">
        <v>0</v>
      </c>
      <c r="T67" s="8">
        <v>0</v>
      </c>
      <c r="U67" s="8">
        <v>0</v>
      </c>
      <c r="V67" s="8">
        <v>0</v>
      </c>
      <c r="W67" s="8">
        <v>0</v>
      </c>
      <c r="X67" s="8">
        <v>0</v>
      </c>
      <c r="Y67" s="8">
        <v>0</v>
      </c>
      <c r="Z67" s="8">
        <v>0</v>
      </c>
      <c r="AA67" s="8">
        <v>0</v>
      </c>
      <c r="AB67" s="8">
        <v>0</v>
      </c>
      <c r="AC67" s="8">
        <v>0</v>
      </c>
      <c r="AD67" s="8">
        <v>0</v>
      </c>
      <c r="AE67" s="8">
        <v>0</v>
      </c>
      <c r="AF67" s="8">
        <v>0</v>
      </c>
      <c r="AG67" s="8">
        <v>0</v>
      </c>
      <c r="AH67" s="8">
        <v>0</v>
      </c>
      <c r="AI67" s="8">
        <v>0</v>
      </c>
      <c r="AJ67" s="8">
        <v>0</v>
      </c>
      <c r="AK67" s="8">
        <v>0</v>
      </c>
      <c r="AL67" s="8">
        <v>0</v>
      </c>
      <c r="AM67" s="8">
        <v>0</v>
      </c>
      <c r="AN67" s="8">
        <v>0</v>
      </c>
      <c r="AO67" s="8">
        <v>0</v>
      </c>
      <c r="AP67" s="8">
        <v>0</v>
      </c>
      <c r="AQ67" s="8">
        <v>0</v>
      </c>
      <c r="AR67" s="8">
        <v>0</v>
      </c>
      <c r="AS67" s="8">
        <v>0</v>
      </c>
      <c r="AT67" s="8">
        <v>0</v>
      </c>
      <c r="AU67" s="8">
        <v>0</v>
      </c>
      <c r="AV67" s="8">
        <v>0</v>
      </c>
      <c r="AW67" s="8">
        <v>0</v>
      </c>
      <c r="AX67" s="8">
        <v>0</v>
      </c>
      <c r="AY67" s="8">
        <v>0</v>
      </c>
      <c r="AZ67" s="8">
        <v>0</v>
      </c>
      <c r="BA67" s="8">
        <v>0</v>
      </c>
      <c r="BB67" s="8">
        <v>0</v>
      </c>
      <c r="BC67" s="8">
        <v>0</v>
      </c>
      <c r="BD67" s="8">
        <v>0</v>
      </c>
      <c r="BE67" s="8">
        <v>0</v>
      </c>
      <c r="BF67" s="8">
        <v>0</v>
      </c>
      <c r="BG67" s="8">
        <v>0</v>
      </c>
      <c r="BH67" s="8">
        <v>0</v>
      </c>
      <c r="BI67" s="8">
        <v>0</v>
      </c>
      <c r="BJ67" s="8">
        <v>0</v>
      </c>
      <c r="BK67" s="8">
        <v>0</v>
      </c>
      <c r="BL67" s="8">
        <v>0</v>
      </c>
      <c r="BM67" s="8">
        <v>0</v>
      </c>
      <c r="BN67" s="8">
        <v>0</v>
      </c>
      <c r="BO67" s="8">
        <v>0</v>
      </c>
      <c r="BP67" s="8">
        <v>0</v>
      </c>
      <c r="BQ67" s="8">
        <v>0</v>
      </c>
      <c r="BR67" s="8">
        <v>0</v>
      </c>
      <c r="BS67" s="8">
        <v>0</v>
      </c>
      <c r="BT67" s="8">
        <v>0</v>
      </c>
      <c r="BU67" s="8">
        <v>0</v>
      </c>
      <c r="BV67" s="8">
        <v>0</v>
      </c>
      <c r="BW67" s="8">
        <v>0</v>
      </c>
      <c r="BX67" s="8">
        <v>0</v>
      </c>
      <c r="BY67" s="8">
        <v>0</v>
      </c>
      <c r="BZ67" s="8">
        <v>0</v>
      </c>
      <c r="CA67" s="8">
        <v>0</v>
      </c>
      <c r="CB67" s="8">
        <v>0</v>
      </c>
      <c r="CC67" s="8">
        <v>0</v>
      </c>
      <c r="CD67" s="8">
        <v>0</v>
      </c>
      <c r="CE67" s="8">
        <v>0</v>
      </c>
      <c r="CF67" s="8">
        <v>0</v>
      </c>
      <c r="CG67" s="8">
        <v>0</v>
      </c>
      <c r="CH67" s="8">
        <v>0</v>
      </c>
      <c r="CI67" s="8">
        <v>0</v>
      </c>
      <c r="CJ67" s="8">
        <v>0</v>
      </c>
      <c r="CK67" s="8">
        <v>0</v>
      </c>
      <c r="CL67" s="8">
        <v>0</v>
      </c>
      <c r="CM67" s="8">
        <v>0</v>
      </c>
      <c r="CN67" s="8">
        <v>0</v>
      </c>
      <c r="CO67" s="8">
        <v>0</v>
      </c>
      <c r="CP67" s="8">
        <v>0</v>
      </c>
      <c r="CQ67" s="8">
        <v>0</v>
      </c>
      <c r="CR67" s="8">
        <v>0</v>
      </c>
      <c r="CS67" t="str">
        <f>IFERROR(INDEX('Initiative Summary'!$C$5:$C$25,MATCH($A67,'Initiative Summary'!$A$5:$A$25,0)),"")</f>
        <v>Eastbridge Region</v>
      </c>
    </row>
    <row r="68" spans="1:97" ht="24" x14ac:dyDescent="0.25">
      <c r="A68" s="6" t="s">
        <v>668</v>
      </c>
      <c r="B68" s="10" t="s">
        <v>667</v>
      </c>
      <c r="C68" s="11" t="s">
        <v>194</v>
      </c>
      <c r="D68" s="11" t="s">
        <v>204</v>
      </c>
      <c r="E68" s="11" t="s">
        <v>196</v>
      </c>
      <c r="F68" s="11" t="s">
        <v>197</v>
      </c>
      <c r="G68" s="11"/>
      <c r="H68" s="11" t="s">
        <v>215</v>
      </c>
      <c r="I68" s="11" t="s">
        <v>216</v>
      </c>
      <c r="J68" s="11"/>
      <c r="K68" s="10"/>
      <c r="L68" s="11" t="s">
        <v>720</v>
      </c>
      <c r="M68" s="11" t="s">
        <v>199</v>
      </c>
      <c r="N68" s="20">
        <v>0</v>
      </c>
      <c r="O68" s="11" t="b">
        <v>0</v>
      </c>
      <c r="P68" s="11" t="s">
        <v>218</v>
      </c>
      <c r="Q68" s="11" t="s">
        <v>219</v>
      </c>
      <c r="R68" s="11" t="s">
        <v>219</v>
      </c>
      <c r="S68" s="11">
        <v>0</v>
      </c>
      <c r="T68" s="11">
        <v>0</v>
      </c>
      <c r="U68" s="11">
        <v>0</v>
      </c>
      <c r="V68" s="11">
        <v>0</v>
      </c>
      <c r="W68" s="11">
        <v>0</v>
      </c>
      <c r="X68" s="11">
        <v>0</v>
      </c>
      <c r="Y68" s="11">
        <v>0</v>
      </c>
      <c r="Z68" s="11">
        <v>0</v>
      </c>
      <c r="AA68" s="11">
        <v>0</v>
      </c>
      <c r="AB68" s="11">
        <v>0</v>
      </c>
      <c r="AC68" s="11">
        <v>0</v>
      </c>
      <c r="AD68" s="11">
        <v>0</v>
      </c>
      <c r="AE68" s="11">
        <v>0</v>
      </c>
      <c r="AF68" s="11">
        <v>0</v>
      </c>
      <c r="AG68" s="11">
        <v>0</v>
      </c>
      <c r="AH68" s="11">
        <v>0</v>
      </c>
      <c r="AI68" s="11">
        <v>0</v>
      </c>
      <c r="AJ68" s="11">
        <v>0</v>
      </c>
      <c r="AK68" s="11">
        <v>0</v>
      </c>
      <c r="AL68" s="11">
        <v>0</v>
      </c>
      <c r="AM68" s="11">
        <v>0</v>
      </c>
      <c r="AN68" s="11">
        <v>0</v>
      </c>
      <c r="AO68" s="11">
        <v>0</v>
      </c>
      <c r="AP68" s="11">
        <v>0</v>
      </c>
      <c r="AQ68" s="11">
        <v>0</v>
      </c>
      <c r="AR68" s="11">
        <v>0</v>
      </c>
      <c r="AS68" s="11">
        <v>0</v>
      </c>
      <c r="AT68" s="11">
        <v>0</v>
      </c>
      <c r="AU68" s="11">
        <v>0</v>
      </c>
      <c r="AV68" s="11">
        <v>0</v>
      </c>
      <c r="AW68" s="11">
        <v>0</v>
      </c>
      <c r="AX68" s="11">
        <v>0</v>
      </c>
      <c r="AY68" s="11">
        <v>0</v>
      </c>
      <c r="AZ68" s="11">
        <v>0</v>
      </c>
      <c r="BA68" s="11">
        <v>0</v>
      </c>
      <c r="BB68" s="11">
        <v>0</v>
      </c>
      <c r="BC68" s="11">
        <v>0</v>
      </c>
      <c r="BD68" s="11">
        <v>0</v>
      </c>
      <c r="BE68" s="11">
        <v>0</v>
      </c>
      <c r="BF68" s="11">
        <v>0</v>
      </c>
      <c r="BG68" s="11">
        <v>0</v>
      </c>
      <c r="BH68" s="11">
        <v>0</v>
      </c>
      <c r="BI68" s="11">
        <v>0</v>
      </c>
      <c r="BJ68" s="11">
        <v>0</v>
      </c>
      <c r="BK68" s="11">
        <v>0</v>
      </c>
      <c r="BL68" s="11">
        <v>0</v>
      </c>
      <c r="BM68" s="11">
        <v>0</v>
      </c>
      <c r="BN68" s="11">
        <v>0</v>
      </c>
      <c r="BO68" s="11">
        <v>0</v>
      </c>
      <c r="BP68" s="11">
        <v>0</v>
      </c>
      <c r="BQ68" s="11">
        <v>0</v>
      </c>
      <c r="BR68" s="11">
        <v>0</v>
      </c>
      <c r="BS68" s="11">
        <v>0</v>
      </c>
      <c r="BT68" s="11">
        <v>0</v>
      </c>
      <c r="BU68" s="11">
        <v>0</v>
      </c>
      <c r="BV68" s="11">
        <v>0</v>
      </c>
      <c r="BW68" s="11">
        <v>0</v>
      </c>
      <c r="BX68" s="11">
        <v>0</v>
      </c>
      <c r="BY68" s="11">
        <v>0</v>
      </c>
      <c r="BZ68" s="11">
        <v>0</v>
      </c>
      <c r="CA68" s="11">
        <v>0</v>
      </c>
      <c r="CB68" s="11">
        <v>0</v>
      </c>
      <c r="CC68" s="11">
        <v>0</v>
      </c>
      <c r="CD68" s="11">
        <v>0</v>
      </c>
      <c r="CE68" s="11">
        <v>0</v>
      </c>
      <c r="CF68" s="11">
        <v>0</v>
      </c>
      <c r="CG68" s="11">
        <v>0</v>
      </c>
      <c r="CH68" s="11">
        <v>0</v>
      </c>
      <c r="CI68" s="11">
        <v>0</v>
      </c>
      <c r="CJ68" s="11">
        <v>0</v>
      </c>
      <c r="CK68" s="11">
        <v>0</v>
      </c>
      <c r="CL68" s="11">
        <v>0</v>
      </c>
      <c r="CM68" s="11">
        <v>0</v>
      </c>
      <c r="CN68" s="11">
        <v>0</v>
      </c>
      <c r="CO68" s="11">
        <v>0</v>
      </c>
      <c r="CP68" s="11">
        <v>0</v>
      </c>
      <c r="CQ68" s="11">
        <v>0</v>
      </c>
      <c r="CR68" s="11">
        <v>0</v>
      </c>
      <c r="CS68" t="str">
        <f>IFERROR(INDEX('Initiative Summary'!$C$5:$C$25,MATCH($A68,'Initiative Summary'!$A$5:$A$25,0)),"")</f>
        <v>Eastbridge Region</v>
      </c>
    </row>
    <row r="69" spans="1:97" ht="24" x14ac:dyDescent="0.25">
      <c r="A69" s="6" t="s">
        <v>668</v>
      </c>
      <c r="B69" s="7" t="s">
        <v>667</v>
      </c>
      <c r="C69" s="8" t="s">
        <v>205</v>
      </c>
      <c r="D69" s="8" t="s">
        <v>195</v>
      </c>
      <c r="E69" s="8" t="s">
        <v>206</v>
      </c>
      <c r="F69" s="8" t="s">
        <v>207</v>
      </c>
      <c r="G69" s="8"/>
      <c r="H69" s="8"/>
      <c r="I69" s="8"/>
      <c r="J69" s="8"/>
      <c r="K69" s="7"/>
      <c r="L69" s="8" t="s">
        <v>721</v>
      </c>
      <c r="M69" s="8" t="s">
        <v>199</v>
      </c>
      <c r="N69" s="21">
        <v>3</v>
      </c>
      <c r="O69" s="8" t="b">
        <v>0</v>
      </c>
      <c r="P69" s="8" t="s">
        <v>201</v>
      </c>
      <c r="Q69" s="8" t="s">
        <v>219</v>
      </c>
      <c r="R69" s="8" t="s">
        <v>219</v>
      </c>
      <c r="S69" s="8"/>
      <c r="T69" s="21">
        <v>11.286</v>
      </c>
      <c r="U69" s="21">
        <v>18.18</v>
      </c>
      <c r="V69" s="21">
        <v>18.18</v>
      </c>
      <c r="W69" s="21">
        <v>18.18</v>
      </c>
      <c r="X69" s="8">
        <v>0</v>
      </c>
      <c r="Y69" s="8">
        <v>0</v>
      </c>
      <c r="Z69" s="8">
        <v>0</v>
      </c>
      <c r="AA69" s="8">
        <v>0</v>
      </c>
      <c r="AB69" s="8">
        <v>0</v>
      </c>
      <c r="AC69" s="8">
        <v>0</v>
      </c>
      <c r="AD69" s="8">
        <v>0</v>
      </c>
      <c r="AE69" s="8">
        <v>0</v>
      </c>
      <c r="AF69" s="8">
        <v>0</v>
      </c>
      <c r="AG69" s="8">
        <v>0</v>
      </c>
      <c r="AH69" s="8">
        <v>0</v>
      </c>
      <c r="AI69" s="8">
        <v>0</v>
      </c>
      <c r="AJ69" s="21">
        <v>11.286</v>
      </c>
      <c r="AK69" s="21">
        <v>11.286</v>
      </c>
      <c r="AL69" s="21">
        <v>11.286</v>
      </c>
      <c r="AM69" s="21">
        <v>11.286</v>
      </c>
      <c r="AN69" s="21">
        <v>11.286</v>
      </c>
      <c r="AO69" s="21">
        <v>11.286</v>
      </c>
      <c r="AP69" s="21">
        <v>11.286</v>
      </c>
      <c r="AQ69" s="21">
        <v>11.286</v>
      </c>
      <c r="AR69" s="21">
        <v>11.286</v>
      </c>
      <c r="AS69" s="21">
        <v>11.286</v>
      </c>
      <c r="AT69" s="21">
        <v>11.286</v>
      </c>
      <c r="AU69" s="21">
        <v>11.286</v>
      </c>
      <c r="AV69" s="21">
        <v>18.18</v>
      </c>
      <c r="AW69" s="21">
        <v>18.18</v>
      </c>
      <c r="AX69" s="21">
        <v>18.18</v>
      </c>
      <c r="AY69" s="21">
        <v>18.18</v>
      </c>
      <c r="AZ69" s="21">
        <v>18.18</v>
      </c>
      <c r="BA69" s="21">
        <v>18.18</v>
      </c>
      <c r="BB69" s="21">
        <v>18.18</v>
      </c>
      <c r="BC69" s="21">
        <v>18.18</v>
      </c>
      <c r="BD69" s="21">
        <v>18.18</v>
      </c>
      <c r="BE69" s="21">
        <v>18.18</v>
      </c>
      <c r="BF69" s="21">
        <v>18.18</v>
      </c>
      <c r="BG69" s="21">
        <v>18.18</v>
      </c>
      <c r="BH69" s="21">
        <v>18.18</v>
      </c>
      <c r="BI69" s="21">
        <v>18.18</v>
      </c>
      <c r="BJ69" s="21">
        <v>18.18</v>
      </c>
      <c r="BK69" s="21">
        <v>18.18</v>
      </c>
      <c r="BL69" s="21">
        <v>18.18</v>
      </c>
      <c r="BM69" s="21">
        <v>18.18</v>
      </c>
      <c r="BN69" s="21">
        <v>18.18</v>
      </c>
      <c r="BO69" s="21">
        <v>18.18</v>
      </c>
      <c r="BP69" s="21">
        <v>18.18</v>
      </c>
      <c r="BQ69" s="21">
        <v>18.18</v>
      </c>
      <c r="BR69" s="21">
        <v>18.18</v>
      </c>
      <c r="BS69" s="21">
        <v>18.18</v>
      </c>
      <c r="BT69" s="21">
        <v>18.18</v>
      </c>
      <c r="BU69" s="21">
        <v>18.18</v>
      </c>
      <c r="BV69" s="21">
        <v>18.18</v>
      </c>
      <c r="BW69" s="21">
        <v>18.18</v>
      </c>
      <c r="BX69" s="21">
        <v>18.18</v>
      </c>
      <c r="BY69" s="21">
        <v>18.18</v>
      </c>
      <c r="BZ69" s="21">
        <v>18.18</v>
      </c>
      <c r="CA69" s="21">
        <v>18.18</v>
      </c>
      <c r="CB69" s="21">
        <v>18.18</v>
      </c>
      <c r="CC69" s="21">
        <v>18.18</v>
      </c>
      <c r="CD69" s="21">
        <v>18.18</v>
      </c>
      <c r="CE69" s="21">
        <v>18.18</v>
      </c>
      <c r="CF69" s="8">
        <v>18.18</v>
      </c>
      <c r="CG69" s="8">
        <v>18.18</v>
      </c>
      <c r="CH69" s="8">
        <v>18.18</v>
      </c>
      <c r="CI69" s="8">
        <v>18.18</v>
      </c>
      <c r="CJ69" s="8">
        <v>18.18</v>
      </c>
      <c r="CK69" s="8">
        <v>18.18</v>
      </c>
      <c r="CL69" s="8">
        <v>18.18</v>
      </c>
      <c r="CM69" s="8">
        <v>18.18</v>
      </c>
      <c r="CN69" s="8">
        <v>18.18</v>
      </c>
      <c r="CO69" s="8">
        <v>18.18</v>
      </c>
      <c r="CP69" s="8">
        <v>18.18</v>
      </c>
      <c r="CQ69" s="8">
        <v>18.18</v>
      </c>
      <c r="CR69" s="8">
        <v>18.18</v>
      </c>
      <c r="CS69" t="str">
        <f>IFERROR(INDEX('Initiative Summary'!$C$5:$C$25,MATCH($A69,'Initiative Summary'!$A$5:$A$25,0)),"")</f>
        <v>Eastbridge Region</v>
      </c>
    </row>
    <row r="70" spans="1:97" ht="24" x14ac:dyDescent="0.25">
      <c r="A70" s="6" t="s">
        <v>668</v>
      </c>
      <c r="B70" s="10" t="s">
        <v>667</v>
      </c>
      <c r="C70" s="11" t="s">
        <v>205</v>
      </c>
      <c r="D70" s="11" t="s">
        <v>203</v>
      </c>
      <c r="E70" s="11" t="s">
        <v>206</v>
      </c>
      <c r="F70" s="11" t="s">
        <v>207</v>
      </c>
      <c r="G70" s="11"/>
      <c r="H70" s="11"/>
      <c r="I70" s="11"/>
      <c r="J70" s="11"/>
      <c r="K70" s="10"/>
      <c r="L70" s="11" t="s">
        <v>721</v>
      </c>
      <c r="M70" s="11" t="s">
        <v>199</v>
      </c>
      <c r="N70" s="20">
        <v>3</v>
      </c>
      <c r="O70" s="11" t="b">
        <v>0</v>
      </c>
      <c r="P70" s="11" t="s">
        <v>201</v>
      </c>
      <c r="Q70" s="11" t="s">
        <v>219</v>
      </c>
      <c r="R70" s="11" t="s">
        <v>219</v>
      </c>
      <c r="S70" s="11"/>
      <c r="T70" s="20">
        <v>15.138</v>
      </c>
      <c r="U70" s="20">
        <v>24.228000000000002</v>
      </c>
      <c r="V70" s="20">
        <v>24.228000000000002</v>
      </c>
      <c r="W70" s="20">
        <v>24.228000000000002</v>
      </c>
      <c r="X70" s="11">
        <v>0</v>
      </c>
      <c r="Y70" s="11">
        <v>0</v>
      </c>
      <c r="Z70" s="11">
        <v>0</v>
      </c>
      <c r="AA70" s="11">
        <v>0</v>
      </c>
      <c r="AB70" s="11">
        <v>0</v>
      </c>
      <c r="AC70" s="11">
        <v>0</v>
      </c>
      <c r="AD70" s="11">
        <v>0</v>
      </c>
      <c r="AE70" s="11">
        <v>0</v>
      </c>
      <c r="AF70" s="11">
        <v>0</v>
      </c>
      <c r="AG70" s="11">
        <v>0</v>
      </c>
      <c r="AH70" s="11">
        <v>0</v>
      </c>
      <c r="AI70" s="11">
        <v>0</v>
      </c>
      <c r="AJ70" s="20">
        <v>15.138</v>
      </c>
      <c r="AK70" s="20">
        <v>15.138</v>
      </c>
      <c r="AL70" s="20">
        <v>15.138</v>
      </c>
      <c r="AM70" s="20">
        <v>15.138</v>
      </c>
      <c r="AN70" s="20">
        <v>15.138</v>
      </c>
      <c r="AO70" s="20">
        <v>15.138</v>
      </c>
      <c r="AP70" s="20">
        <v>15.138</v>
      </c>
      <c r="AQ70" s="20">
        <v>15.138</v>
      </c>
      <c r="AR70" s="20">
        <v>15.138</v>
      </c>
      <c r="AS70" s="20">
        <v>15.138</v>
      </c>
      <c r="AT70" s="20">
        <v>15.138</v>
      </c>
      <c r="AU70" s="20">
        <v>15.138</v>
      </c>
      <c r="AV70" s="20">
        <v>24.228000000000002</v>
      </c>
      <c r="AW70" s="20">
        <v>24.228000000000002</v>
      </c>
      <c r="AX70" s="20">
        <v>24.228000000000002</v>
      </c>
      <c r="AY70" s="20">
        <v>24.228000000000002</v>
      </c>
      <c r="AZ70" s="20">
        <v>24.228000000000002</v>
      </c>
      <c r="BA70" s="20">
        <v>24.228000000000002</v>
      </c>
      <c r="BB70" s="20">
        <v>24.228000000000002</v>
      </c>
      <c r="BC70" s="20">
        <v>24.228000000000002</v>
      </c>
      <c r="BD70" s="20">
        <v>24.228000000000002</v>
      </c>
      <c r="BE70" s="20">
        <v>24.228000000000002</v>
      </c>
      <c r="BF70" s="20">
        <v>24.228000000000002</v>
      </c>
      <c r="BG70" s="20">
        <v>24.228000000000002</v>
      </c>
      <c r="BH70" s="20">
        <v>24.228000000000002</v>
      </c>
      <c r="BI70" s="20">
        <v>24.228000000000002</v>
      </c>
      <c r="BJ70" s="20">
        <v>24.228000000000002</v>
      </c>
      <c r="BK70" s="20">
        <v>24.228000000000002</v>
      </c>
      <c r="BL70" s="20">
        <v>24.228000000000002</v>
      </c>
      <c r="BM70" s="20">
        <v>24.228000000000002</v>
      </c>
      <c r="BN70" s="20">
        <v>24.228000000000002</v>
      </c>
      <c r="BO70" s="20">
        <v>24.228000000000002</v>
      </c>
      <c r="BP70" s="20">
        <v>24.228000000000002</v>
      </c>
      <c r="BQ70" s="20">
        <v>24.228000000000002</v>
      </c>
      <c r="BR70" s="20">
        <v>24.228000000000002</v>
      </c>
      <c r="BS70" s="20">
        <v>24.228000000000002</v>
      </c>
      <c r="BT70" s="20">
        <v>24.228000000000002</v>
      </c>
      <c r="BU70" s="20">
        <v>24.228000000000002</v>
      </c>
      <c r="BV70" s="20">
        <v>24.228000000000002</v>
      </c>
      <c r="BW70" s="20">
        <v>24.228000000000002</v>
      </c>
      <c r="BX70" s="20">
        <v>24.228000000000002</v>
      </c>
      <c r="BY70" s="20">
        <v>24.228000000000002</v>
      </c>
      <c r="BZ70" s="20">
        <v>24.228000000000002</v>
      </c>
      <c r="CA70" s="20">
        <v>24.228000000000002</v>
      </c>
      <c r="CB70" s="20">
        <v>24.228000000000002</v>
      </c>
      <c r="CC70" s="20">
        <v>24.228000000000002</v>
      </c>
      <c r="CD70" s="20">
        <v>24.228000000000002</v>
      </c>
      <c r="CE70" s="20">
        <v>24.228000000000002</v>
      </c>
      <c r="CF70" s="11">
        <v>24.228000000000002</v>
      </c>
      <c r="CG70" s="11">
        <v>24.228000000000002</v>
      </c>
      <c r="CH70" s="11">
        <v>24.228000000000002</v>
      </c>
      <c r="CI70" s="11">
        <v>24.228000000000002</v>
      </c>
      <c r="CJ70" s="11">
        <v>24.228000000000002</v>
      </c>
      <c r="CK70" s="11">
        <v>24.228000000000002</v>
      </c>
      <c r="CL70" s="11">
        <v>24.228000000000002</v>
      </c>
      <c r="CM70" s="11">
        <v>24.228000000000002</v>
      </c>
      <c r="CN70" s="11">
        <v>24.228000000000002</v>
      </c>
      <c r="CO70" s="11">
        <v>24.228000000000002</v>
      </c>
      <c r="CP70" s="11">
        <v>24.228000000000002</v>
      </c>
      <c r="CQ70" s="11">
        <v>24.228000000000002</v>
      </c>
      <c r="CR70" s="11">
        <v>24.228000000000002</v>
      </c>
      <c r="CS70" t="str">
        <f>IFERROR(INDEX('Initiative Summary'!$C$5:$C$25,MATCH($A70,'Initiative Summary'!$A$5:$A$25,0)),"")</f>
        <v>Eastbridge Region</v>
      </c>
    </row>
    <row r="71" spans="1:97" ht="24" x14ac:dyDescent="0.25">
      <c r="A71" s="6" t="s">
        <v>668</v>
      </c>
      <c r="B71" s="7" t="s">
        <v>667</v>
      </c>
      <c r="C71" s="8" t="s">
        <v>205</v>
      </c>
      <c r="D71" s="8" t="s">
        <v>204</v>
      </c>
      <c r="E71" s="8" t="s">
        <v>206</v>
      </c>
      <c r="F71" s="8" t="s">
        <v>207</v>
      </c>
      <c r="G71" s="8"/>
      <c r="H71" s="8"/>
      <c r="I71" s="8"/>
      <c r="J71" s="8"/>
      <c r="K71" s="7"/>
      <c r="L71" s="8" t="s">
        <v>721</v>
      </c>
      <c r="M71" s="8" t="s">
        <v>199</v>
      </c>
      <c r="N71" s="21">
        <v>3</v>
      </c>
      <c r="O71" s="8" t="b">
        <v>0</v>
      </c>
      <c r="P71" s="8" t="s">
        <v>201</v>
      </c>
      <c r="Q71" s="8" t="s">
        <v>219</v>
      </c>
      <c r="R71" s="8" t="s">
        <v>219</v>
      </c>
      <c r="S71" s="8"/>
      <c r="T71" s="8"/>
      <c r="U71" s="8"/>
      <c r="V71" s="8"/>
      <c r="W71" s="8"/>
      <c r="X71" s="8">
        <v>0</v>
      </c>
      <c r="Y71" s="8">
        <v>0</v>
      </c>
      <c r="Z71" s="8">
        <v>0</v>
      </c>
      <c r="AA71" s="8">
        <v>0</v>
      </c>
      <c r="AB71" s="8">
        <v>0</v>
      </c>
      <c r="AC71" s="8">
        <v>0</v>
      </c>
      <c r="AD71" s="8">
        <v>0</v>
      </c>
      <c r="AE71" s="8">
        <v>0</v>
      </c>
      <c r="AF71" s="8">
        <v>0</v>
      </c>
      <c r="AG71" s="8">
        <v>0</v>
      </c>
      <c r="AH71" s="8">
        <v>0</v>
      </c>
      <c r="AI71" s="8">
        <v>0</v>
      </c>
      <c r="AJ71" s="8">
        <v>0</v>
      </c>
      <c r="AK71" s="8">
        <v>0</v>
      </c>
      <c r="AL71" s="8">
        <v>0</v>
      </c>
      <c r="AM71" s="8">
        <v>0</v>
      </c>
      <c r="AN71" s="8">
        <v>0</v>
      </c>
      <c r="AO71" s="8">
        <v>0</v>
      </c>
      <c r="AP71" s="8">
        <v>0</v>
      </c>
      <c r="AQ71" s="8">
        <v>0</v>
      </c>
      <c r="AR71" s="8">
        <v>0</v>
      </c>
      <c r="AS71" s="8">
        <v>0</v>
      </c>
      <c r="AT71" s="8">
        <v>0</v>
      </c>
      <c r="AU71" s="8">
        <v>0</v>
      </c>
      <c r="AV71" s="8">
        <v>0</v>
      </c>
      <c r="AW71" s="8">
        <v>0</v>
      </c>
      <c r="AX71" s="8">
        <v>0</v>
      </c>
      <c r="AY71" s="8">
        <v>0</v>
      </c>
      <c r="AZ71" s="8">
        <v>0</v>
      </c>
      <c r="BA71" s="8">
        <v>0</v>
      </c>
      <c r="BB71" s="8">
        <v>0</v>
      </c>
      <c r="BC71" s="8">
        <v>0</v>
      </c>
      <c r="BD71" s="8">
        <v>0</v>
      </c>
      <c r="BE71" s="8">
        <v>0</v>
      </c>
      <c r="BF71" s="8">
        <v>0</v>
      </c>
      <c r="BG71" s="8">
        <v>0</v>
      </c>
      <c r="BH71" s="8">
        <v>0</v>
      </c>
      <c r="BI71" s="8">
        <v>0</v>
      </c>
      <c r="BJ71" s="8">
        <v>0</v>
      </c>
      <c r="BK71" s="8">
        <v>0</v>
      </c>
      <c r="BL71" s="8">
        <v>0</v>
      </c>
      <c r="BM71" s="8">
        <v>0</v>
      </c>
      <c r="BN71" s="8">
        <v>0</v>
      </c>
      <c r="BO71" s="8">
        <v>0</v>
      </c>
      <c r="BP71" s="8">
        <v>0</v>
      </c>
      <c r="BQ71" s="8">
        <v>0</v>
      </c>
      <c r="BR71" s="8">
        <v>0</v>
      </c>
      <c r="BS71" s="8">
        <v>0</v>
      </c>
      <c r="BT71" s="8">
        <v>0</v>
      </c>
      <c r="BU71" s="8">
        <v>0</v>
      </c>
      <c r="BV71" s="8">
        <v>0</v>
      </c>
      <c r="BW71" s="8">
        <v>0</v>
      </c>
      <c r="BX71" s="8">
        <v>0</v>
      </c>
      <c r="BY71" s="8">
        <v>0</v>
      </c>
      <c r="BZ71" s="8">
        <v>0</v>
      </c>
      <c r="CA71" s="8">
        <v>0</v>
      </c>
      <c r="CB71" s="8">
        <v>0</v>
      </c>
      <c r="CC71" s="8">
        <v>0</v>
      </c>
      <c r="CD71" s="8">
        <v>0</v>
      </c>
      <c r="CE71" s="8">
        <v>0</v>
      </c>
      <c r="CF71" s="8">
        <v>0</v>
      </c>
      <c r="CG71" s="8">
        <v>0</v>
      </c>
      <c r="CH71" s="8">
        <v>0</v>
      </c>
      <c r="CI71" s="8">
        <v>0</v>
      </c>
      <c r="CJ71" s="8">
        <v>0</v>
      </c>
      <c r="CK71" s="8">
        <v>0</v>
      </c>
      <c r="CL71" s="8">
        <v>0</v>
      </c>
      <c r="CM71" s="8">
        <v>0</v>
      </c>
      <c r="CN71" s="8">
        <v>0</v>
      </c>
      <c r="CO71" s="8">
        <v>0</v>
      </c>
      <c r="CP71" s="8">
        <v>0</v>
      </c>
      <c r="CQ71" s="8">
        <v>0</v>
      </c>
      <c r="CR71" s="8">
        <v>0</v>
      </c>
      <c r="CS71" t="str">
        <f>IFERROR(INDEX('Initiative Summary'!$C$5:$C$25,MATCH($A71,'Initiative Summary'!$A$5:$A$25,0)),"")</f>
        <v>Eastbridge Region</v>
      </c>
    </row>
    <row r="72" spans="1:97" ht="24" x14ac:dyDescent="0.25">
      <c r="A72" s="6" t="s">
        <v>668</v>
      </c>
      <c r="B72" s="10" t="s">
        <v>667</v>
      </c>
      <c r="C72" s="11" t="s">
        <v>206</v>
      </c>
      <c r="D72" s="11" t="s">
        <v>195</v>
      </c>
      <c r="E72" s="11" t="s">
        <v>206</v>
      </c>
      <c r="F72" s="11" t="s">
        <v>197</v>
      </c>
      <c r="G72" s="11"/>
      <c r="H72" s="11"/>
      <c r="I72" s="11"/>
      <c r="J72" s="11"/>
      <c r="K72" s="10"/>
      <c r="L72" s="11" t="s">
        <v>722</v>
      </c>
      <c r="M72" s="11" t="s">
        <v>199</v>
      </c>
      <c r="N72" s="20">
        <v>100</v>
      </c>
      <c r="O72" s="11" t="b">
        <v>0</v>
      </c>
      <c r="P72" s="11" t="s">
        <v>201</v>
      </c>
      <c r="Q72" s="11" t="s">
        <v>210</v>
      </c>
      <c r="R72" s="11" t="s">
        <v>210</v>
      </c>
      <c r="S72" s="11">
        <v>1.1160000000000001</v>
      </c>
      <c r="T72" s="20">
        <v>1.6739999999999999</v>
      </c>
      <c r="U72" s="20">
        <v>1.6739999999999999</v>
      </c>
      <c r="V72" s="20">
        <v>1.6739999999999999</v>
      </c>
      <c r="W72" s="20">
        <v>1.6739999999999999</v>
      </c>
      <c r="X72" s="11">
        <v>0</v>
      </c>
      <c r="Y72" s="11">
        <v>0</v>
      </c>
      <c r="Z72" s="11">
        <v>0</v>
      </c>
      <c r="AA72" s="11">
        <v>0</v>
      </c>
      <c r="AB72" s="11">
        <v>0</v>
      </c>
      <c r="AC72" s="11">
        <v>0</v>
      </c>
      <c r="AD72" s="11">
        <v>0</v>
      </c>
      <c r="AE72" s="11">
        <v>0</v>
      </c>
      <c r="AF72" s="11">
        <v>0</v>
      </c>
      <c r="AG72" s="11">
        <v>0.37200000000000005</v>
      </c>
      <c r="AH72" s="11">
        <v>0.37200000000000005</v>
      </c>
      <c r="AI72" s="11">
        <v>0.37200000000000005</v>
      </c>
      <c r="AJ72" s="20">
        <v>0.13949999999999999</v>
      </c>
      <c r="AK72" s="20">
        <v>0.13949999999999999</v>
      </c>
      <c r="AL72" s="20">
        <v>0.13949999999999999</v>
      </c>
      <c r="AM72" s="20">
        <v>0.13949999999999999</v>
      </c>
      <c r="AN72" s="20">
        <v>0.13949999999999999</v>
      </c>
      <c r="AO72" s="20">
        <v>0.13949999999999999</v>
      </c>
      <c r="AP72" s="20">
        <v>0.13949999999999999</v>
      </c>
      <c r="AQ72" s="20">
        <v>0.13949999999999999</v>
      </c>
      <c r="AR72" s="20">
        <v>0.13949999999999999</v>
      </c>
      <c r="AS72" s="20">
        <v>0.13949999999999999</v>
      </c>
      <c r="AT72" s="20">
        <v>0.13949999999999999</v>
      </c>
      <c r="AU72" s="20">
        <v>0.13949999999999999</v>
      </c>
      <c r="AV72" s="20">
        <v>0.13949999999999999</v>
      </c>
      <c r="AW72" s="20">
        <v>0.13949999999999999</v>
      </c>
      <c r="AX72" s="20">
        <v>0.13949999999999999</v>
      </c>
      <c r="AY72" s="20">
        <v>0.13949999999999999</v>
      </c>
      <c r="AZ72" s="20">
        <v>0.13949999999999999</v>
      </c>
      <c r="BA72" s="20">
        <v>0.13949999999999999</v>
      </c>
      <c r="BB72" s="20">
        <v>0.13949999999999999</v>
      </c>
      <c r="BC72" s="20">
        <v>0.13949999999999999</v>
      </c>
      <c r="BD72" s="20">
        <v>0.13949999999999999</v>
      </c>
      <c r="BE72" s="20">
        <v>0.13949999999999999</v>
      </c>
      <c r="BF72" s="20">
        <v>0.13949999999999999</v>
      </c>
      <c r="BG72" s="20">
        <v>0.13949999999999999</v>
      </c>
      <c r="BH72" s="20">
        <v>0.13949999999999999</v>
      </c>
      <c r="BI72" s="20">
        <v>0.13949999999999999</v>
      </c>
      <c r="BJ72" s="20">
        <v>0.13949999999999999</v>
      </c>
      <c r="BK72" s="20">
        <v>0.13949999999999999</v>
      </c>
      <c r="BL72" s="20">
        <v>0.13949999999999999</v>
      </c>
      <c r="BM72" s="20">
        <v>0.13949999999999999</v>
      </c>
      <c r="BN72" s="20">
        <v>0.13949999999999999</v>
      </c>
      <c r="BO72" s="20">
        <v>0.13949999999999999</v>
      </c>
      <c r="BP72" s="20">
        <v>0.13949999999999999</v>
      </c>
      <c r="BQ72" s="20">
        <v>0.13949999999999999</v>
      </c>
      <c r="BR72" s="20">
        <v>0.13949999999999999</v>
      </c>
      <c r="BS72" s="20">
        <v>0.13949999999999999</v>
      </c>
      <c r="BT72" s="20">
        <v>0.13949999999999999</v>
      </c>
      <c r="BU72" s="20">
        <v>0.13949999999999999</v>
      </c>
      <c r="BV72" s="20">
        <v>0.13949999999999999</v>
      </c>
      <c r="BW72" s="20">
        <v>0.13949999999999999</v>
      </c>
      <c r="BX72" s="20">
        <v>0.13949999999999999</v>
      </c>
      <c r="BY72" s="20">
        <v>0.13949999999999999</v>
      </c>
      <c r="BZ72" s="20">
        <v>0.13949999999999999</v>
      </c>
      <c r="CA72" s="20">
        <v>0.13949999999999999</v>
      </c>
      <c r="CB72" s="20">
        <v>0.13949999999999999</v>
      </c>
      <c r="CC72" s="20">
        <v>0.13949999999999999</v>
      </c>
      <c r="CD72" s="20">
        <v>0.13949999999999999</v>
      </c>
      <c r="CE72" s="20">
        <v>0.13949999999999999</v>
      </c>
      <c r="CF72" s="11">
        <v>1.6739999999999999</v>
      </c>
      <c r="CG72" s="11">
        <v>0.13949999999999999</v>
      </c>
      <c r="CH72" s="11">
        <v>0.13949999999999999</v>
      </c>
      <c r="CI72" s="11">
        <v>0.13949999999999999</v>
      </c>
      <c r="CJ72" s="11">
        <v>0.13949999999999999</v>
      </c>
      <c r="CK72" s="11">
        <v>0.13949999999999999</v>
      </c>
      <c r="CL72" s="11">
        <v>0.13949999999999999</v>
      </c>
      <c r="CM72" s="11">
        <v>0.13949999999999999</v>
      </c>
      <c r="CN72" s="11">
        <v>0.13949999999999999</v>
      </c>
      <c r="CO72" s="11">
        <v>0.13949999999999999</v>
      </c>
      <c r="CP72" s="11">
        <v>0.13949999999999999</v>
      </c>
      <c r="CQ72" s="11">
        <v>0.13949999999999999</v>
      </c>
      <c r="CR72" s="11">
        <v>0.13949999999999999</v>
      </c>
      <c r="CS72" t="str">
        <f>IFERROR(INDEX('Initiative Summary'!$C$5:$C$25,MATCH($A72,'Initiative Summary'!$A$5:$A$25,0)),"")</f>
        <v>Eastbridge Region</v>
      </c>
    </row>
    <row r="73" spans="1:97" ht="24" x14ac:dyDescent="0.25">
      <c r="A73" s="6" t="s">
        <v>668</v>
      </c>
      <c r="B73" s="7" t="s">
        <v>667</v>
      </c>
      <c r="C73" s="8" t="s">
        <v>206</v>
      </c>
      <c r="D73" s="8" t="s">
        <v>203</v>
      </c>
      <c r="E73" s="8" t="s">
        <v>206</v>
      </c>
      <c r="F73" s="8" t="s">
        <v>197</v>
      </c>
      <c r="G73" s="8"/>
      <c r="H73" s="8"/>
      <c r="I73" s="8"/>
      <c r="J73" s="8"/>
      <c r="K73" s="7"/>
      <c r="L73" s="8" t="s">
        <v>722</v>
      </c>
      <c r="M73" s="8" t="s">
        <v>199</v>
      </c>
      <c r="N73" s="21">
        <v>100</v>
      </c>
      <c r="O73" s="8" t="b">
        <v>0</v>
      </c>
      <c r="P73" s="8" t="s">
        <v>201</v>
      </c>
      <c r="Q73" s="8" t="s">
        <v>210</v>
      </c>
      <c r="R73" s="8" t="s">
        <v>210</v>
      </c>
      <c r="S73" s="8">
        <v>1.494</v>
      </c>
      <c r="T73" s="21">
        <v>2.2320000000000002</v>
      </c>
      <c r="U73" s="21">
        <v>2.2320000000000002</v>
      </c>
      <c r="V73" s="21">
        <v>2.2320000000000002</v>
      </c>
      <c r="W73" s="21">
        <v>2.2320000000000002</v>
      </c>
      <c r="X73" s="8">
        <v>0</v>
      </c>
      <c r="Y73" s="8">
        <v>0</v>
      </c>
      <c r="Z73" s="8">
        <v>0</v>
      </c>
      <c r="AA73" s="8">
        <v>0</v>
      </c>
      <c r="AB73" s="8">
        <v>0</v>
      </c>
      <c r="AC73" s="8">
        <v>0</v>
      </c>
      <c r="AD73" s="8">
        <v>0</v>
      </c>
      <c r="AE73" s="8">
        <v>0</v>
      </c>
      <c r="AF73" s="8">
        <v>0</v>
      </c>
      <c r="AG73" s="8">
        <v>0.498</v>
      </c>
      <c r="AH73" s="8">
        <v>0.498</v>
      </c>
      <c r="AI73" s="8">
        <v>0.498</v>
      </c>
      <c r="AJ73" s="21">
        <v>0.18600000000000003</v>
      </c>
      <c r="AK73" s="21">
        <v>0.18600000000000003</v>
      </c>
      <c r="AL73" s="21">
        <v>0.18600000000000003</v>
      </c>
      <c r="AM73" s="21">
        <v>0.18600000000000003</v>
      </c>
      <c r="AN73" s="21">
        <v>0.18600000000000003</v>
      </c>
      <c r="AO73" s="21">
        <v>0.18600000000000003</v>
      </c>
      <c r="AP73" s="21">
        <v>0.18600000000000003</v>
      </c>
      <c r="AQ73" s="21">
        <v>0.18600000000000003</v>
      </c>
      <c r="AR73" s="21">
        <v>0.18600000000000003</v>
      </c>
      <c r="AS73" s="21">
        <v>0.18600000000000003</v>
      </c>
      <c r="AT73" s="21">
        <v>0.18600000000000003</v>
      </c>
      <c r="AU73" s="21">
        <v>0.18600000000000003</v>
      </c>
      <c r="AV73" s="21">
        <v>0.18600000000000003</v>
      </c>
      <c r="AW73" s="21">
        <v>0.18600000000000003</v>
      </c>
      <c r="AX73" s="21">
        <v>0.18600000000000003</v>
      </c>
      <c r="AY73" s="21">
        <v>0.18600000000000003</v>
      </c>
      <c r="AZ73" s="21">
        <v>0.18600000000000003</v>
      </c>
      <c r="BA73" s="21">
        <v>0.18600000000000003</v>
      </c>
      <c r="BB73" s="21">
        <v>0.18600000000000003</v>
      </c>
      <c r="BC73" s="21">
        <v>0.18600000000000003</v>
      </c>
      <c r="BD73" s="21">
        <v>0.18600000000000003</v>
      </c>
      <c r="BE73" s="21">
        <v>0.18600000000000003</v>
      </c>
      <c r="BF73" s="21">
        <v>0.18600000000000003</v>
      </c>
      <c r="BG73" s="21">
        <v>0.18600000000000003</v>
      </c>
      <c r="BH73" s="21">
        <v>0.18600000000000003</v>
      </c>
      <c r="BI73" s="21">
        <v>0.18600000000000003</v>
      </c>
      <c r="BJ73" s="21">
        <v>0.18600000000000003</v>
      </c>
      <c r="BK73" s="21">
        <v>0.18600000000000003</v>
      </c>
      <c r="BL73" s="21">
        <v>0.18600000000000003</v>
      </c>
      <c r="BM73" s="21">
        <v>0.18600000000000003</v>
      </c>
      <c r="BN73" s="21">
        <v>0.18600000000000003</v>
      </c>
      <c r="BO73" s="21">
        <v>0.18600000000000003</v>
      </c>
      <c r="BP73" s="21">
        <v>0.18600000000000003</v>
      </c>
      <c r="BQ73" s="21">
        <v>0.18600000000000003</v>
      </c>
      <c r="BR73" s="21">
        <v>0.18600000000000003</v>
      </c>
      <c r="BS73" s="21">
        <v>0.18600000000000003</v>
      </c>
      <c r="BT73" s="21">
        <v>0.18600000000000003</v>
      </c>
      <c r="BU73" s="21">
        <v>0.18600000000000003</v>
      </c>
      <c r="BV73" s="21">
        <v>0.18600000000000003</v>
      </c>
      <c r="BW73" s="21">
        <v>0.18600000000000003</v>
      </c>
      <c r="BX73" s="21">
        <v>0.18600000000000003</v>
      </c>
      <c r="BY73" s="21">
        <v>0.18600000000000003</v>
      </c>
      <c r="BZ73" s="21">
        <v>0.18600000000000003</v>
      </c>
      <c r="CA73" s="21">
        <v>0.18600000000000003</v>
      </c>
      <c r="CB73" s="21">
        <v>0.18600000000000003</v>
      </c>
      <c r="CC73" s="21">
        <v>0.18600000000000003</v>
      </c>
      <c r="CD73" s="21">
        <v>0.18600000000000003</v>
      </c>
      <c r="CE73" s="21">
        <v>0.18600000000000003</v>
      </c>
      <c r="CF73" s="8">
        <v>2.2320000000000002</v>
      </c>
      <c r="CG73" s="8">
        <v>0.18600000000000003</v>
      </c>
      <c r="CH73" s="8">
        <v>0.18600000000000003</v>
      </c>
      <c r="CI73" s="8">
        <v>0.18600000000000003</v>
      </c>
      <c r="CJ73" s="8">
        <v>0.18600000000000003</v>
      </c>
      <c r="CK73" s="8">
        <v>0.18600000000000003</v>
      </c>
      <c r="CL73" s="8">
        <v>0.18600000000000003</v>
      </c>
      <c r="CM73" s="8">
        <v>0.18600000000000003</v>
      </c>
      <c r="CN73" s="8">
        <v>0.18600000000000003</v>
      </c>
      <c r="CO73" s="8">
        <v>0.18600000000000003</v>
      </c>
      <c r="CP73" s="8">
        <v>0.18600000000000003</v>
      </c>
      <c r="CQ73" s="8">
        <v>0.18600000000000003</v>
      </c>
      <c r="CR73" s="8">
        <v>0.18600000000000003</v>
      </c>
      <c r="CS73" t="str">
        <f>IFERROR(INDEX('Initiative Summary'!$C$5:$C$25,MATCH($A73,'Initiative Summary'!$A$5:$A$25,0)),"")</f>
        <v>Eastbridge Region</v>
      </c>
    </row>
    <row r="74" spans="1:97" ht="24" x14ac:dyDescent="0.25">
      <c r="A74" s="6" t="s">
        <v>668</v>
      </c>
      <c r="B74" s="10" t="s">
        <v>667</v>
      </c>
      <c r="C74" s="11" t="s">
        <v>206</v>
      </c>
      <c r="D74" s="11" t="s">
        <v>204</v>
      </c>
      <c r="E74" s="11" t="s">
        <v>206</v>
      </c>
      <c r="F74" s="11" t="s">
        <v>197</v>
      </c>
      <c r="G74" s="11"/>
      <c r="H74" s="11"/>
      <c r="I74" s="11"/>
      <c r="J74" s="11"/>
      <c r="K74" s="10"/>
      <c r="L74" s="11" t="s">
        <v>722</v>
      </c>
      <c r="M74" s="11" t="s">
        <v>199</v>
      </c>
      <c r="N74" s="20">
        <v>100</v>
      </c>
      <c r="O74" s="11" t="b">
        <v>0</v>
      </c>
      <c r="P74" s="11" t="s">
        <v>201</v>
      </c>
      <c r="Q74" s="11" t="s">
        <v>210</v>
      </c>
      <c r="R74" s="11" t="s">
        <v>210</v>
      </c>
      <c r="S74" s="11"/>
      <c r="T74" s="11"/>
      <c r="U74" s="11"/>
      <c r="V74" s="11"/>
      <c r="W74" s="11"/>
      <c r="X74" s="11">
        <v>0</v>
      </c>
      <c r="Y74" s="11">
        <v>0</v>
      </c>
      <c r="Z74" s="11">
        <v>0</v>
      </c>
      <c r="AA74" s="11">
        <v>0</v>
      </c>
      <c r="AB74" s="11">
        <v>0</v>
      </c>
      <c r="AC74" s="11">
        <v>0</v>
      </c>
      <c r="AD74" s="11">
        <v>0</v>
      </c>
      <c r="AE74" s="11">
        <v>0</v>
      </c>
      <c r="AF74" s="11">
        <v>0</v>
      </c>
      <c r="AG74" s="11">
        <v>0</v>
      </c>
      <c r="AH74" s="11">
        <v>0</v>
      </c>
      <c r="AI74" s="11">
        <v>0</v>
      </c>
      <c r="AJ74" s="11">
        <v>0</v>
      </c>
      <c r="AK74" s="11">
        <v>0</v>
      </c>
      <c r="AL74" s="11">
        <v>0</v>
      </c>
      <c r="AM74" s="11">
        <v>0</v>
      </c>
      <c r="AN74" s="11">
        <v>0</v>
      </c>
      <c r="AO74" s="11">
        <v>0</v>
      </c>
      <c r="AP74" s="11">
        <v>0</v>
      </c>
      <c r="AQ74" s="11">
        <v>0</v>
      </c>
      <c r="AR74" s="11">
        <v>0</v>
      </c>
      <c r="AS74" s="11">
        <v>0</v>
      </c>
      <c r="AT74" s="11">
        <v>0</v>
      </c>
      <c r="AU74" s="11">
        <v>0</v>
      </c>
      <c r="AV74" s="11">
        <v>0</v>
      </c>
      <c r="AW74" s="11">
        <v>0</v>
      </c>
      <c r="AX74" s="11">
        <v>0</v>
      </c>
      <c r="AY74" s="11">
        <v>0</v>
      </c>
      <c r="AZ74" s="11">
        <v>0</v>
      </c>
      <c r="BA74" s="11">
        <v>0</v>
      </c>
      <c r="BB74" s="11">
        <v>0</v>
      </c>
      <c r="BC74" s="11">
        <v>0</v>
      </c>
      <c r="BD74" s="11">
        <v>0</v>
      </c>
      <c r="BE74" s="11">
        <v>0</v>
      </c>
      <c r="BF74" s="11">
        <v>0</v>
      </c>
      <c r="BG74" s="11">
        <v>0</v>
      </c>
      <c r="BH74" s="11">
        <v>0</v>
      </c>
      <c r="BI74" s="11">
        <v>0</v>
      </c>
      <c r="BJ74" s="11">
        <v>0</v>
      </c>
      <c r="BK74" s="11">
        <v>0</v>
      </c>
      <c r="BL74" s="11">
        <v>0</v>
      </c>
      <c r="BM74" s="11">
        <v>0</v>
      </c>
      <c r="BN74" s="11">
        <v>0</v>
      </c>
      <c r="BO74" s="11">
        <v>0</v>
      </c>
      <c r="BP74" s="11">
        <v>0</v>
      </c>
      <c r="BQ74" s="11">
        <v>0</v>
      </c>
      <c r="BR74" s="11">
        <v>0</v>
      </c>
      <c r="BS74" s="11">
        <v>0</v>
      </c>
      <c r="BT74" s="11">
        <v>0</v>
      </c>
      <c r="BU74" s="11">
        <v>0</v>
      </c>
      <c r="BV74" s="11">
        <v>0</v>
      </c>
      <c r="BW74" s="11">
        <v>0</v>
      </c>
      <c r="BX74" s="11">
        <v>0</v>
      </c>
      <c r="BY74" s="11">
        <v>0</v>
      </c>
      <c r="BZ74" s="11">
        <v>0</v>
      </c>
      <c r="CA74" s="11">
        <v>0</v>
      </c>
      <c r="CB74" s="11">
        <v>0</v>
      </c>
      <c r="CC74" s="11">
        <v>0</v>
      </c>
      <c r="CD74" s="11">
        <v>0</v>
      </c>
      <c r="CE74" s="11">
        <v>0</v>
      </c>
      <c r="CF74" s="11">
        <v>0</v>
      </c>
      <c r="CG74" s="11">
        <v>0</v>
      </c>
      <c r="CH74" s="11">
        <v>0</v>
      </c>
      <c r="CI74" s="11">
        <v>0</v>
      </c>
      <c r="CJ74" s="11">
        <v>0</v>
      </c>
      <c r="CK74" s="11">
        <v>0</v>
      </c>
      <c r="CL74" s="11">
        <v>0</v>
      </c>
      <c r="CM74" s="11">
        <v>0</v>
      </c>
      <c r="CN74" s="11">
        <v>0</v>
      </c>
      <c r="CO74" s="11">
        <v>0</v>
      </c>
      <c r="CP74" s="11">
        <v>0</v>
      </c>
      <c r="CQ74" s="11">
        <v>0</v>
      </c>
      <c r="CR74" s="11">
        <v>0</v>
      </c>
      <c r="CS74" t="str">
        <f>IFERROR(INDEX('Initiative Summary'!$C$5:$C$25,MATCH($A74,'Initiative Summary'!$A$5:$A$25,0)),"")</f>
        <v>Eastbridge Region</v>
      </c>
    </row>
    <row r="75" spans="1:97" ht="24" x14ac:dyDescent="0.25">
      <c r="A75" s="6" t="s">
        <v>671</v>
      </c>
      <c r="B75" s="10" t="s">
        <v>670</v>
      </c>
      <c r="C75" s="11" t="s">
        <v>194</v>
      </c>
      <c r="D75" s="11" t="s">
        <v>195</v>
      </c>
      <c r="E75" s="11" t="s">
        <v>196</v>
      </c>
      <c r="F75" s="11" t="s">
        <v>197</v>
      </c>
      <c r="G75" s="11"/>
      <c r="H75" s="11"/>
      <c r="I75" s="11"/>
      <c r="J75" s="11"/>
      <c r="K75" s="10"/>
      <c r="L75" s="11" t="s">
        <v>723</v>
      </c>
      <c r="M75" s="11" t="s">
        <v>199</v>
      </c>
      <c r="N75" s="20">
        <v>0</v>
      </c>
      <c r="O75" s="11" t="b">
        <v>0</v>
      </c>
      <c r="P75" s="11" t="s">
        <v>201</v>
      </c>
      <c r="Q75" s="11" t="s">
        <v>227</v>
      </c>
      <c r="R75" s="11" t="s">
        <v>227</v>
      </c>
      <c r="S75" s="11">
        <v>0</v>
      </c>
      <c r="T75" s="20">
        <v>0.94299999999999995</v>
      </c>
      <c r="U75" s="20">
        <v>2.8290000000000002</v>
      </c>
      <c r="V75" s="20">
        <v>2.8290000000000002</v>
      </c>
      <c r="W75" s="20">
        <v>2.8290000000000002</v>
      </c>
      <c r="X75" s="11">
        <v>0</v>
      </c>
      <c r="Y75" s="11">
        <v>0</v>
      </c>
      <c r="Z75" s="11">
        <v>0</v>
      </c>
      <c r="AA75" s="11">
        <v>0</v>
      </c>
      <c r="AB75" s="11">
        <v>0</v>
      </c>
      <c r="AC75" s="11">
        <v>0</v>
      </c>
      <c r="AD75" s="11">
        <v>0</v>
      </c>
      <c r="AE75" s="11">
        <v>0</v>
      </c>
      <c r="AF75" s="11">
        <v>0</v>
      </c>
      <c r="AG75" s="11">
        <v>0</v>
      </c>
      <c r="AH75" s="11">
        <v>0</v>
      </c>
      <c r="AI75" s="11">
        <v>0</v>
      </c>
      <c r="AJ75" s="20">
        <v>0</v>
      </c>
      <c r="AK75" s="20">
        <v>0</v>
      </c>
      <c r="AL75" s="20">
        <v>0</v>
      </c>
      <c r="AM75" s="20">
        <v>0</v>
      </c>
      <c r="AN75" s="20">
        <v>0</v>
      </c>
      <c r="AO75" s="20">
        <v>0</v>
      </c>
      <c r="AP75" s="20">
        <v>0.15716666666666665</v>
      </c>
      <c r="AQ75" s="20">
        <v>0.15716666666666665</v>
      </c>
      <c r="AR75" s="20">
        <v>0.15716666666666665</v>
      </c>
      <c r="AS75" s="20">
        <v>0.15716666666666665</v>
      </c>
      <c r="AT75" s="20">
        <v>0.15716666666666665</v>
      </c>
      <c r="AU75" s="20">
        <v>0.15716666666666665</v>
      </c>
      <c r="AV75" s="20">
        <v>0.23575000000000002</v>
      </c>
      <c r="AW75" s="20">
        <v>0.23575000000000002</v>
      </c>
      <c r="AX75" s="20">
        <v>0.23575000000000002</v>
      </c>
      <c r="AY75" s="20">
        <v>0.23575000000000002</v>
      </c>
      <c r="AZ75" s="20">
        <v>0.23575000000000002</v>
      </c>
      <c r="BA75" s="20">
        <v>0.23575000000000002</v>
      </c>
      <c r="BB75" s="20">
        <v>0.23575000000000002</v>
      </c>
      <c r="BC75" s="20">
        <v>0.23575000000000002</v>
      </c>
      <c r="BD75" s="20">
        <v>0.23575000000000002</v>
      </c>
      <c r="BE75" s="20">
        <v>0.23575000000000002</v>
      </c>
      <c r="BF75" s="20">
        <v>0.23575000000000002</v>
      </c>
      <c r="BG75" s="20">
        <v>0.23575000000000002</v>
      </c>
      <c r="BH75" s="20">
        <v>0.23575000000000002</v>
      </c>
      <c r="BI75" s="20">
        <v>0.23575000000000002</v>
      </c>
      <c r="BJ75" s="20">
        <v>0.23575000000000002</v>
      </c>
      <c r="BK75" s="20">
        <v>0.23575000000000002</v>
      </c>
      <c r="BL75" s="20">
        <v>0.23575000000000002</v>
      </c>
      <c r="BM75" s="20">
        <v>0.23575000000000002</v>
      </c>
      <c r="BN75" s="20">
        <v>0.23575000000000002</v>
      </c>
      <c r="BO75" s="20">
        <v>0.23575000000000002</v>
      </c>
      <c r="BP75" s="20">
        <v>0.23575000000000002</v>
      </c>
      <c r="BQ75" s="20">
        <v>0.23575000000000002</v>
      </c>
      <c r="BR75" s="20">
        <v>0.23575000000000002</v>
      </c>
      <c r="BS75" s="20">
        <v>0.23575000000000002</v>
      </c>
      <c r="BT75" s="20">
        <v>0.23575000000000002</v>
      </c>
      <c r="BU75" s="20">
        <v>0.23575000000000002</v>
      </c>
      <c r="BV75" s="20">
        <v>0.23575000000000002</v>
      </c>
      <c r="BW75" s="20">
        <v>0.23575000000000002</v>
      </c>
      <c r="BX75" s="20">
        <v>0.23575000000000002</v>
      </c>
      <c r="BY75" s="20">
        <v>0.23575000000000002</v>
      </c>
      <c r="BZ75" s="20">
        <v>0.23575000000000002</v>
      </c>
      <c r="CA75" s="20">
        <v>0.23575000000000002</v>
      </c>
      <c r="CB75" s="20">
        <v>0.23575000000000002</v>
      </c>
      <c r="CC75" s="20">
        <v>0.23575000000000002</v>
      </c>
      <c r="CD75" s="20">
        <v>0.23575000000000002</v>
      </c>
      <c r="CE75" s="20">
        <v>0.23575000000000002</v>
      </c>
      <c r="CF75" s="11">
        <v>2.8290000000000002</v>
      </c>
      <c r="CG75" s="11">
        <v>0.23575000000000002</v>
      </c>
      <c r="CH75" s="11">
        <v>0.23575000000000002</v>
      </c>
      <c r="CI75" s="11">
        <v>0.23575000000000002</v>
      </c>
      <c r="CJ75" s="11">
        <v>0.23575000000000002</v>
      </c>
      <c r="CK75" s="11">
        <v>0.23575000000000002</v>
      </c>
      <c r="CL75" s="11">
        <v>0.23575000000000002</v>
      </c>
      <c r="CM75" s="11">
        <v>0.23575000000000002</v>
      </c>
      <c r="CN75" s="11">
        <v>0.23575000000000002</v>
      </c>
      <c r="CO75" s="11">
        <v>0.23575000000000002</v>
      </c>
      <c r="CP75" s="11">
        <v>0.23575000000000002</v>
      </c>
      <c r="CQ75" s="11">
        <v>0.23575000000000002</v>
      </c>
      <c r="CR75" s="11">
        <v>0.23575000000000002</v>
      </c>
      <c r="CS75" t="str">
        <f>IFERROR(INDEX('Initiative Summary'!$C$5:$C$25,MATCH($A75,'Initiative Summary'!$A$5:$A$25,0)),"")</f>
        <v>Eastbridge Region</v>
      </c>
    </row>
    <row r="76" spans="1:97" ht="24" x14ac:dyDescent="0.25">
      <c r="A76" s="6" t="s">
        <v>671</v>
      </c>
      <c r="B76" s="7" t="s">
        <v>670</v>
      </c>
      <c r="C76" s="8" t="s">
        <v>194</v>
      </c>
      <c r="D76" s="8" t="s">
        <v>203</v>
      </c>
      <c r="E76" s="8" t="s">
        <v>196</v>
      </c>
      <c r="F76" s="8" t="s">
        <v>197</v>
      </c>
      <c r="G76" s="8"/>
      <c r="H76" s="8"/>
      <c r="I76" s="8"/>
      <c r="J76" s="8"/>
      <c r="K76" s="7"/>
      <c r="L76" s="8" t="s">
        <v>723</v>
      </c>
      <c r="M76" s="8" t="s">
        <v>199</v>
      </c>
      <c r="N76" s="21">
        <v>0</v>
      </c>
      <c r="O76" s="8" t="b">
        <v>0</v>
      </c>
      <c r="P76" s="8" t="s">
        <v>201</v>
      </c>
      <c r="Q76" s="8" t="s">
        <v>227</v>
      </c>
      <c r="R76" s="8" t="s">
        <v>227</v>
      </c>
      <c r="S76" s="8">
        <v>0</v>
      </c>
      <c r="T76" s="21">
        <v>1.173</v>
      </c>
      <c r="U76" s="21">
        <v>3.5419999999999998</v>
      </c>
      <c r="V76" s="21">
        <v>3.5419999999999998</v>
      </c>
      <c r="W76" s="21">
        <v>3.5419999999999998</v>
      </c>
      <c r="X76" s="8">
        <v>0</v>
      </c>
      <c r="Y76" s="8">
        <v>0</v>
      </c>
      <c r="Z76" s="8">
        <v>0</v>
      </c>
      <c r="AA76" s="8">
        <v>0</v>
      </c>
      <c r="AB76" s="8">
        <v>0</v>
      </c>
      <c r="AC76" s="8">
        <v>0</v>
      </c>
      <c r="AD76" s="8">
        <v>0</v>
      </c>
      <c r="AE76" s="8">
        <v>0</v>
      </c>
      <c r="AF76" s="8">
        <v>0</v>
      </c>
      <c r="AG76" s="8">
        <v>0</v>
      </c>
      <c r="AH76" s="8">
        <v>0</v>
      </c>
      <c r="AI76" s="8">
        <v>0</v>
      </c>
      <c r="AJ76" s="21">
        <v>0</v>
      </c>
      <c r="AK76" s="21">
        <v>0</v>
      </c>
      <c r="AL76" s="21">
        <v>0</v>
      </c>
      <c r="AM76" s="21">
        <v>0</v>
      </c>
      <c r="AN76" s="21">
        <v>0</v>
      </c>
      <c r="AO76" s="21">
        <v>0</v>
      </c>
      <c r="AP76" s="21">
        <v>0.19550000000000001</v>
      </c>
      <c r="AQ76" s="21">
        <v>0.19550000000000001</v>
      </c>
      <c r="AR76" s="21">
        <v>0.19550000000000001</v>
      </c>
      <c r="AS76" s="21">
        <v>0.19550000000000001</v>
      </c>
      <c r="AT76" s="21">
        <v>0.19550000000000001</v>
      </c>
      <c r="AU76" s="21">
        <v>0.19550000000000001</v>
      </c>
      <c r="AV76" s="21">
        <v>0.29516666666666663</v>
      </c>
      <c r="AW76" s="21">
        <v>0.29516666666666663</v>
      </c>
      <c r="AX76" s="21">
        <v>0.29516666666666663</v>
      </c>
      <c r="AY76" s="21">
        <v>0.29516666666666663</v>
      </c>
      <c r="AZ76" s="21">
        <v>0.29516666666666663</v>
      </c>
      <c r="BA76" s="21">
        <v>0.29516666666666663</v>
      </c>
      <c r="BB76" s="21">
        <v>0.29516666666666663</v>
      </c>
      <c r="BC76" s="21">
        <v>0.29516666666666663</v>
      </c>
      <c r="BD76" s="21">
        <v>0.29516666666666663</v>
      </c>
      <c r="BE76" s="21">
        <v>0.29516666666666663</v>
      </c>
      <c r="BF76" s="21">
        <v>0.29516666666666663</v>
      </c>
      <c r="BG76" s="21">
        <v>0.29516666666666663</v>
      </c>
      <c r="BH76" s="21">
        <v>0.29516666666666663</v>
      </c>
      <c r="BI76" s="21">
        <v>0.29516666666666663</v>
      </c>
      <c r="BJ76" s="21">
        <v>0.29516666666666663</v>
      </c>
      <c r="BK76" s="21">
        <v>0.29516666666666663</v>
      </c>
      <c r="BL76" s="21">
        <v>0.29516666666666663</v>
      </c>
      <c r="BM76" s="21">
        <v>0.29516666666666663</v>
      </c>
      <c r="BN76" s="21">
        <v>0.29516666666666663</v>
      </c>
      <c r="BO76" s="21">
        <v>0.29516666666666663</v>
      </c>
      <c r="BP76" s="21">
        <v>0.29516666666666663</v>
      </c>
      <c r="BQ76" s="21">
        <v>0.29516666666666663</v>
      </c>
      <c r="BR76" s="21">
        <v>0.29516666666666663</v>
      </c>
      <c r="BS76" s="21">
        <v>0.29516666666666663</v>
      </c>
      <c r="BT76" s="21">
        <v>0.29516666666666663</v>
      </c>
      <c r="BU76" s="21">
        <v>0.29516666666666663</v>
      </c>
      <c r="BV76" s="21">
        <v>0.29516666666666663</v>
      </c>
      <c r="BW76" s="21">
        <v>0.29516666666666663</v>
      </c>
      <c r="BX76" s="21">
        <v>0.29516666666666663</v>
      </c>
      <c r="BY76" s="21">
        <v>0.29516666666666663</v>
      </c>
      <c r="BZ76" s="21">
        <v>0.29516666666666663</v>
      </c>
      <c r="CA76" s="21">
        <v>0.29516666666666663</v>
      </c>
      <c r="CB76" s="21">
        <v>0.29516666666666663</v>
      </c>
      <c r="CC76" s="21">
        <v>0.29516666666666663</v>
      </c>
      <c r="CD76" s="21">
        <v>0.29516666666666663</v>
      </c>
      <c r="CE76" s="21">
        <v>0.29516666666666663</v>
      </c>
      <c r="CF76" s="8">
        <v>3.5419999999999998</v>
      </c>
      <c r="CG76" s="8">
        <v>0.29516666666666663</v>
      </c>
      <c r="CH76" s="8">
        <v>0.29516666666666663</v>
      </c>
      <c r="CI76" s="8">
        <v>0.29516666666666663</v>
      </c>
      <c r="CJ76" s="8">
        <v>0.29516666666666663</v>
      </c>
      <c r="CK76" s="8">
        <v>0.29516666666666663</v>
      </c>
      <c r="CL76" s="8">
        <v>0.29516666666666663</v>
      </c>
      <c r="CM76" s="8">
        <v>0.29516666666666663</v>
      </c>
      <c r="CN76" s="8">
        <v>0.29516666666666663</v>
      </c>
      <c r="CO76" s="8">
        <v>0.29516666666666663</v>
      </c>
      <c r="CP76" s="8">
        <v>0.29516666666666663</v>
      </c>
      <c r="CQ76" s="8">
        <v>0.29516666666666663</v>
      </c>
      <c r="CR76" s="8">
        <v>0.29516666666666663</v>
      </c>
      <c r="CS76" t="str">
        <f>IFERROR(INDEX('Initiative Summary'!$C$5:$C$25,MATCH($A76,'Initiative Summary'!$A$5:$A$25,0)),"")</f>
        <v>Eastbridge Region</v>
      </c>
    </row>
    <row r="77" spans="1:97" ht="24" x14ac:dyDescent="0.25">
      <c r="A77" s="6" t="s">
        <v>671</v>
      </c>
      <c r="B77" s="10" t="s">
        <v>670</v>
      </c>
      <c r="C77" s="11" t="s">
        <v>194</v>
      </c>
      <c r="D77" s="11" t="s">
        <v>204</v>
      </c>
      <c r="E77" s="11" t="s">
        <v>196</v>
      </c>
      <c r="F77" s="11" t="s">
        <v>197</v>
      </c>
      <c r="G77" s="11"/>
      <c r="H77" s="11"/>
      <c r="I77" s="11"/>
      <c r="J77" s="11"/>
      <c r="K77" s="10"/>
      <c r="L77" s="11" t="s">
        <v>723</v>
      </c>
      <c r="M77" s="11" t="s">
        <v>199</v>
      </c>
      <c r="N77" s="20">
        <v>0</v>
      </c>
      <c r="O77" s="11" t="b">
        <v>0</v>
      </c>
      <c r="P77" s="11" t="s">
        <v>201</v>
      </c>
      <c r="Q77" s="11" t="s">
        <v>227</v>
      </c>
      <c r="R77" s="11" t="s">
        <v>227</v>
      </c>
      <c r="S77" s="11"/>
      <c r="T77" s="11"/>
      <c r="U77" s="11"/>
      <c r="V77" s="11"/>
      <c r="W77" s="11"/>
      <c r="X77" s="11">
        <v>0</v>
      </c>
      <c r="Y77" s="11">
        <v>0</v>
      </c>
      <c r="Z77" s="11">
        <v>0</v>
      </c>
      <c r="AA77" s="11">
        <v>0</v>
      </c>
      <c r="AB77" s="11">
        <v>0</v>
      </c>
      <c r="AC77" s="11">
        <v>0</v>
      </c>
      <c r="AD77" s="11">
        <v>0</v>
      </c>
      <c r="AE77" s="11">
        <v>0</v>
      </c>
      <c r="AF77" s="11">
        <v>0</v>
      </c>
      <c r="AG77" s="11">
        <v>0</v>
      </c>
      <c r="AH77" s="11">
        <v>0</v>
      </c>
      <c r="AI77" s="11">
        <v>0</v>
      </c>
      <c r="AJ77" s="11">
        <v>0</v>
      </c>
      <c r="AK77" s="11">
        <v>0</v>
      </c>
      <c r="AL77" s="11">
        <v>0</v>
      </c>
      <c r="AM77" s="11">
        <v>0</v>
      </c>
      <c r="AN77" s="11">
        <v>0</v>
      </c>
      <c r="AO77" s="11">
        <v>0</v>
      </c>
      <c r="AP77" s="11">
        <v>0</v>
      </c>
      <c r="AQ77" s="11">
        <v>0</v>
      </c>
      <c r="AR77" s="11">
        <v>0</v>
      </c>
      <c r="AS77" s="11">
        <v>0</v>
      </c>
      <c r="AT77" s="11">
        <v>0</v>
      </c>
      <c r="AU77" s="11">
        <v>0</v>
      </c>
      <c r="AV77" s="11">
        <v>0</v>
      </c>
      <c r="AW77" s="11">
        <v>0</v>
      </c>
      <c r="AX77" s="11">
        <v>0</v>
      </c>
      <c r="AY77" s="11">
        <v>0</v>
      </c>
      <c r="AZ77" s="11">
        <v>0</v>
      </c>
      <c r="BA77" s="11">
        <v>0</v>
      </c>
      <c r="BB77" s="11">
        <v>0</v>
      </c>
      <c r="BC77" s="11">
        <v>0</v>
      </c>
      <c r="BD77" s="11">
        <v>0</v>
      </c>
      <c r="BE77" s="11">
        <v>0</v>
      </c>
      <c r="BF77" s="11">
        <v>0</v>
      </c>
      <c r="BG77" s="11">
        <v>0</v>
      </c>
      <c r="BH77" s="11">
        <v>0</v>
      </c>
      <c r="BI77" s="11">
        <v>0</v>
      </c>
      <c r="BJ77" s="11">
        <v>0</v>
      </c>
      <c r="BK77" s="11">
        <v>0</v>
      </c>
      <c r="BL77" s="11">
        <v>0</v>
      </c>
      <c r="BM77" s="11">
        <v>0</v>
      </c>
      <c r="BN77" s="11">
        <v>0</v>
      </c>
      <c r="BO77" s="11">
        <v>0</v>
      </c>
      <c r="BP77" s="11">
        <v>0</v>
      </c>
      <c r="BQ77" s="11">
        <v>0</v>
      </c>
      <c r="BR77" s="11">
        <v>0</v>
      </c>
      <c r="BS77" s="11">
        <v>0</v>
      </c>
      <c r="BT77" s="11">
        <v>0</v>
      </c>
      <c r="BU77" s="11">
        <v>0</v>
      </c>
      <c r="BV77" s="11">
        <v>0</v>
      </c>
      <c r="BW77" s="11">
        <v>0</v>
      </c>
      <c r="BX77" s="11">
        <v>0</v>
      </c>
      <c r="BY77" s="11">
        <v>0</v>
      </c>
      <c r="BZ77" s="11">
        <v>0</v>
      </c>
      <c r="CA77" s="11">
        <v>0</v>
      </c>
      <c r="CB77" s="11">
        <v>0</v>
      </c>
      <c r="CC77" s="11">
        <v>0</v>
      </c>
      <c r="CD77" s="11">
        <v>0</v>
      </c>
      <c r="CE77" s="11">
        <v>0</v>
      </c>
      <c r="CF77" s="11">
        <v>0</v>
      </c>
      <c r="CG77" s="11">
        <v>0</v>
      </c>
      <c r="CH77" s="11">
        <v>0</v>
      </c>
      <c r="CI77" s="11">
        <v>0</v>
      </c>
      <c r="CJ77" s="11">
        <v>0</v>
      </c>
      <c r="CK77" s="11">
        <v>0</v>
      </c>
      <c r="CL77" s="11">
        <v>0</v>
      </c>
      <c r="CM77" s="11">
        <v>0</v>
      </c>
      <c r="CN77" s="11">
        <v>0</v>
      </c>
      <c r="CO77" s="11">
        <v>0</v>
      </c>
      <c r="CP77" s="11">
        <v>0</v>
      </c>
      <c r="CQ77" s="11">
        <v>0</v>
      </c>
      <c r="CR77" s="11">
        <v>0</v>
      </c>
      <c r="CS77" t="str">
        <f>IFERROR(INDEX('Initiative Summary'!$C$5:$C$25,MATCH($A77,'Initiative Summary'!$A$5:$A$25,0)),"")</f>
        <v>Eastbridge Region</v>
      </c>
    </row>
    <row r="78" spans="1:97" ht="24" x14ac:dyDescent="0.25">
      <c r="A78" s="6" t="s">
        <v>671</v>
      </c>
      <c r="B78" s="7" t="s">
        <v>670</v>
      </c>
      <c r="C78" s="8" t="s">
        <v>205</v>
      </c>
      <c r="D78" s="8" t="s">
        <v>195</v>
      </c>
      <c r="E78" s="8" t="s">
        <v>206</v>
      </c>
      <c r="F78" s="8" t="s">
        <v>207</v>
      </c>
      <c r="G78" s="8"/>
      <c r="H78" s="8" t="s">
        <v>215</v>
      </c>
      <c r="I78" s="8" t="s">
        <v>216</v>
      </c>
      <c r="J78" s="8"/>
      <c r="K78" s="7"/>
      <c r="L78" s="8" t="s">
        <v>724</v>
      </c>
      <c r="M78" s="8" t="s">
        <v>199</v>
      </c>
      <c r="N78" s="21">
        <v>3</v>
      </c>
      <c r="O78" s="8" t="b">
        <v>0</v>
      </c>
      <c r="P78" s="8" t="s">
        <v>218</v>
      </c>
      <c r="Q78" s="8" t="s">
        <v>227</v>
      </c>
      <c r="R78" s="8" t="s">
        <v>227</v>
      </c>
      <c r="S78" s="8"/>
      <c r="T78" s="8"/>
      <c r="U78" s="8"/>
      <c r="V78" s="8"/>
      <c r="W78" s="8"/>
      <c r="X78" s="8">
        <v>0</v>
      </c>
      <c r="Y78" s="8">
        <v>0</v>
      </c>
      <c r="Z78" s="8">
        <v>0</v>
      </c>
      <c r="AA78" s="8">
        <v>0</v>
      </c>
      <c r="AB78" s="8">
        <v>0</v>
      </c>
      <c r="AC78" s="8">
        <v>0</v>
      </c>
      <c r="AD78" s="8">
        <v>0</v>
      </c>
      <c r="AE78" s="8">
        <v>0</v>
      </c>
      <c r="AF78" s="8">
        <v>0</v>
      </c>
      <c r="AG78" s="8">
        <v>0</v>
      </c>
      <c r="AH78" s="8">
        <v>0</v>
      </c>
      <c r="AI78" s="8">
        <v>0</v>
      </c>
      <c r="AJ78" s="8">
        <v>0</v>
      </c>
      <c r="AK78" s="8">
        <v>0</v>
      </c>
      <c r="AL78" s="8">
        <v>0</v>
      </c>
      <c r="AM78" s="8">
        <v>0</v>
      </c>
      <c r="AN78" s="8">
        <v>0</v>
      </c>
      <c r="AO78" s="8">
        <v>0</v>
      </c>
      <c r="AP78" s="8">
        <v>0</v>
      </c>
      <c r="AQ78" s="8">
        <v>0</v>
      </c>
      <c r="AR78" s="8">
        <v>0</v>
      </c>
      <c r="AS78" s="8">
        <v>0</v>
      </c>
      <c r="AT78" s="8">
        <v>0</v>
      </c>
      <c r="AU78" s="8">
        <v>0</v>
      </c>
      <c r="AV78" s="8">
        <v>0</v>
      </c>
      <c r="AW78" s="8">
        <v>0</v>
      </c>
      <c r="AX78" s="8">
        <v>0</v>
      </c>
      <c r="AY78" s="8">
        <v>0</v>
      </c>
      <c r="AZ78" s="8">
        <v>0</v>
      </c>
      <c r="BA78" s="8">
        <v>0</v>
      </c>
      <c r="BB78" s="8">
        <v>0</v>
      </c>
      <c r="BC78" s="8">
        <v>0</v>
      </c>
      <c r="BD78" s="8">
        <v>0</v>
      </c>
      <c r="BE78" s="8">
        <v>0</v>
      </c>
      <c r="BF78" s="8">
        <v>0</v>
      </c>
      <c r="BG78" s="8">
        <v>0</v>
      </c>
      <c r="BH78" s="8">
        <v>0</v>
      </c>
      <c r="BI78" s="8">
        <v>0</v>
      </c>
      <c r="BJ78" s="8">
        <v>0</v>
      </c>
      <c r="BK78" s="8">
        <v>0</v>
      </c>
      <c r="BL78" s="8">
        <v>0</v>
      </c>
      <c r="BM78" s="8">
        <v>0</v>
      </c>
      <c r="BN78" s="8">
        <v>0</v>
      </c>
      <c r="BO78" s="8">
        <v>0</v>
      </c>
      <c r="BP78" s="8">
        <v>0</v>
      </c>
      <c r="BQ78" s="8">
        <v>0</v>
      </c>
      <c r="BR78" s="8">
        <v>0</v>
      </c>
      <c r="BS78" s="8">
        <v>0</v>
      </c>
      <c r="BT78" s="8">
        <v>0</v>
      </c>
      <c r="BU78" s="8">
        <v>0</v>
      </c>
      <c r="BV78" s="8">
        <v>0</v>
      </c>
      <c r="BW78" s="8">
        <v>0</v>
      </c>
      <c r="BX78" s="8">
        <v>0</v>
      </c>
      <c r="BY78" s="8">
        <v>0</v>
      </c>
      <c r="BZ78" s="8">
        <v>0</v>
      </c>
      <c r="CA78" s="8">
        <v>0</v>
      </c>
      <c r="CB78" s="8">
        <v>0</v>
      </c>
      <c r="CC78" s="8">
        <v>0</v>
      </c>
      <c r="CD78" s="8">
        <v>0</v>
      </c>
      <c r="CE78" s="8">
        <v>0</v>
      </c>
      <c r="CF78" s="8">
        <v>0</v>
      </c>
      <c r="CG78" s="8">
        <v>0</v>
      </c>
      <c r="CH78" s="8">
        <v>0</v>
      </c>
      <c r="CI78" s="8">
        <v>0</v>
      </c>
      <c r="CJ78" s="8">
        <v>0</v>
      </c>
      <c r="CK78" s="8">
        <v>0</v>
      </c>
      <c r="CL78" s="8">
        <v>0</v>
      </c>
      <c r="CM78" s="8">
        <v>0</v>
      </c>
      <c r="CN78" s="8">
        <v>0</v>
      </c>
      <c r="CO78" s="8">
        <v>0</v>
      </c>
      <c r="CP78" s="8">
        <v>0</v>
      </c>
      <c r="CQ78" s="8">
        <v>0</v>
      </c>
      <c r="CR78" s="8">
        <v>0</v>
      </c>
      <c r="CS78" t="str">
        <f>IFERROR(INDEX('Initiative Summary'!$C$5:$C$25,MATCH($A78,'Initiative Summary'!$A$5:$A$25,0)),"")</f>
        <v>Eastbridge Region</v>
      </c>
    </row>
    <row r="79" spans="1:97" ht="24" x14ac:dyDescent="0.25">
      <c r="A79" s="6" t="s">
        <v>671</v>
      </c>
      <c r="B79" s="10" t="s">
        <v>670</v>
      </c>
      <c r="C79" s="11" t="s">
        <v>205</v>
      </c>
      <c r="D79" s="11" t="s">
        <v>203</v>
      </c>
      <c r="E79" s="11" t="s">
        <v>206</v>
      </c>
      <c r="F79" s="11" t="s">
        <v>207</v>
      </c>
      <c r="G79" s="11"/>
      <c r="H79" s="11" t="s">
        <v>215</v>
      </c>
      <c r="I79" s="11" t="s">
        <v>216</v>
      </c>
      <c r="J79" s="11"/>
      <c r="K79" s="10"/>
      <c r="L79" s="11" t="s">
        <v>724</v>
      </c>
      <c r="M79" s="11" t="s">
        <v>199</v>
      </c>
      <c r="N79" s="20">
        <v>3</v>
      </c>
      <c r="O79" s="11" t="b">
        <v>0</v>
      </c>
      <c r="P79" s="11" t="s">
        <v>218</v>
      </c>
      <c r="Q79" s="11" t="s">
        <v>227</v>
      </c>
      <c r="R79" s="11" t="s">
        <v>227</v>
      </c>
      <c r="S79" s="11"/>
      <c r="T79" s="11"/>
      <c r="U79" s="11"/>
      <c r="V79" s="11"/>
      <c r="W79" s="11"/>
      <c r="X79" s="11">
        <v>0</v>
      </c>
      <c r="Y79" s="11">
        <v>0</v>
      </c>
      <c r="Z79" s="11">
        <v>0</v>
      </c>
      <c r="AA79" s="11">
        <v>0</v>
      </c>
      <c r="AB79" s="11">
        <v>0</v>
      </c>
      <c r="AC79" s="11">
        <v>0</v>
      </c>
      <c r="AD79" s="11">
        <v>0</v>
      </c>
      <c r="AE79" s="11">
        <v>0</v>
      </c>
      <c r="AF79" s="11">
        <v>0</v>
      </c>
      <c r="AG79" s="11">
        <v>0</v>
      </c>
      <c r="AH79" s="11">
        <v>0</v>
      </c>
      <c r="AI79" s="11">
        <v>0</v>
      </c>
      <c r="AJ79" s="11">
        <v>0</v>
      </c>
      <c r="AK79" s="11">
        <v>0</v>
      </c>
      <c r="AL79" s="11">
        <v>0</v>
      </c>
      <c r="AM79" s="11">
        <v>0</v>
      </c>
      <c r="AN79" s="11">
        <v>0</v>
      </c>
      <c r="AO79" s="11">
        <v>0</v>
      </c>
      <c r="AP79" s="11">
        <v>0</v>
      </c>
      <c r="AQ79" s="11">
        <v>0</v>
      </c>
      <c r="AR79" s="11">
        <v>0</v>
      </c>
      <c r="AS79" s="11">
        <v>0</v>
      </c>
      <c r="AT79" s="11">
        <v>0</v>
      </c>
      <c r="AU79" s="11">
        <v>0</v>
      </c>
      <c r="AV79" s="11">
        <v>0</v>
      </c>
      <c r="AW79" s="11">
        <v>0</v>
      </c>
      <c r="AX79" s="11">
        <v>0</v>
      </c>
      <c r="AY79" s="11">
        <v>0</v>
      </c>
      <c r="AZ79" s="11">
        <v>0</v>
      </c>
      <c r="BA79" s="11">
        <v>0</v>
      </c>
      <c r="BB79" s="11">
        <v>0</v>
      </c>
      <c r="BC79" s="11">
        <v>0</v>
      </c>
      <c r="BD79" s="11">
        <v>0</v>
      </c>
      <c r="BE79" s="11">
        <v>0</v>
      </c>
      <c r="BF79" s="11">
        <v>0</v>
      </c>
      <c r="BG79" s="11">
        <v>0</v>
      </c>
      <c r="BH79" s="11">
        <v>0</v>
      </c>
      <c r="BI79" s="11">
        <v>0</v>
      </c>
      <c r="BJ79" s="11">
        <v>0</v>
      </c>
      <c r="BK79" s="11">
        <v>0</v>
      </c>
      <c r="BL79" s="11">
        <v>0</v>
      </c>
      <c r="BM79" s="11">
        <v>0</v>
      </c>
      <c r="BN79" s="11">
        <v>0</v>
      </c>
      <c r="BO79" s="11">
        <v>0</v>
      </c>
      <c r="BP79" s="11">
        <v>0</v>
      </c>
      <c r="BQ79" s="11">
        <v>0</v>
      </c>
      <c r="BR79" s="11">
        <v>0</v>
      </c>
      <c r="BS79" s="11">
        <v>0</v>
      </c>
      <c r="BT79" s="11">
        <v>0</v>
      </c>
      <c r="BU79" s="11">
        <v>0</v>
      </c>
      <c r="BV79" s="11">
        <v>0</v>
      </c>
      <c r="BW79" s="11">
        <v>0</v>
      </c>
      <c r="BX79" s="11">
        <v>0</v>
      </c>
      <c r="BY79" s="11">
        <v>0</v>
      </c>
      <c r="BZ79" s="11">
        <v>0</v>
      </c>
      <c r="CA79" s="11">
        <v>0</v>
      </c>
      <c r="CB79" s="11">
        <v>0</v>
      </c>
      <c r="CC79" s="11">
        <v>0</v>
      </c>
      <c r="CD79" s="11">
        <v>0</v>
      </c>
      <c r="CE79" s="11">
        <v>0</v>
      </c>
      <c r="CF79" s="11">
        <v>0</v>
      </c>
      <c r="CG79" s="11">
        <v>0</v>
      </c>
      <c r="CH79" s="11">
        <v>0</v>
      </c>
      <c r="CI79" s="11">
        <v>0</v>
      </c>
      <c r="CJ79" s="11">
        <v>0</v>
      </c>
      <c r="CK79" s="11">
        <v>0</v>
      </c>
      <c r="CL79" s="11">
        <v>0</v>
      </c>
      <c r="CM79" s="11">
        <v>0</v>
      </c>
      <c r="CN79" s="11">
        <v>0</v>
      </c>
      <c r="CO79" s="11">
        <v>0</v>
      </c>
      <c r="CP79" s="11">
        <v>0</v>
      </c>
      <c r="CQ79" s="11">
        <v>0</v>
      </c>
      <c r="CR79" s="11">
        <v>0</v>
      </c>
      <c r="CS79" t="str">
        <f>IFERROR(INDEX('Initiative Summary'!$C$5:$C$25,MATCH($A79,'Initiative Summary'!$A$5:$A$25,0)),"")</f>
        <v>Eastbridge Region</v>
      </c>
    </row>
    <row r="80" spans="1:97" ht="24" x14ac:dyDescent="0.25">
      <c r="A80" s="6" t="s">
        <v>671</v>
      </c>
      <c r="B80" s="7" t="s">
        <v>670</v>
      </c>
      <c r="C80" s="8" t="s">
        <v>205</v>
      </c>
      <c r="D80" s="8" t="s">
        <v>204</v>
      </c>
      <c r="E80" s="8" t="s">
        <v>206</v>
      </c>
      <c r="F80" s="8" t="s">
        <v>207</v>
      </c>
      <c r="G80" s="8"/>
      <c r="H80" s="8" t="s">
        <v>215</v>
      </c>
      <c r="I80" s="8" t="s">
        <v>216</v>
      </c>
      <c r="J80" s="8"/>
      <c r="K80" s="7"/>
      <c r="L80" s="8" t="s">
        <v>724</v>
      </c>
      <c r="M80" s="8" t="s">
        <v>199</v>
      </c>
      <c r="N80" s="21">
        <v>3</v>
      </c>
      <c r="O80" s="8" t="b">
        <v>0</v>
      </c>
      <c r="P80" s="8" t="s">
        <v>218</v>
      </c>
      <c r="Q80" s="8" t="s">
        <v>227</v>
      </c>
      <c r="R80" s="8" t="s">
        <v>227</v>
      </c>
      <c r="S80" s="8"/>
      <c r="T80" s="8"/>
      <c r="U80" s="8"/>
      <c r="V80" s="8"/>
      <c r="W80" s="8"/>
      <c r="X80" s="8">
        <v>0</v>
      </c>
      <c r="Y80" s="8">
        <v>0</v>
      </c>
      <c r="Z80" s="8">
        <v>0</v>
      </c>
      <c r="AA80" s="8">
        <v>0</v>
      </c>
      <c r="AB80" s="8">
        <v>0</v>
      </c>
      <c r="AC80" s="8">
        <v>0</v>
      </c>
      <c r="AD80" s="8">
        <v>0</v>
      </c>
      <c r="AE80" s="8">
        <v>0</v>
      </c>
      <c r="AF80" s="8">
        <v>0</v>
      </c>
      <c r="AG80" s="8">
        <v>0</v>
      </c>
      <c r="AH80" s="8">
        <v>0</v>
      </c>
      <c r="AI80" s="8">
        <v>0</v>
      </c>
      <c r="AJ80" s="8">
        <v>0</v>
      </c>
      <c r="AK80" s="8">
        <v>0</v>
      </c>
      <c r="AL80" s="8">
        <v>0</v>
      </c>
      <c r="AM80" s="8">
        <v>0</v>
      </c>
      <c r="AN80" s="8">
        <v>0</v>
      </c>
      <c r="AO80" s="8">
        <v>0</v>
      </c>
      <c r="AP80" s="8">
        <v>0</v>
      </c>
      <c r="AQ80" s="8">
        <v>0</v>
      </c>
      <c r="AR80" s="8">
        <v>0</v>
      </c>
      <c r="AS80" s="8">
        <v>0</v>
      </c>
      <c r="AT80" s="8">
        <v>0</v>
      </c>
      <c r="AU80" s="8">
        <v>0</v>
      </c>
      <c r="AV80" s="8">
        <v>0</v>
      </c>
      <c r="AW80" s="8">
        <v>0</v>
      </c>
      <c r="AX80" s="8">
        <v>0</v>
      </c>
      <c r="AY80" s="8">
        <v>0</v>
      </c>
      <c r="AZ80" s="8">
        <v>0</v>
      </c>
      <c r="BA80" s="8">
        <v>0</v>
      </c>
      <c r="BB80" s="8">
        <v>0</v>
      </c>
      <c r="BC80" s="8">
        <v>0</v>
      </c>
      <c r="BD80" s="8">
        <v>0</v>
      </c>
      <c r="BE80" s="8">
        <v>0</v>
      </c>
      <c r="BF80" s="8">
        <v>0</v>
      </c>
      <c r="BG80" s="8">
        <v>0</v>
      </c>
      <c r="BH80" s="8">
        <v>0</v>
      </c>
      <c r="BI80" s="8">
        <v>0</v>
      </c>
      <c r="BJ80" s="8">
        <v>0</v>
      </c>
      <c r="BK80" s="8">
        <v>0</v>
      </c>
      <c r="BL80" s="8">
        <v>0</v>
      </c>
      <c r="BM80" s="8">
        <v>0</v>
      </c>
      <c r="BN80" s="8">
        <v>0</v>
      </c>
      <c r="BO80" s="8">
        <v>0</v>
      </c>
      <c r="BP80" s="8">
        <v>0</v>
      </c>
      <c r="BQ80" s="8">
        <v>0</v>
      </c>
      <c r="BR80" s="8">
        <v>0</v>
      </c>
      <c r="BS80" s="8">
        <v>0</v>
      </c>
      <c r="BT80" s="8">
        <v>0</v>
      </c>
      <c r="BU80" s="8">
        <v>0</v>
      </c>
      <c r="BV80" s="8">
        <v>0</v>
      </c>
      <c r="BW80" s="8">
        <v>0</v>
      </c>
      <c r="BX80" s="8">
        <v>0</v>
      </c>
      <c r="BY80" s="8">
        <v>0</v>
      </c>
      <c r="BZ80" s="8">
        <v>0</v>
      </c>
      <c r="CA80" s="8">
        <v>0</v>
      </c>
      <c r="CB80" s="8">
        <v>0</v>
      </c>
      <c r="CC80" s="8">
        <v>0</v>
      </c>
      <c r="CD80" s="8">
        <v>0</v>
      </c>
      <c r="CE80" s="8">
        <v>0</v>
      </c>
      <c r="CF80" s="8">
        <v>0</v>
      </c>
      <c r="CG80" s="8">
        <v>0</v>
      </c>
      <c r="CH80" s="8">
        <v>0</v>
      </c>
      <c r="CI80" s="8">
        <v>0</v>
      </c>
      <c r="CJ80" s="8">
        <v>0</v>
      </c>
      <c r="CK80" s="8">
        <v>0</v>
      </c>
      <c r="CL80" s="8">
        <v>0</v>
      </c>
      <c r="CM80" s="8">
        <v>0</v>
      </c>
      <c r="CN80" s="8">
        <v>0</v>
      </c>
      <c r="CO80" s="8">
        <v>0</v>
      </c>
      <c r="CP80" s="8">
        <v>0</v>
      </c>
      <c r="CQ80" s="8">
        <v>0</v>
      </c>
      <c r="CR80" s="8">
        <v>0</v>
      </c>
      <c r="CS80" t="str">
        <f>IFERROR(INDEX('Initiative Summary'!$C$5:$C$25,MATCH($A80,'Initiative Summary'!$A$5:$A$25,0)),"")</f>
        <v>Eastbridge Region</v>
      </c>
    </row>
    <row r="81" spans="1:97" ht="24" x14ac:dyDescent="0.25">
      <c r="A81" s="6" t="s">
        <v>671</v>
      </c>
      <c r="B81" s="10" t="s">
        <v>670</v>
      </c>
      <c r="C81" s="11" t="s">
        <v>206</v>
      </c>
      <c r="D81" s="11" t="s">
        <v>195</v>
      </c>
      <c r="E81" s="11" t="s">
        <v>206</v>
      </c>
      <c r="F81" s="11" t="s">
        <v>197</v>
      </c>
      <c r="G81" s="11"/>
      <c r="H81" s="11"/>
      <c r="I81" s="11"/>
      <c r="J81" s="11"/>
      <c r="K81" s="10"/>
      <c r="L81" s="11" t="s">
        <v>725</v>
      </c>
      <c r="M81" s="11" t="s">
        <v>199</v>
      </c>
      <c r="N81" s="20">
        <v>100</v>
      </c>
      <c r="O81" s="11" t="b">
        <v>0</v>
      </c>
      <c r="P81" s="11" t="s">
        <v>201</v>
      </c>
      <c r="Q81" s="11" t="s">
        <v>210</v>
      </c>
      <c r="R81" s="11" t="s">
        <v>210</v>
      </c>
      <c r="S81" s="11">
        <v>0</v>
      </c>
      <c r="T81" s="20">
        <v>0.55200000000000005</v>
      </c>
      <c r="U81" s="20">
        <v>1.633</v>
      </c>
      <c r="V81" s="20">
        <v>1.633</v>
      </c>
      <c r="W81" s="20">
        <v>1.633</v>
      </c>
      <c r="X81" s="11">
        <v>0</v>
      </c>
      <c r="Y81" s="11">
        <v>0</v>
      </c>
      <c r="Z81" s="11">
        <v>0</v>
      </c>
      <c r="AA81" s="11">
        <v>0</v>
      </c>
      <c r="AB81" s="11">
        <v>0</v>
      </c>
      <c r="AC81" s="11">
        <v>0</v>
      </c>
      <c r="AD81" s="11">
        <v>0</v>
      </c>
      <c r="AE81" s="11">
        <v>0</v>
      </c>
      <c r="AF81" s="11">
        <v>0</v>
      </c>
      <c r="AG81" s="11">
        <v>0</v>
      </c>
      <c r="AH81" s="11">
        <v>0</v>
      </c>
      <c r="AI81" s="11">
        <v>0</v>
      </c>
      <c r="AJ81" s="20">
        <v>0</v>
      </c>
      <c r="AK81" s="20">
        <v>0</v>
      </c>
      <c r="AL81" s="20">
        <v>0</v>
      </c>
      <c r="AM81" s="20">
        <v>0</v>
      </c>
      <c r="AN81" s="20">
        <v>0</v>
      </c>
      <c r="AO81" s="20">
        <v>0</v>
      </c>
      <c r="AP81" s="20">
        <v>9.2000000000000012E-2</v>
      </c>
      <c r="AQ81" s="20">
        <v>9.2000000000000012E-2</v>
      </c>
      <c r="AR81" s="20">
        <v>9.2000000000000012E-2</v>
      </c>
      <c r="AS81" s="20">
        <v>9.2000000000000012E-2</v>
      </c>
      <c r="AT81" s="20">
        <v>9.2000000000000012E-2</v>
      </c>
      <c r="AU81" s="20">
        <v>9.2000000000000012E-2</v>
      </c>
      <c r="AV81" s="20">
        <v>0.13608333333333333</v>
      </c>
      <c r="AW81" s="20">
        <v>0.13608333333333333</v>
      </c>
      <c r="AX81" s="20">
        <v>0.13608333333333333</v>
      </c>
      <c r="AY81" s="20">
        <v>0.13608333333333333</v>
      </c>
      <c r="AZ81" s="20">
        <v>0.13608333333333333</v>
      </c>
      <c r="BA81" s="20">
        <v>0.13608333333333333</v>
      </c>
      <c r="BB81" s="20">
        <v>0.13608333333333333</v>
      </c>
      <c r="BC81" s="20">
        <v>0.13608333333333333</v>
      </c>
      <c r="BD81" s="20">
        <v>0.13608333333333333</v>
      </c>
      <c r="BE81" s="20">
        <v>0.13608333333333333</v>
      </c>
      <c r="BF81" s="20">
        <v>0.13608333333333333</v>
      </c>
      <c r="BG81" s="20">
        <v>0.13608333333333333</v>
      </c>
      <c r="BH81" s="20">
        <v>0.13608333333333333</v>
      </c>
      <c r="BI81" s="20">
        <v>0.13608333333333333</v>
      </c>
      <c r="BJ81" s="20">
        <v>0.13608333333333333</v>
      </c>
      <c r="BK81" s="20">
        <v>0.13608333333333333</v>
      </c>
      <c r="BL81" s="20">
        <v>0.13608333333333333</v>
      </c>
      <c r="BM81" s="20">
        <v>0.13608333333333333</v>
      </c>
      <c r="BN81" s="20">
        <v>0.13608333333333333</v>
      </c>
      <c r="BO81" s="20">
        <v>0.13608333333333333</v>
      </c>
      <c r="BP81" s="20">
        <v>0.13608333333333333</v>
      </c>
      <c r="BQ81" s="20">
        <v>0.13608333333333333</v>
      </c>
      <c r="BR81" s="20">
        <v>0.13608333333333333</v>
      </c>
      <c r="BS81" s="20">
        <v>0.13608333333333333</v>
      </c>
      <c r="BT81" s="20">
        <v>0.13608333333333333</v>
      </c>
      <c r="BU81" s="20">
        <v>0.13608333333333333</v>
      </c>
      <c r="BV81" s="20">
        <v>0.13608333333333333</v>
      </c>
      <c r="BW81" s="20">
        <v>0.13608333333333333</v>
      </c>
      <c r="BX81" s="20">
        <v>0.13608333333333333</v>
      </c>
      <c r="BY81" s="20">
        <v>0.13608333333333333</v>
      </c>
      <c r="BZ81" s="20">
        <v>0.13608333333333333</v>
      </c>
      <c r="CA81" s="20">
        <v>0.13608333333333333</v>
      </c>
      <c r="CB81" s="20">
        <v>0.13608333333333333</v>
      </c>
      <c r="CC81" s="20">
        <v>0.13608333333333333</v>
      </c>
      <c r="CD81" s="20">
        <v>0.13608333333333333</v>
      </c>
      <c r="CE81" s="20">
        <v>0.13608333333333333</v>
      </c>
      <c r="CF81" s="11">
        <v>1.633</v>
      </c>
      <c r="CG81" s="11">
        <v>0.13608333333333333</v>
      </c>
      <c r="CH81" s="11">
        <v>0.13608333333333333</v>
      </c>
      <c r="CI81" s="11">
        <v>0.13608333333333333</v>
      </c>
      <c r="CJ81" s="11">
        <v>0.13608333333333333</v>
      </c>
      <c r="CK81" s="11">
        <v>0.13608333333333333</v>
      </c>
      <c r="CL81" s="11">
        <v>0.13608333333333333</v>
      </c>
      <c r="CM81" s="11">
        <v>0.13608333333333333</v>
      </c>
      <c r="CN81" s="11">
        <v>0.13608333333333333</v>
      </c>
      <c r="CO81" s="11">
        <v>0.13608333333333333</v>
      </c>
      <c r="CP81" s="11">
        <v>0.13608333333333333</v>
      </c>
      <c r="CQ81" s="11">
        <v>0.13608333333333333</v>
      </c>
      <c r="CR81" s="11">
        <v>0.13608333333333333</v>
      </c>
      <c r="CS81" t="str">
        <f>IFERROR(INDEX('Initiative Summary'!$C$5:$C$25,MATCH($A81,'Initiative Summary'!$A$5:$A$25,0)),"")</f>
        <v>Eastbridge Region</v>
      </c>
    </row>
    <row r="82" spans="1:97" ht="24" x14ac:dyDescent="0.25">
      <c r="A82" s="6" t="s">
        <v>671</v>
      </c>
      <c r="B82" s="7" t="s">
        <v>670</v>
      </c>
      <c r="C82" s="8" t="s">
        <v>206</v>
      </c>
      <c r="D82" s="8" t="s">
        <v>203</v>
      </c>
      <c r="E82" s="8" t="s">
        <v>206</v>
      </c>
      <c r="F82" s="8" t="s">
        <v>197</v>
      </c>
      <c r="G82" s="8"/>
      <c r="H82" s="8"/>
      <c r="I82" s="8"/>
      <c r="J82" s="8"/>
      <c r="K82" s="7"/>
      <c r="L82" s="8" t="s">
        <v>725</v>
      </c>
      <c r="M82" s="8" t="s">
        <v>199</v>
      </c>
      <c r="N82" s="21">
        <v>100</v>
      </c>
      <c r="O82" s="8" t="b">
        <v>0</v>
      </c>
      <c r="P82" s="8" t="s">
        <v>201</v>
      </c>
      <c r="Q82" s="8" t="s">
        <v>210</v>
      </c>
      <c r="R82" s="8" t="s">
        <v>210</v>
      </c>
      <c r="S82" s="8">
        <v>0</v>
      </c>
      <c r="T82" s="21">
        <v>0.73599999999999999</v>
      </c>
      <c r="U82" s="21">
        <v>2.2080000000000002</v>
      </c>
      <c r="V82" s="21">
        <v>2.2080000000000002</v>
      </c>
      <c r="W82" s="21">
        <v>2.2080000000000002</v>
      </c>
      <c r="X82" s="8">
        <v>0</v>
      </c>
      <c r="Y82" s="8">
        <v>0</v>
      </c>
      <c r="Z82" s="8">
        <v>0</v>
      </c>
      <c r="AA82" s="8">
        <v>0</v>
      </c>
      <c r="AB82" s="8">
        <v>0</v>
      </c>
      <c r="AC82" s="8">
        <v>0</v>
      </c>
      <c r="AD82" s="8">
        <v>0</v>
      </c>
      <c r="AE82" s="8">
        <v>0</v>
      </c>
      <c r="AF82" s="8">
        <v>0</v>
      </c>
      <c r="AG82" s="8">
        <v>0</v>
      </c>
      <c r="AH82" s="8">
        <v>0</v>
      </c>
      <c r="AI82" s="8">
        <v>0</v>
      </c>
      <c r="AJ82" s="21">
        <v>0</v>
      </c>
      <c r="AK82" s="21">
        <v>0</v>
      </c>
      <c r="AL82" s="21">
        <v>0</v>
      </c>
      <c r="AM82" s="21">
        <v>0</v>
      </c>
      <c r="AN82" s="21">
        <v>0</v>
      </c>
      <c r="AO82" s="21">
        <v>0</v>
      </c>
      <c r="AP82" s="21">
        <v>0.12266666666666666</v>
      </c>
      <c r="AQ82" s="21">
        <v>0.12266666666666666</v>
      </c>
      <c r="AR82" s="21">
        <v>0.12266666666666666</v>
      </c>
      <c r="AS82" s="21">
        <v>0.12266666666666666</v>
      </c>
      <c r="AT82" s="21">
        <v>0.12266666666666666</v>
      </c>
      <c r="AU82" s="21">
        <v>0.12266666666666666</v>
      </c>
      <c r="AV82" s="21">
        <v>0.18400000000000002</v>
      </c>
      <c r="AW82" s="21">
        <v>0.18400000000000002</v>
      </c>
      <c r="AX82" s="21">
        <v>0.18400000000000002</v>
      </c>
      <c r="AY82" s="21">
        <v>0.18400000000000002</v>
      </c>
      <c r="AZ82" s="21">
        <v>0.18400000000000002</v>
      </c>
      <c r="BA82" s="21">
        <v>0.18400000000000002</v>
      </c>
      <c r="BB82" s="21">
        <v>0.18400000000000002</v>
      </c>
      <c r="BC82" s="21">
        <v>0.18400000000000002</v>
      </c>
      <c r="BD82" s="21">
        <v>0.18400000000000002</v>
      </c>
      <c r="BE82" s="21">
        <v>0.18400000000000002</v>
      </c>
      <c r="BF82" s="21">
        <v>0.18400000000000002</v>
      </c>
      <c r="BG82" s="21">
        <v>0.18400000000000002</v>
      </c>
      <c r="BH82" s="21">
        <v>0.18400000000000002</v>
      </c>
      <c r="BI82" s="21">
        <v>0.18400000000000002</v>
      </c>
      <c r="BJ82" s="21">
        <v>0.18400000000000002</v>
      </c>
      <c r="BK82" s="21">
        <v>0.18400000000000002</v>
      </c>
      <c r="BL82" s="21">
        <v>0.18400000000000002</v>
      </c>
      <c r="BM82" s="21">
        <v>0.18400000000000002</v>
      </c>
      <c r="BN82" s="21">
        <v>0.18400000000000002</v>
      </c>
      <c r="BO82" s="21">
        <v>0.18400000000000002</v>
      </c>
      <c r="BP82" s="21">
        <v>0.18400000000000002</v>
      </c>
      <c r="BQ82" s="21">
        <v>0.18400000000000002</v>
      </c>
      <c r="BR82" s="21">
        <v>0.18400000000000002</v>
      </c>
      <c r="BS82" s="21">
        <v>0.18400000000000002</v>
      </c>
      <c r="BT82" s="21">
        <v>0.18400000000000002</v>
      </c>
      <c r="BU82" s="21">
        <v>0.18400000000000002</v>
      </c>
      <c r="BV82" s="21">
        <v>0.18400000000000002</v>
      </c>
      <c r="BW82" s="21">
        <v>0.18400000000000002</v>
      </c>
      <c r="BX82" s="21">
        <v>0.18400000000000002</v>
      </c>
      <c r="BY82" s="21">
        <v>0.18400000000000002</v>
      </c>
      <c r="BZ82" s="21">
        <v>0.18400000000000002</v>
      </c>
      <c r="CA82" s="21">
        <v>0.18400000000000002</v>
      </c>
      <c r="CB82" s="21">
        <v>0.18400000000000002</v>
      </c>
      <c r="CC82" s="21">
        <v>0.18400000000000002</v>
      </c>
      <c r="CD82" s="21">
        <v>0.18400000000000002</v>
      </c>
      <c r="CE82" s="21">
        <v>0.18400000000000002</v>
      </c>
      <c r="CF82" s="8">
        <v>2.2080000000000002</v>
      </c>
      <c r="CG82" s="8">
        <v>0.18400000000000002</v>
      </c>
      <c r="CH82" s="8">
        <v>0.18400000000000002</v>
      </c>
      <c r="CI82" s="8">
        <v>0.18400000000000002</v>
      </c>
      <c r="CJ82" s="8">
        <v>0.18400000000000002</v>
      </c>
      <c r="CK82" s="8">
        <v>0.18400000000000002</v>
      </c>
      <c r="CL82" s="8">
        <v>0.18400000000000002</v>
      </c>
      <c r="CM82" s="8">
        <v>0.18400000000000002</v>
      </c>
      <c r="CN82" s="8">
        <v>0.18400000000000002</v>
      </c>
      <c r="CO82" s="8">
        <v>0.18400000000000002</v>
      </c>
      <c r="CP82" s="8">
        <v>0.18400000000000002</v>
      </c>
      <c r="CQ82" s="8">
        <v>0.18400000000000002</v>
      </c>
      <c r="CR82" s="8">
        <v>0.18400000000000002</v>
      </c>
      <c r="CS82" t="str">
        <f>IFERROR(INDEX('Initiative Summary'!$C$5:$C$25,MATCH($A82,'Initiative Summary'!$A$5:$A$25,0)),"")</f>
        <v>Eastbridge Region</v>
      </c>
    </row>
    <row r="83" spans="1:97" ht="24" x14ac:dyDescent="0.25">
      <c r="A83" s="6" t="s">
        <v>671</v>
      </c>
      <c r="B83" s="10" t="s">
        <v>670</v>
      </c>
      <c r="C83" s="11" t="s">
        <v>206</v>
      </c>
      <c r="D83" s="11" t="s">
        <v>204</v>
      </c>
      <c r="E83" s="11" t="s">
        <v>206</v>
      </c>
      <c r="F83" s="11" t="s">
        <v>197</v>
      </c>
      <c r="G83" s="11"/>
      <c r="H83" s="11"/>
      <c r="I83" s="11"/>
      <c r="J83" s="11"/>
      <c r="K83" s="10"/>
      <c r="L83" s="11" t="s">
        <v>725</v>
      </c>
      <c r="M83" s="11" t="s">
        <v>199</v>
      </c>
      <c r="N83" s="20">
        <v>100</v>
      </c>
      <c r="O83" s="11" t="b">
        <v>0</v>
      </c>
      <c r="P83" s="11" t="s">
        <v>201</v>
      </c>
      <c r="Q83" s="11" t="s">
        <v>210</v>
      </c>
      <c r="R83" s="11" t="s">
        <v>210</v>
      </c>
      <c r="S83" s="11"/>
      <c r="T83" s="11"/>
      <c r="U83" s="11"/>
      <c r="V83" s="11"/>
      <c r="W83" s="11"/>
      <c r="X83" s="11">
        <v>0</v>
      </c>
      <c r="Y83" s="11">
        <v>0</v>
      </c>
      <c r="Z83" s="11">
        <v>0</v>
      </c>
      <c r="AA83" s="11">
        <v>0</v>
      </c>
      <c r="AB83" s="11">
        <v>0</v>
      </c>
      <c r="AC83" s="11">
        <v>0</v>
      </c>
      <c r="AD83" s="11">
        <v>0</v>
      </c>
      <c r="AE83" s="11">
        <v>0</v>
      </c>
      <c r="AF83" s="11">
        <v>0</v>
      </c>
      <c r="AG83" s="11">
        <v>0</v>
      </c>
      <c r="AH83" s="11">
        <v>0</v>
      </c>
      <c r="AI83" s="11">
        <v>0</v>
      </c>
      <c r="AJ83" s="11">
        <v>0</v>
      </c>
      <c r="AK83" s="11">
        <v>0</v>
      </c>
      <c r="AL83" s="11">
        <v>0</v>
      </c>
      <c r="AM83" s="11">
        <v>0</v>
      </c>
      <c r="AN83" s="11">
        <v>0</v>
      </c>
      <c r="AO83" s="11">
        <v>0</v>
      </c>
      <c r="AP83" s="11">
        <v>0</v>
      </c>
      <c r="AQ83" s="11">
        <v>0</v>
      </c>
      <c r="AR83" s="11">
        <v>0</v>
      </c>
      <c r="AS83" s="11">
        <v>0</v>
      </c>
      <c r="AT83" s="11">
        <v>0</v>
      </c>
      <c r="AU83" s="11">
        <v>0</v>
      </c>
      <c r="AV83" s="11">
        <v>0</v>
      </c>
      <c r="AW83" s="11">
        <v>0</v>
      </c>
      <c r="AX83" s="11">
        <v>0</v>
      </c>
      <c r="AY83" s="11">
        <v>0</v>
      </c>
      <c r="AZ83" s="11">
        <v>0</v>
      </c>
      <c r="BA83" s="11">
        <v>0</v>
      </c>
      <c r="BB83" s="11">
        <v>0</v>
      </c>
      <c r="BC83" s="11">
        <v>0</v>
      </c>
      <c r="BD83" s="11">
        <v>0</v>
      </c>
      <c r="BE83" s="11">
        <v>0</v>
      </c>
      <c r="BF83" s="11">
        <v>0</v>
      </c>
      <c r="BG83" s="11">
        <v>0</v>
      </c>
      <c r="BH83" s="11">
        <v>0</v>
      </c>
      <c r="BI83" s="11">
        <v>0</v>
      </c>
      <c r="BJ83" s="11">
        <v>0</v>
      </c>
      <c r="BK83" s="11">
        <v>0</v>
      </c>
      <c r="BL83" s="11">
        <v>0</v>
      </c>
      <c r="BM83" s="11">
        <v>0</v>
      </c>
      <c r="BN83" s="11">
        <v>0</v>
      </c>
      <c r="BO83" s="11">
        <v>0</v>
      </c>
      <c r="BP83" s="11">
        <v>0</v>
      </c>
      <c r="BQ83" s="11">
        <v>0</v>
      </c>
      <c r="BR83" s="11">
        <v>0</v>
      </c>
      <c r="BS83" s="11">
        <v>0</v>
      </c>
      <c r="BT83" s="11">
        <v>0</v>
      </c>
      <c r="BU83" s="11">
        <v>0</v>
      </c>
      <c r="BV83" s="11">
        <v>0</v>
      </c>
      <c r="BW83" s="11">
        <v>0</v>
      </c>
      <c r="BX83" s="11">
        <v>0</v>
      </c>
      <c r="BY83" s="11">
        <v>0</v>
      </c>
      <c r="BZ83" s="11">
        <v>0</v>
      </c>
      <c r="CA83" s="11">
        <v>0</v>
      </c>
      <c r="CB83" s="11">
        <v>0</v>
      </c>
      <c r="CC83" s="11">
        <v>0</v>
      </c>
      <c r="CD83" s="11">
        <v>0</v>
      </c>
      <c r="CE83" s="11">
        <v>0</v>
      </c>
      <c r="CF83" s="11">
        <v>0</v>
      </c>
      <c r="CG83" s="11">
        <v>0</v>
      </c>
      <c r="CH83" s="11">
        <v>0</v>
      </c>
      <c r="CI83" s="11">
        <v>0</v>
      </c>
      <c r="CJ83" s="11">
        <v>0</v>
      </c>
      <c r="CK83" s="11">
        <v>0</v>
      </c>
      <c r="CL83" s="11">
        <v>0</v>
      </c>
      <c r="CM83" s="11">
        <v>0</v>
      </c>
      <c r="CN83" s="11">
        <v>0</v>
      </c>
      <c r="CO83" s="11">
        <v>0</v>
      </c>
      <c r="CP83" s="11">
        <v>0</v>
      </c>
      <c r="CQ83" s="11">
        <v>0</v>
      </c>
      <c r="CR83" s="11">
        <v>0</v>
      </c>
      <c r="CS83" t="str">
        <f>IFERROR(INDEX('Initiative Summary'!$C$5:$C$25,MATCH($A83,'Initiative Summary'!$A$5:$A$25,0)),"")</f>
        <v>Eastbridge Region</v>
      </c>
    </row>
    <row r="84" spans="1:97" ht="24" x14ac:dyDescent="0.25">
      <c r="A84" s="6" t="s">
        <v>674</v>
      </c>
      <c r="B84" s="7" t="s">
        <v>673</v>
      </c>
      <c r="C84" s="8" t="s">
        <v>194</v>
      </c>
      <c r="D84" s="8" t="s">
        <v>195</v>
      </c>
      <c r="E84" s="8" t="s">
        <v>196</v>
      </c>
      <c r="F84" s="8" t="s">
        <v>197</v>
      </c>
      <c r="G84" s="8"/>
      <c r="H84" s="8"/>
      <c r="I84" s="8"/>
      <c r="J84" s="8"/>
      <c r="K84" s="7"/>
      <c r="L84" s="8" t="s">
        <v>726</v>
      </c>
      <c r="M84" s="8" t="s">
        <v>199</v>
      </c>
      <c r="N84" s="21">
        <v>0</v>
      </c>
      <c r="O84" s="8" t="b">
        <v>0</v>
      </c>
      <c r="P84" s="8" t="s">
        <v>201</v>
      </c>
      <c r="Q84" s="8" t="s">
        <v>223</v>
      </c>
      <c r="R84" s="8" t="s">
        <v>223</v>
      </c>
      <c r="S84" s="8">
        <v>0</v>
      </c>
      <c r="T84" s="21">
        <v>0.442</v>
      </c>
      <c r="U84" s="21">
        <v>0.93500000000000005</v>
      </c>
      <c r="V84" s="21">
        <v>0.93500000000000005</v>
      </c>
      <c r="W84" s="21">
        <v>0.93500000000000005</v>
      </c>
      <c r="X84" s="8">
        <v>0</v>
      </c>
      <c r="Y84" s="8">
        <v>0</v>
      </c>
      <c r="Z84" s="8">
        <v>0</v>
      </c>
      <c r="AA84" s="8">
        <v>0</v>
      </c>
      <c r="AB84" s="8">
        <v>0</v>
      </c>
      <c r="AC84" s="8">
        <v>0</v>
      </c>
      <c r="AD84" s="8">
        <v>0</v>
      </c>
      <c r="AE84" s="8">
        <v>0</v>
      </c>
      <c r="AF84" s="8">
        <v>0</v>
      </c>
      <c r="AG84" s="8">
        <v>0</v>
      </c>
      <c r="AH84" s="8">
        <v>0</v>
      </c>
      <c r="AI84" s="8">
        <v>0</v>
      </c>
      <c r="AJ84" s="21">
        <v>0</v>
      </c>
      <c r="AK84" s="21">
        <v>0</v>
      </c>
      <c r="AL84" s="21">
        <v>0</v>
      </c>
      <c r="AM84" s="21">
        <v>0</v>
      </c>
      <c r="AN84" s="21">
        <v>0</v>
      </c>
      <c r="AO84" s="21">
        <v>0</v>
      </c>
      <c r="AP84" s="21">
        <v>0</v>
      </c>
      <c r="AQ84" s="21">
        <v>0</v>
      </c>
      <c r="AR84" s="21">
        <v>0.1105</v>
      </c>
      <c r="AS84" s="21">
        <v>0.1105</v>
      </c>
      <c r="AT84" s="21">
        <v>0.1105</v>
      </c>
      <c r="AU84" s="21">
        <v>0.1105</v>
      </c>
      <c r="AV84" s="21">
        <v>7.7916666666666676E-2</v>
      </c>
      <c r="AW84" s="21">
        <v>7.7916666666666676E-2</v>
      </c>
      <c r="AX84" s="21">
        <v>7.7916666666666676E-2</v>
      </c>
      <c r="AY84" s="21">
        <v>7.7916666666666676E-2</v>
      </c>
      <c r="AZ84" s="21">
        <v>7.7916666666666676E-2</v>
      </c>
      <c r="BA84" s="21">
        <v>7.7916666666666676E-2</v>
      </c>
      <c r="BB84" s="21">
        <v>7.7916666666666676E-2</v>
      </c>
      <c r="BC84" s="21">
        <v>7.7916666666666676E-2</v>
      </c>
      <c r="BD84" s="21">
        <v>7.7916666666666676E-2</v>
      </c>
      <c r="BE84" s="21">
        <v>7.7916666666666676E-2</v>
      </c>
      <c r="BF84" s="21">
        <v>7.7916666666666676E-2</v>
      </c>
      <c r="BG84" s="21">
        <v>7.7916666666666676E-2</v>
      </c>
      <c r="BH84" s="21">
        <v>7.7916666666666676E-2</v>
      </c>
      <c r="BI84" s="21">
        <v>7.7916666666666676E-2</v>
      </c>
      <c r="BJ84" s="21">
        <v>7.7916666666666676E-2</v>
      </c>
      <c r="BK84" s="21">
        <v>7.7916666666666676E-2</v>
      </c>
      <c r="BL84" s="21">
        <v>7.7916666666666676E-2</v>
      </c>
      <c r="BM84" s="21">
        <v>7.7916666666666676E-2</v>
      </c>
      <c r="BN84" s="21">
        <v>7.7916666666666676E-2</v>
      </c>
      <c r="BO84" s="21">
        <v>7.7916666666666676E-2</v>
      </c>
      <c r="BP84" s="21">
        <v>7.7916666666666676E-2</v>
      </c>
      <c r="BQ84" s="21">
        <v>7.7916666666666676E-2</v>
      </c>
      <c r="BR84" s="21">
        <v>7.7916666666666676E-2</v>
      </c>
      <c r="BS84" s="21">
        <v>7.7916666666666676E-2</v>
      </c>
      <c r="BT84" s="21">
        <v>7.7916666666666676E-2</v>
      </c>
      <c r="BU84" s="21">
        <v>7.7916666666666676E-2</v>
      </c>
      <c r="BV84" s="21">
        <v>7.7916666666666676E-2</v>
      </c>
      <c r="BW84" s="21">
        <v>7.7916666666666676E-2</v>
      </c>
      <c r="BX84" s="21">
        <v>7.7916666666666676E-2</v>
      </c>
      <c r="BY84" s="21">
        <v>7.7916666666666676E-2</v>
      </c>
      <c r="BZ84" s="21">
        <v>7.7916666666666676E-2</v>
      </c>
      <c r="CA84" s="21">
        <v>7.7916666666666676E-2</v>
      </c>
      <c r="CB84" s="21">
        <v>7.7916666666666676E-2</v>
      </c>
      <c r="CC84" s="21">
        <v>7.7916666666666676E-2</v>
      </c>
      <c r="CD84" s="21">
        <v>7.7916666666666676E-2</v>
      </c>
      <c r="CE84" s="21">
        <v>7.7916666666666676E-2</v>
      </c>
      <c r="CF84" s="8">
        <v>0.93500000000000005</v>
      </c>
      <c r="CG84" s="8">
        <v>7.7916666666666676E-2</v>
      </c>
      <c r="CH84" s="8">
        <v>7.7916666666666676E-2</v>
      </c>
      <c r="CI84" s="8">
        <v>7.7916666666666676E-2</v>
      </c>
      <c r="CJ84" s="8">
        <v>7.7916666666666676E-2</v>
      </c>
      <c r="CK84" s="8">
        <v>7.7916666666666676E-2</v>
      </c>
      <c r="CL84" s="8">
        <v>7.7916666666666676E-2</v>
      </c>
      <c r="CM84" s="8">
        <v>7.7916666666666676E-2</v>
      </c>
      <c r="CN84" s="8">
        <v>7.7916666666666676E-2</v>
      </c>
      <c r="CO84" s="8">
        <v>7.7916666666666676E-2</v>
      </c>
      <c r="CP84" s="8">
        <v>7.7916666666666676E-2</v>
      </c>
      <c r="CQ84" s="8">
        <v>7.7916666666666676E-2</v>
      </c>
      <c r="CR84" s="8">
        <v>7.7916666666666676E-2</v>
      </c>
      <c r="CS84" t="str">
        <f>IFERROR(INDEX('Initiative Summary'!$C$5:$C$25,MATCH($A84,'Initiative Summary'!$A$5:$A$25,0)),"")</f>
        <v>Eastbridge Region</v>
      </c>
    </row>
    <row r="85" spans="1:97" ht="24" x14ac:dyDescent="0.25">
      <c r="A85" s="6" t="s">
        <v>674</v>
      </c>
      <c r="B85" s="10" t="s">
        <v>673</v>
      </c>
      <c r="C85" s="11" t="s">
        <v>194</v>
      </c>
      <c r="D85" s="11" t="s">
        <v>203</v>
      </c>
      <c r="E85" s="11" t="s">
        <v>196</v>
      </c>
      <c r="F85" s="11" t="s">
        <v>197</v>
      </c>
      <c r="G85" s="11"/>
      <c r="H85" s="11"/>
      <c r="I85" s="11"/>
      <c r="J85" s="11"/>
      <c r="K85" s="10"/>
      <c r="L85" s="11" t="s">
        <v>726</v>
      </c>
      <c r="M85" s="11" t="s">
        <v>199</v>
      </c>
      <c r="N85" s="20">
        <v>0</v>
      </c>
      <c r="O85" s="11" t="b">
        <v>0</v>
      </c>
      <c r="P85" s="11" t="s">
        <v>201</v>
      </c>
      <c r="Q85" s="11" t="s">
        <v>223</v>
      </c>
      <c r="R85" s="11" t="s">
        <v>223</v>
      </c>
      <c r="S85" s="11">
        <v>0</v>
      </c>
      <c r="T85" s="20">
        <v>0.66300000000000003</v>
      </c>
      <c r="U85" s="20">
        <v>1.3260000000000001</v>
      </c>
      <c r="V85" s="20">
        <v>1.3260000000000001</v>
      </c>
      <c r="W85" s="20">
        <v>1.3260000000000001</v>
      </c>
      <c r="X85" s="11">
        <v>0</v>
      </c>
      <c r="Y85" s="11">
        <v>0</v>
      </c>
      <c r="Z85" s="11">
        <v>0</v>
      </c>
      <c r="AA85" s="11">
        <v>0</v>
      </c>
      <c r="AB85" s="11">
        <v>0</v>
      </c>
      <c r="AC85" s="11">
        <v>0</v>
      </c>
      <c r="AD85" s="11">
        <v>0</v>
      </c>
      <c r="AE85" s="11">
        <v>0</v>
      </c>
      <c r="AF85" s="11">
        <v>0</v>
      </c>
      <c r="AG85" s="11">
        <v>0</v>
      </c>
      <c r="AH85" s="11">
        <v>0</v>
      </c>
      <c r="AI85" s="11">
        <v>0</v>
      </c>
      <c r="AJ85" s="20">
        <v>0</v>
      </c>
      <c r="AK85" s="20">
        <v>0</v>
      </c>
      <c r="AL85" s="20">
        <v>0</v>
      </c>
      <c r="AM85" s="20">
        <v>0</v>
      </c>
      <c r="AN85" s="20">
        <v>0</v>
      </c>
      <c r="AO85" s="20">
        <v>0</v>
      </c>
      <c r="AP85" s="20">
        <v>0</v>
      </c>
      <c r="AQ85" s="20">
        <v>0</v>
      </c>
      <c r="AR85" s="20">
        <v>0.16575000000000001</v>
      </c>
      <c r="AS85" s="20">
        <v>0.16575000000000001</v>
      </c>
      <c r="AT85" s="20">
        <v>0.16575000000000001</v>
      </c>
      <c r="AU85" s="20">
        <v>0.16575000000000001</v>
      </c>
      <c r="AV85" s="20">
        <v>0.1105</v>
      </c>
      <c r="AW85" s="20">
        <v>0.1105</v>
      </c>
      <c r="AX85" s="20">
        <v>0.1105</v>
      </c>
      <c r="AY85" s="20">
        <v>0.1105</v>
      </c>
      <c r="AZ85" s="20">
        <v>0.1105</v>
      </c>
      <c r="BA85" s="20">
        <v>0.1105</v>
      </c>
      <c r="BB85" s="20">
        <v>0.1105</v>
      </c>
      <c r="BC85" s="20">
        <v>0.1105</v>
      </c>
      <c r="BD85" s="20">
        <v>0.1105</v>
      </c>
      <c r="BE85" s="20">
        <v>0.1105</v>
      </c>
      <c r="BF85" s="20">
        <v>0.1105</v>
      </c>
      <c r="BG85" s="20">
        <v>0.1105</v>
      </c>
      <c r="BH85" s="20">
        <v>0.1105</v>
      </c>
      <c r="BI85" s="20">
        <v>0.1105</v>
      </c>
      <c r="BJ85" s="20">
        <v>0.1105</v>
      </c>
      <c r="BK85" s="20">
        <v>0.1105</v>
      </c>
      <c r="BL85" s="20">
        <v>0.1105</v>
      </c>
      <c r="BM85" s="20">
        <v>0.1105</v>
      </c>
      <c r="BN85" s="20">
        <v>0.1105</v>
      </c>
      <c r="BO85" s="20">
        <v>0.1105</v>
      </c>
      <c r="BP85" s="20">
        <v>0.1105</v>
      </c>
      <c r="BQ85" s="20">
        <v>0.1105</v>
      </c>
      <c r="BR85" s="20">
        <v>0.1105</v>
      </c>
      <c r="BS85" s="20">
        <v>0.1105</v>
      </c>
      <c r="BT85" s="20">
        <v>0.1105</v>
      </c>
      <c r="BU85" s="20">
        <v>0.1105</v>
      </c>
      <c r="BV85" s="20">
        <v>0.1105</v>
      </c>
      <c r="BW85" s="20">
        <v>0.1105</v>
      </c>
      <c r="BX85" s="20">
        <v>0.1105</v>
      </c>
      <c r="BY85" s="20">
        <v>0.1105</v>
      </c>
      <c r="BZ85" s="20">
        <v>0.1105</v>
      </c>
      <c r="CA85" s="20">
        <v>0.1105</v>
      </c>
      <c r="CB85" s="20">
        <v>0.1105</v>
      </c>
      <c r="CC85" s="20">
        <v>0.1105</v>
      </c>
      <c r="CD85" s="20">
        <v>0.1105</v>
      </c>
      <c r="CE85" s="20">
        <v>0.1105</v>
      </c>
      <c r="CF85" s="11">
        <v>1.3260000000000001</v>
      </c>
      <c r="CG85" s="11">
        <v>0.1105</v>
      </c>
      <c r="CH85" s="11">
        <v>0.1105</v>
      </c>
      <c r="CI85" s="11">
        <v>0.1105</v>
      </c>
      <c r="CJ85" s="11">
        <v>0.1105</v>
      </c>
      <c r="CK85" s="11">
        <v>0.1105</v>
      </c>
      <c r="CL85" s="11">
        <v>0.1105</v>
      </c>
      <c r="CM85" s="11">
        <v>0.1105</v>
      </c>
      <c r="CN85" s="11">
        <v>0.1105</v>
      </c>
      <c r="CO85" s="11">
        <v>0.1105</v>
      </c>
      <c r="CP85" s="11">
        <v>0.1105</v>
      </c>
      <c r="CQ85" s="11">
        <v>0.1105</v>
      </c>
      <c r="CR85" s="11">
        <v>0.1105</v>
      </c>
      <c r="CS85" t="str">
        <f>IFERROR(INDEX('Initiative Summary'!$C$5:$C$25,MATCH($A85,'Initiative Summary'!$A$5:$A$25,0)),"")</f>
        <v>Eastbridge Region</v>
      </c>
    </row>
    <row r="86" spans="1:97" ht="24" x14ac:dyDescent="0.25">
      <c r="A86" s="6" t="s">
        <v>674</v>
      </c>
      <c r="B86" s="7" t="s">
        <v>673</v>
      </c>
      <c r="C86" s="8" t="s">
        <v>194</v>
      </c>
      <c r="D86" s="8" t="s">
        <v>204</v>
      </c>
      <c r="E86" s="8" t="s">
        <v>196</v>
      </c>
      <c r="F86" s="8" t="s">
        <v>197</v>
      </c>
      <c r="G86" s="8"/>
      <c r="H86" s="8"/>
      <c r="I86" s="8"/>
      <c r="J86" s="8"/>
      <c r="K86" s="7"/>
      <c r="L86" s="8" t="s">
        <v>726</v>
      </c>
      <c r="M86" s="8" t="s">
        <v>199</v>
      </c>
      <c r="N86" s="21">
        <v>0</v>
      </c>
      <c r="O86" s="8" t="b">
        <v>0</v>
      </c>
      <c r="P86" s="8" t="s">
        <v>201</v>
      </c>
      <c r="Q86" s="8" t="s">
        <v>223</v>
      </c>
      <c r="R86" s="8" t="s">
        <v>223</v>
      </c>
      <c r="S86" s="8"/>
      <c r="T86" s="8"/>
      <c r="U86" s="8"/>
      <c r="V86" s="8"/>
      <c r="W86" s="8"/>
      <c r="X86" s="8">
        <v>0</v>
      </c>
      <c r="Y86" s="8">
        <v>0</v>
      </c>
      <c r="Z86" s="8">
        <v>0</v>
      </c>
      <c r="AA86" s="8">
        <v>0</v>
      </c>
      <c r="AB86" s="8">
        <v>0</v>
      </c>
      <c r="AC86" s="8">
        <v>0</v>
      </c>
      <c r="AD86" s="8">
        <v>0</v>
      </c>
      <c r="AE86" s="8">
        <v>0</v>
      </c>
      <c r="AF86" s="8">
        <v>0</v>
      </c>
      <c r="AG86" s="8">
        <v>0</v>
      </c>
      <c r="AH86" s="8">
        <v>0</v>
      </c>
      <c r="AI86" s="8">
        <v>0</v>
      </c>
      <c r="AJ86" s="8">
        <v>0</v>
      </c>
      <c r="AK86" s="8">
        <v>0</v>
      </c>
      <c r="AL86" s="8">
        <v>0</v>
      </c>
      <c r="AM86" s="8">
        <v>0</v>
      </c>
      <c r="AN86" s="8">
        <v>0</v>
      </c>
      <c r="AO86" s="8">
        <v>0</v>
      </c>
      <c r="AP86" s="8">
        <v>0</v>
      </c>
      <c r="AQ86" s="8">
        <v>0</v>
      </c>
      <c r="AR86" s="8">
        <v>0</v>
      </c>
      <c r="AS86" s="8">
        <v>0</v>
      </c>
      <c r="AT86" s="8">
        <v>0</v>
      </c>
      <c r="AU86" s="8">
        <v>0</v>
      </c>
      <c r="AV86" s="8">
        <v>0</v>
      </c>
      <c r="AW86" s="8">
        <v>0</v>
      </c>
      <c r="AX86" s="8">
        <v>0</v>
      </c>
      <c r="AY86" s="8">
        <v>0</v>
      </c>
      <c r="AZ86" s="8">
        <v>0</v>
      </c>
      <c r="BA86" s="8">
        <v>0</v>
      </c>
      <c r="BB86" s="8">
        <v>0</v>
      </c>
      <c r="BC86" s="8">
        <v>0</v>
      </c>
      <c r="BD86" s="8">
        <v>0</v>
      </c>
      <c r="BE86" s="8">
        <v>0</v>
      </c>
      <c r="BF86" s="8">
        <v>0</v>
      </c>
      <c r="BG86" s="8">
        <v>0</v>
      </c>
      <c r="BH86" s="8">
        <v>0</v>
      </c>
      <c r="BI86" s="8">
        <v>0</v>
      </c>
      <c r="BJ86" s="8">
        <v>0</v>
      </c>
      <c r="BK86" s="8">
        <v>0</v>
      </c>
      <c r="BL86" s="8">
        <v>0</v>
      </c>
      <c r="BM86" s="8">
        <v>0</v>
      </c>
      <c r="BN86" s="8">
        <v>0</v>
      </c>
      <c r="BO86" s="8">
        <v>0</v>
      </c>
      <c r="BP86" s="8">
        <v>0</v>
      </c>
      <c r="BQ86" s="8">
        <v>0</v>
      </c>
      <c r="BR86" s="8">
        <v>0</v>
      </c>
      <c r="BS86" s="8">
        <v>0</v>
      </c>
      <c r="BT86" s="8">
        <v>0</v>
      </c>
      <c r="BU86" s="8">
        <v>0</v>
      </c>
      <c r="BV86" s="8">
        <v>0</v>
      </c>
      <c r="BW86" s="8">
        <v>0</v>
      </c>
      <c r="BX86" s="8">
        <v>0</v>
      </c>
      <c r="BY86" s="8">
        <v>0</v>
      </c>
      <c r="BZ86" s="8">
        <v>0</v>
      </c>
      <c r="CA86" s="8">
        <v>0</v>
      </c>
      <c r="CB86" s="8">
        <v>0</v>
      </c>
      <c r="CC86" s="8">
        <v>0</v>
      </c>
      <c r="CD86" s="8">
        <v>0</v>
      </c>
      <c r="CE86" s="8">
        <v>0</v>
      </c>
      <c r="CF86" s="8">
        <v>0</v>
      </c>
      <c r="CG86" s="8">
        <v>0</v>
      </c>
      <c r="CH86" s="8">
        <v>0</v>
      </c>
      <c r="CI86" s="8">
        <v>0</v>
      </c>
      <c r="CJ86" s="8">
        <v>0</v>
      </c>
      <c r="CK86" s="8">
        <v>0</v>
      </c>
      <c r="CL86" s="8">
        <v>0</v>
      </c>
      <c r="CM86" s="8">
        <v>0</v>
      </c>
      <c r="CN86" s="8">
        <v>0</v>
      </c>
      <c r="CO86" s="8">
        <v>0</v>
      </c>
      <c r="CP86" s="8">
        <v>0</v>
      </c>
      <c r="CQ86" s="8">
        <v>0</v>
      </c>
      <c r="CR86" s="8">
        <v>0</v>
      </c>
      <c r="CS86" t="str">
        <f>IFERROR(INDEX('Initiative Summary'!$C$5:$C$25,MATCH($A86,'Initiative Summary'!$A$5:$A$25,0)),"")</f>
        <v>Eastbridge Region</v>
      </c>
    </row>
    <row r="87" spans="1:97" ht="24" x14ac:dyDescent="0.25">
      <c r="A87" s="6" t="s">
        <v>674</v>
      </c>
      <c r="B87" s="10" t="s">
        <v>673</v>
      </c>
      <c r="C87" s="11" t="s">
        <v>205</v>
      </c>
      <c r="D87" s="11" t="s">
        <v>195</v>
      </c>
      <c r="E87" s="11" t="s">
        <v>206</v>
      </c>
      <c r="F87" s="11" t="s">
        <v>207</v>
      </c>
      <c r="G87" s="11"/>
      <c r="H87" s="11" t="s">
        <v>215</v>
      </c>
      <c r="I87" s="11" t="s">
        <v>216</v>
      </c>
      <c r="J87" s="11"/>
      <c r="K87" s="10"/>
      <c r="L87" s="11" t="s">
        <v>727</v>
      </c>
      <c r="M87" s="11" t="s">
        <v>199</v>
      </c>
      <c r="N87" s="20">
        <v>3</v>
      </c>
      <c r="O87" s="11" t="b">
        <v>0</v>
      </c>
      <c r="P87" s="11" t="s">
        <v>218</v>
      </c>
      <c r="Q87" s="11" t="s">
        <v>223</v>
      </c>
      <c r="R87" s="11" t="s">
        <v>223</v>
      </c>
      <c r="S87" s="11"/>
      <c r="T87" s="11"/>
      <c r="U87" s="11"/>
      <c r="V87" s="11"/>
      <c r="W87" s="11"/>
      <c r="X87" s="11">
        <v>0</v>
      </c>
      <c r="Y87" s="11">
        <v>0</v>
      </c>
      <c r="Z87" s="11">
        <v>0</v>
      </c>
      <c r="AA87" s="11">
        <v>0</v>
      </c>
      <c r="AB87" s="11">
        <v>0</v>
      </c>
      <c r="AC87" s="11">
        <v>0</v>
      </c>
      <c r="AD87" s="11">
        <v>0</v>
      </c>
      <c r="AE87" s="11">
        <v>0</v>
      </c>
      <c r="AF87" s="11">
        <v>0</v>
      </c>
      <c r="AG87" s="11">
        <v>0</v>
      </c>
      <c r="AH87" s="11">
        <v>0</v>
      </c>
      <c r="AI87" s="11">
        <v>0</v>
      </c>
      <c r="AJ87" s="11">
        <v>0</v>
      </c>
      <c r="AK87" s="11">
        <v>0</v>
      </c>
      <c r="AL87" s="11">
        <v>0</v>
      </c>
      <c r="AM87" s="11">
        <v>0</v>
      </c>
      <c r="AN87" s="11">
        <v>0</v>
      </c>
      <c r="AO87" s="11">
        <v>0</v>
      </c>
      <c r="AP87" s="11">
        <v>0</v>
      </c>
      <c r="AQ87" s="11">
        <v>0</v>
      </c>
      <c r="AR87" s="11">
        <v>0</v>
      </c>
      <c r="AS87" s="11">
        <v>0</v>
      </c>
      <c r="AT87" s="11">
        <v>0</v>
      </c>
      <c r="AU87" s="11">
        <v>0</v>
      </c>
      <c r="AV87" s="11">
        <v>0</v>
      </c>
      <c r="AW87" s="11">
        <v>0</v>
      </c>
      <c r="AX87" s="11">
        <v>0</v>
      </c>
      <c r="AY87" s="11">
        <v>0</v>
      </c>
      <c r="AZ87" s="11">
        <v>0</v>
      </c>
      <c r="BA87" s="11">
        <v>0</v>
      </c>
      <c r="BB87" s="11">
        <v>0</v>
      </c>
      <c r="BC87" s="11">
        <v>0</v>
      </c>
      <c r="BD87" s="11">
        <v>0</v>
      </c>
      <c r="BE87" s="11">
        <v>0</v>
      </c>
      <c r="BF87" s="11">
        <v>0</v>
      </c>
      <c r="BG87" s="11">
        <v>0</v>
      </c>
      <c r="BH87" s="11">
        <v>0</v>
      </c>
      <c r="BI87" s="11">
        <v>0</v>
      </c>
      <c r="BJ87" s="11">
        <v>0</v>
      </c>
      <c r="BK87" s="11">
        <v>0</v>
      </c>
      <c r="BL87" s="11">
        <v>0</v>
      </c>
      <c r="BM87" s="11">
        <v>0</v>
      </c>
      <c r="BN87" s="11">
        <v>0</v>
      </c>
      <c r="BO87" s="11">
        <v>0</v>
      </c>
      <c r="BP87" s="11">
        <v>0</v>
      </c>
      <c r="BQ87" s="11">
        <v>0</v>
      </c>
      <c r="BR87" s="11">
        <v>0</v>
      </c>
      <c r="BS87" s="11">
        <v>0</v>
      </c>
      <c r="BT87" s="11">
        <v>0</v>
      </c>
      <c r="BU87" s="11">
        <v>0</v>
      </c>
      <c r="BV87" s="11">
        <v>0</v>
      </c>
      <c r="BW87" s="11">
        <v>0</v>
      </c>
      <c r="BX87" s="11">
        <v>0</v>
      </c>
      <c r="BY87" s="11">
        <v>0</v>
      </c>
      <c r="BZ87" s="11">
        <v>0</v>
      </c>
      <c r="CA87" s="11">
        <v>0</v>
      </c>
      <c r="CB87" s="11">
        <v>0</v>
      </c>
      <c r="CC87" s="11">
        <v>0</v>
      </c>
      <c r="CD87" s="11">
        <v>0</v>
      </c>
      <c r="CE87" s="11">
        <v>0</v>
      </c>
      <c r="CF87" s="11">
        <v>0</v>
      </c>
      <c r="CG87" s="11">
        <v>0</v>
      </c>
      <c r="CH87" s="11">
        <v>0</v>
      </c>
      <c r="CI87" s="11">
        <v>0</v>
      </c>
      <c r="CJ87" s="11">
        <v>0</v>
      </c>
      <c r="CK87" s="11">
        <v>0</v>
      </c>
      <c r="CL87" s="11">
        <v>0</v>
      </c>
      <c r="CM87" s="11">
        <v>0</v>
      </c>
      <c r="CN87" s="11">
        <v>0</v>
      </c>
      <c r="CO87" s="11">
        <v>0</v>
      </c>
      <c r="CP87" s="11">
        <v>0</v>
      </c>
      <c r="CQ87" s="11">
        <v>0</v>
      </c>
      <c r="CR87" s="11">
        <v>0</v>
      </c>
      <c r="CS87" t="str">
        <f>IFERROR(INDEX('Initiative Summary'!$C$5:$C$25,MATCH($A87,'Initiative Summary'!$A$5:$A$25,0)),"")</f>
        <v>Eastbridge Region</v>
      </c>
    </row>
    <row r="88" spans="1:97" ht="24" x14ac:dyDescent="0.25">
      <c r="A88" s="6" t="s">
        <v>674</v>
      </c>
      <c r="B88" s="7" t="s">
        <v>673</v>
      </c>
      <c r="C88" s="8" t="s">
        <v>205</v>
      </c>
      <c r="D88" s="8" t="s">
        <v>203</v>
      </c>
      <c r="E88" s="8" t="s">
        <v>206</v>
      </c>
      <c r="F88" s="8" t="s">
        <v>207</v>
      </c>
      <c r="G88" s="8"/>
      <c r="H88" s="8" t="s">
        <v>215</v>
      </c>
      <c r="I88" s="8" t="s">
        <v>216</v>
      </c>
      <c r="J88" s="8"/>
      <c r="K88" s="7"/>
      <c r="L88" s="8" t="s">
        <v>727</v>
      </c>
      <c r="M88" s="8" t="s">
        <v>199</v>
      </c>
      <c r="N88" s="21">
        <v>3</v>
      </c>
      <c r="O88" s="8" t="b">
        <v>0</v>
      </c>
      <c r="P88" s="8" t="s">
        <v>218</v>
      </c>
      <c r="Q88" s="8" t="s">
        <v>223</v>
      </c>
      <c r="R88" s="8" t="s">
        <v>223</v>
      </c>
      <c r="S88" s="8"/>
      <c r="T88" s="8"/>
      <c r="U88" s="8"/>
      <c r="V88" s="8"/>
      <c r="W88" s="8"/>
      <c r="X88" s="8">
        <v>0</v>
      </c>
      <c r="Y88" s="8">
        <v>0</v>
      </c>
      <c r="Z88" s="8">
        <v>0</v>
      </c>
      <c r="AA88" s="8">
        <v>0</v>
      </c>
      <c r="AB88" s="8">
        <v>0</v>
      </c>
      <c r="AC88" s="8">
        <v>0</v>
      </c>
      <c r="AD88" s="8">
        <v>0</v>
      </c>
      <c r="AE88" s="8">
        <v>0</v>
      </c>
      <c r="AF88" s="8">
        <v>0</v>
      </c>
      <c r="AG88" s="8">
        <v>0</v>
      </c>
      <c r="AH88" s="8">
        <v>0</v>
      </c>
      <c r="AI88" s="8">
        <v>0</v>
      </c>
      <c r="AJ88" s="8">
        <v>0</v>
      </c>
      <c r="AK88" s="8">
        <v>0</v>
      </c>
      <c r="AL88" s="8">
        <v>0</v>
      </c>
      <c r="AM88" s="8">
        <v>0</v>
      </c>
      <c r="AN88" s="8">
        <v>0</v>
      </c>
      <c r="AO88" s="8">
        <v>0</v>
      </c>
      <c r="AP88" s="8">
        <v>0</v>
      </c>
      <c r="AQ88" s="8">
        <v>0</v>
      </c>
      <c r="AR88" s="8">
        <v>0</v>
      </c>
      <c r="AS88" s="8">
        <v>0</v>
      </c>
      <c r="AT88" s="8">
        <v>0</v>
      </c>
      <c r="AU88" s="8">
        <v>0</v>
      </c>
      <c r="AV88" s="8">
        <v>0</v>
      </c>
      <c r="AW88" s="8">
        <v>0</v>
      </c>
      <c r="AX88" s="8">
        <v>0</v>
      </c>
      <c r="AY88" s="8">
        <v>0</v>
      </c>
      <c r="AZ88" s="8">
        <v>0</v>
      </c>
      <c r="BA88" s="8">
        <v>0</v>
      </c>
      <c r="BB88" s="8">
        <v>0</v>
      </c>
      <c r="BC88" s="8">
        <v>0</v>
      </c>
      <c r="BD88" s="8">
        <v>0</v>
      </c>
      <c r="BE88" s="8">
        <v>0</v>
      </c>
      <c r="BF88" s="8">
        <v>0</v>
      </c>
      <c r="BG88" s="8">
        <v>0</v>
      </c>
      <c r="BH88" s="8">
        <v>0</v>
      </c>
      <c r="BI88" s="8">
        <v>0</v>
      </c>
      <c r="BJ88" s="8">
        <v>0</v>
      </c>
      <c r="BK88" s="8">
        <v>0</v>
      </c>
      <c r="BL88" s="8">
        <v>0</v>
      </c>
      <c r="BM88" s="8">
        <v>0</v>
      </c>
      <c r="BN88" s="8">
        <v>0</v>
      </c>
      <c r="BO88" s="8">
        <v>0</v>
      </c>
      <c r="BP88" s="8">
        <v>0</v>
      </c>
      <c r="BQ88" s="8">
        <v>0</v>
      </c>
      <c r="BR88" s="8">
        <v>0</v>
      </c>
      <c r="BS88" s="8">
        <v>0</v>
      </c>
      <c r="BT88" s="8">
        <v>0</v>
      </c>
      <c r="BU88" s="8">
        <v>0</v>
      </c>
      <c r="BV88" s="8">
        <v>0</v>
      </c>
      <c r="BW88" s="8">
        <v>0</v>
      </c>
      <c r="BX88" s="8">
        <v>0</v>
      </c>
      <c r="BY88" s="8">
        <v>0</v>
      </c>
      <c r="BZ88" s="8">
        <v>0</v>
      </c>
      <c r="CA88" s="8">
        <v>0</v>
      </c>
      <c r="CB88" s="8">
        <v>0</v>
      </c>
      <c r="CC88" s="8">
        <v>0</v>
      </c>
      <c r="CD88" s="8">
        <v>0</v>
      </c>
      <c r="CE88" s="8">
        <v>0</v>
      </c>
      <c r="CF88" s="8">
        <v>0</v>
      </c>
      <c r="CG88" s="8">
        <v>0</v>
      </c>
      <c r="CH88" s="8">
        <v>0</v>
      </c>
      <c r="CI88" s="8">
        <v>0</v>
      </c>
      <c r="CJ88" s="8">
        <v>0</v>
      </c>
      <c r="CK88" s="8">
        <v>0</v>
      </c>
      <c r="CL88" s="8">
        <v>0</v>
      </c>
      <c r="CM88" s="8">
        <v>0</v>
      </c>
      <c r="CN88" s="8">
        <v>0</v>
      </c>
      <c r="CO88" s="8">
        <v>0</v>
      </c>
      <c r="CP88" s="8">
        <v>0</v>
      </c>
      <c r="CQ88" s="8">
        <v>0</v>
      </c>
      <c r="CR88" s="8">
        <v>0</v>
      </c>
      <c r="CS88" t="str">
        <f>IFERROR(INDEX('Initiative Summary'!$C$5:$C$25,MATCH($A88,'Initiative Summary'!$A$5:$A$25,0)),"")</f>
        <v>Eastbridge Region</v>
      </c>
    </row>
    <row r="89" spans="1:97" ht="24" x14ac:dyDescent="0.25">
      <c r="A89" s="6" t="s">
        <v>674</v>
      </c>
      <c r="B89" s="10" t="s">
        <v>673</v>
      </c>
      <c r="C89" s="11" t="s">
        <v>205</v>
      </c>
      <c r="D89" s="11" t="s">
        <v>204</v>
      </c>
      <c r="E89" s="11" t="s">
        <v>206</v>
      </c>
      <c r="F89" s="11" t="s">
        <v>207</v>
      </c>
      <c r="G89" s="11"/>
      <c r="H89" s="11" t="s">
        <v>215</v>
      </c>
      <c r="I89" s="11" t="s">
        <v>216</v>
      </c>
      <c r="J89" s="11"/>
      <c r="K89" s="10"/>
      <c r="L89" s="11" t="s">
        <v>727</v>
      </c>
      <c r="M89" s="11" t="s">
        <v>199</v>
      </c>
      <c r="N89" s="20">
        <v>3</v>
      </c>
      <c r="O89" s="11" t="b">
        <v>0</v>
      </c>
      <c r="P89" s="11" t="s">
        <v>218</v>
      </c>
      <c r="Q89" s="11" t="s">
        <v>223</v>
      </c>
      <c r="R89" s="11" t="s">
        <v>223</v>
      </c>
      <c r="S89" s="11"/>
      <c r="T89" s="11"/>
      <c r="U89" s="11"/>
      <c r="V89" s="11"/>
      <c r="W89" s="11"/>
      <c r="X89" s="11">
        <v>0</v>
      </c>
      <c r="Y89" s="11">
        <v>0</v>
      </c>
      <c r="Z89" s="11">
        <v>0</v>
      </c>
      <c r="AA89" s="11">
        <v>0</v>
      </c>
      <c r="AB89" s="11">
        <v>0</v>
      </c>
      <c r="AC89" s="11">
        <v>0</v>
      </c>
      <c r="AD89" s="11">
        <v>0</v>
      </c>
      <c r="AE89" s="11">
        <v>0</v>
      </c>
      <c r="AF89" s="11">
        <v>0</v>
      </c>
      <c r="AG89" s="11">
        <v>0</v>
      </c>
      <c r="AH89" s="11">
        <v>0</v>
      </c>
      <c r="AI89" s="11">
        <v>0</v>
      </c>
      <c r="AJ89" s="11">
        <v>0</v>
      </c>
      <c r="AK89" s="11">
        <v>0</v>
      </c>
      <c r="AL89" s="11">
        <v>0</v>
      </c>
      <c r="AM89" s="11">
        <v>0</v>
      </c>
      <c r="AN89" s="11">
        <v>0</v>
      </c>
      <c r="AO89" s="11">
        <v>0</v>
      </c>
      <c r="AP89" s="11">
        <v>0</v>
      </c>
      <c r="AQ89" s="11">
        <v>0</v>
      </c>
      <c r="AR89" s="11">
        <v>0</v>
      </c>
      <c r="AS89" s="11">
        <v>0</v>
      </c>
      <c r="AT89" s="11">
        <v>0</v>
      </c>
      <c r="AU89" s="11">
        <v>0</v>
      </c>
      <c r="AV89" s="11">
        <v>0</v>
      </c>
      <c r="AW89" s="11">
        <v>0</v>
      </c>
      <c r="AX89" s="11">
        <v>0</v>
      </c>
      <c r="AY89" s="11">
        <v>0</v>
      </c>
      <c r="AZ89" s="11">
        <v>0</v>
      </c>
      <c r="BA89" s="11">
        <v>0</v>
      </c>
      <c r="BB89" s="11">
        <v>0</v>
      </c>
      <c r="BC89" s="11">
        <v>0</v>
      </c>
      <c r="BD89" s="11">
        <v>0</v>
      </c>
      <c r="BE89" s="11">
        <v>0</v>
      </c>
      <c r="BF89" s="11">
        <v>0</v>
      </c>
      <c r="BG89" s="11">
        <v>0</v>
      </c>
      <c r="BH89" s="11">
        <v>0</v>
      </c>
      <c r="BI89" s="11">
        <v>0</v>
      </c>
      <c r="BJ89" s="11">
        <v>0</v>
      </c>
      <c r="BK89" s="11">
        <v>0</v>
      </c>
      <c r="BL89" s="11">
        <v>0</v>
      </c>
      <c r="BM89" s="11">
        <v>0</v>
      </c>
      <c r="BN89" s="11">
        <v>0</v>
      </c>
      <c r="BO89" s="11">
        <v>0</v>
      </c>
      <c r="BP89" s="11">
        <v>0</v>
      </c>
      <c r="BQ89" s="11">
        <v>0</v>
      </c>
      <c r="BR89" s="11">
        <v>0</v>
      </c>
      <c r="BS89" s="11">
        <v>0</v>
      </c>
      <c r="BT89" s="11">
        <v>0</v>
      </c>
      <c r="BU89" s="11">
        <v>0</v>
      </c>
      <c r="BV89" s="11">
        <v>0</v>
      </c>
      <c r="BW89" s="11">
        <v>0</v>
      </c>
      <c r="BX89" s="11">
        <v>0</v>
      </c>
      <c r="BY89" s="11">
        <v>0</v>
      </c>
      <c r="BZ89" s="11">
        <v>0</v>
      </c>
      <c r="CA89" s="11">
        <v>0</v>
      </c>
      <c r="CB89" s="11">
        <v>0</v>
      </c>
      <c r="CC89" s="11">
        <v>0</v>
      </c>
      <c r="CD89" s="11">
        <v>0</v>
      </c>
      <c r="CE89" s="11">
        <v>0</v>
      </c>
      <c r="CF89" s="11">
        <v>0</v>
      </c>
      <c r="CG89" s="11">
        <v>0</v>
      </c>
      <c r="CH89" s="11">
        <v>0</v>
      </c>
      <c r="CI89" s="11">
        <v>0</v>
      </c>
      <c r="CJ89" s="11">
        <v>0</v>
      </c>
      <c r="CK89" s="11">
        <v>0</v>
      </c>
      <c r="CL89" s="11">
        <v>0</v>
      </c>
      <c r="CM89" s="11">
        <v>0</v>
      </c>
      <c r="CN89" s="11">
        <v>0</v>
      </c>
      <c r="CO89" s="11">
        <v>0</v>
      </c>
      <c r="CP89" s="11">
        <v>0</v>
      </c>
      <c r="CQ89" s="11">
        <v>0</v>
      </c>
      <c r="CR89" s="11">
        <v>0</v>
      </c>
      <c r="CS89" t="str">
        <f>IFERROR(INDEX('Initiative Summary'!$C$5:$C$25,MATCH($A89,'Initiative Summary'!$A$5:$A$25,0)),"")</f>
        <v>Eastbridge Region</v>
      </c>
    </row>
    <row r="90" spans="1:97" ht="24" x14ac:dyDescent="0.25">
      <c r="A90" s="6" t="s">
        <v>674</v>
      </c>
      <c r="B90" s="7" t="s">
        <v>673</v>
      </c>
      <c r="C90" s="8" t="s">
        <v>206</v>
      </c>
      <c r="D90" s="8" t="s">
        <v>195</v>
      </c>
      <c r="E90" s="8" t="s">
        <v>206</v>
      </c>
      <c r="F90" s="8" t="s">
        <v>197</v>
      </c>
      <c r="G90" s="8"/>
      <c r="H90" s="8"/>
      <c r="I90" s="8"/>
      <c r="J90" s="8"/>
      <c r="K90" s="7"/>
      <c r="L90" s="8" t="s">
        <v>728</v>
      </c>
      <c r="M90" s="8" t="s">
        <v>199</v>
      </c>
      <c r="N90" s="21">
        <v>100</v>
      </c>
      <c r="O90" s="8" t="b">
        <v>0</v>
      </c>
      <c r="P90" s="8" t="s">
        <v>201</v>
      </c>
      <c r="Q90" s="8" t="s">
        <v>210</v>
      </c>
      <c r="R90" s="8" t="s">
        <v>210</v>
      </c>
      <c r="S90" s="8">
        <v>0</v>
      </c>
      <c r="T90" s="21">
        <v>0.23799999999999999</v>
      </c>
      <c r="U90" s="21">
        <v>0.61199999999999999</v>
      </c>
      <c r="V90" s="21">
        <v>0.61199999999999999</v>
      </c>
      <c r="W90" s="21">
        <v>0.61199999999999999</v>
      </c>
      <c r="X90" s="8">
        <v>0</v>
      </c>
      <c r="Y90" s="8">
        <v>0</v>
      </c>
      <c r="Z90" s="8">
        <v>0</v>
      </c>
      <c r="AA90" s="8">
        <v>0</v>
      </c>
      <c r="AB90" s="8">
        <v>0</v>
      </c>
      <c r="AC90" s="8">
        <v>0</v>
      </c>
      <c r="AD90" s="8">
        <v>0</v>
      </c>
      <c r="AE90" s="8">
        <v>0</v>
      </c>
      <c r="AF90" s="8">
        <v>0</v>
      </c>
      <c r="AG90" s="8">
        <v>0</v>
      </c>
      <c r="AH90" s="8">
        <v>0</v>
      </c>
      <c r="AI90" s="8">
        <v>0</v>
      </c>
      <c r="AJ90" s="21">
        <v>0</v>
      </c>
      <c r="AK90" s="21">
        <v>0</v>
      </c>
      <c r="AL90" s="21">
        <v>0</v>
      </c>
      <c r="AM90" s="21">
        <v>0</v>
      </c>
      <c r="AN90" s="21">
        <v>0</v>
      </c>
      <c r="AO90" s="21">
        <v>0</v>
      </c>
      <c r="AP90" s="21">
        <v>0</v>
      </c>
      <c r="AQ90" s="21">
        <v>0</v>
      </c>
      <c r="AR90" s="21">
        <v>5.9499999999999997E-2</v>
      </c>
      <c r="AS90" s="21">
        <v>5.9499999999999997E-2</v>
      </c>
      <c r="AT90" s="21">
        <v>5.9499999999999997E-2</v>
      </c>
      <c r="AU90" s="21">
        <v>5.9499999999999997E-2</v>
      </c>
      <c r="AV90" s="21">
        <v>5.0999999999999997E-2</v>
      </c>
      <c r="AW90" s="21">
        <v>5.0999999999999997E-2</v>
      </c>
      <c r="AX90" s="21">
        <v>5.0999999999999997E-2</v>
      </c>
      <c r="AY90" s="21">
        <v>5.0999999999999997E-2</v>
      </c>
      <c r="AZ90" s="21">
        <v>5.0999999999999997E-2</v>
      </c>
      <c r="BA90" s="21">
        <v>5.0999999999999997E-2</v>
      </c>
      <c r="BB90" s="21">
        <v>5.0999999999999997E-2</v>
      </c>
      <c r="BC90" s="21">
        <v>5.0999999999999997E-2</v>
      </c>
      <c r="BD90" s="21">
        <v>5.0999999999999997E-2</v>
      </c>
      <c r="BE90" s="21">
        <v>5.0999999999999997E-2</v>
      </c>
      <c r="BF90" s="21">
        <v>5.0999999999999997E-2</v>
      </c>
      <c r="BG90" s="21">
        <v>5.0999999999999997E-2</v>
      </c>
      <c r="BH90" s="21">
        <v>5.0999999999999997E-2</v>
      </c>
      <c r="BI90" s="21">
        <v>5.0999999999999997E-2</v>
      </c>
      <c r="BJ90" s="21">
        <v>5.0999999999999997E-2</v>
      </c>
      <c r="BK90" s="21">
        <v>5.0999999999999997E-2</v>
      </c>
      <c r="BL90" s="21">
        <v>5.0999999999999997E-2</v>
      </c>
      <c r="BM90" s="21">
        <v>5.0999999999999997E-2</v>
      </c>
      <c r="BN90" s="21">
        <v>5.0999999999999997E-2</v>
      </c>
      <c r="BO90" s="21">
        <v>5.0999999999999997E-2</v>
      </c>
      <c r="BP90" s="21">
        <v>5.0999999999999997E-2</v>
      </c>
      <c r="BQ90" s="21">
        <v>5.0999999999999997E-2</v>
      </c>
      <c r="BR90" s="21">
        <v>5.0999999999999997E-2</v>
      </c>
      <c r="BS90" s="21">
        <v>5.0999999999999997E-2</v>
      </c>
      <c r="BT90" s="21">
        <v>5.0999999999999997E-2</v>
      </c>
      <c r="BU90" s="21">
        <v>5.0999999999999997E-2</v>
      </c>
      <c r="BV90" s="21">
        <v>5.0999999999999997E-2</v>
      </c>
      <c r="BW90" s="21">
        <v>5.0999999999999997E-2</v>
      </c>
      <c r="BX90" s="21">
        <v>5.0999999999999997E-2</v>
      </c>
      <c r="BY90" s="21">
        <v>5.0999999999999997E-2</v>
      </c>
      <c r="BZ90" s="21">
        <v>5.0999999999999997E-2</v>
      </c>
      <c r="CA90" s="21">
        <v>5.0999999999999997E-2</v>
      </c>
      <c r="CB90" s="21">
        <v>5.0999999999999997E-2</v>
      </c>
      <c r="CC90" s="21">
        <v>5.0999999999999997E-2</v>
      </c>
      <c r="CD90" s="21">
        <v>5.0999999999999997E-2</v>
      </c>
      <c r="CE90" s="21">
        <v>5.0999999999999997E-2</v>
      </c>
      <c r="CF90" s="8">
        <v>0.61199999999999999</v>
      </c>
      <c r="CG90" s="8">
        <v>5.0999999999999997E-2</v>
      </c>
      <c r="CH90" s="8">
        <v>5.0999999999999997E-2</v>
      </c>
      <c r="CI90" s="8">
        <v>5.0999999999999997E-2</v>
      </c>
      <c r="CJ90" s="8">
        <v>5.0999999999999997E-2</v>
      </c>
      <c r="CK90" s="8">
        <v>5.0999999999999997E-2</v>
      </c>
      <c r="CL90" s="8">
        <v>5.0999999999999997E-2</v>
      </c>
      <c r="CM90" s="8">
        <v>5.0999999999999997E-2</v>
      </c>
      <c r="CN90" s="8">
        <v>5.0999999999999997E-2</v>
      </c>
      <c r="CO90" s="8">
        <v>5.0999999999999997E-2</v>
      </c>
      <c r="CP90" s="8">
        <v>5.0999999999999997E-2</v>
      </c>
      <c r="CQ90" s="8">
        <v>5.0999999999999997E-2</v>
      </c>
      <c r="CR90" s="8">
        <v>5.0999999999999997E-2</v>
      </c>
      <c r="CS90" t="str">
        <f>IFERROR(INDEX('Initiative Summary'!$C$5:$C$25,MATCH($A90,'Initiative Summary'!$A$5:$A$25,0)),"")</f>
        <v>Eastbridge Region</v>
      </c>
    </row>
    <row r="91" spans="1:97" ht="24" x14ac:dyDescent="0.25">
      <c r="A91" s="6" t="s">
        <v>674</v>
      </c>
      <c r="B91" s="10" t="s">
        <v>673</v>
      </c>
      <c r="C91" s="11" t="s">
        <v>206</v>
      </c>
      <c r="D91" s="11" t="s">
        <v>203</v>
      </c>
      <c r="E91" s="11" t="s">
        <v>206</v>
      </c>
      <c r="F91" s="11" t="s">
        <v>197</v>
      </c>
      <c r="G91" s="11"/>
      <c r="H91" s="11"/>
      <c r="I91" s="11"/>
      <c r="J91" s="11"/>
      <c r="K91" s="10"/>
      <c r="L91" s="11" t="s">
        <v>728</v>
      </c>
      <c r="M91" s="11" t="s">
        <v>199</v>
      </c>
      <c r="N91" s="20">
        <v>100</v>
      </c>
      <c r="O91" s="11" t="b">
        <v>0</v>
      </c>
      <c r="P91" s="11" t="s">
        <v>201</v>
      </c>
      <c r="Q91" s="11" t="s">
        <v>210</v>
      </c>
      <c r="R91" s="11" t="s">
        <v>210</v>
      </c>
      <c r="S91" s="11">
        <v>0</v>
      </c>
      <c r="T91" s="20">
        <v>0.30599999999999999</v>
      </c>
      <c r="U91" s="20">
        <v>0.86699999999999999</v>
      </c>
      <c r="V91" s="20">
        <v>0.86699999999999999</v>
      </c>
      <c r="W91" s="20">
        <v>0.86699999999999999</v>
      </c>
      <c r="X91" s="11">
        <v>0</v>
      </c>
      <c r="Y91" s="11">
        <v>0</v>
      </c>
      <c r="Z91" s="11">
        <v>0</v>
      </c>
      <c r="AA91" s="11">
        <v>0</v>
      </c>
      <c r="AB91" s="11">
        <v>0</v>
      </c>
      <c r="AC91" s="11">
        <v>0</v>
      </c>
      <c r="AD91" s="11">
        <v>0</v>
      </c>
      <c r="AE91" s="11">
        <v>0</v>
      </c>
      <c r="AF91" s="11">
        <v>0</v>
      </c>
      <c r="AG91" s="11">
        <v>0</v>
      </c>
      <c r="AH91" s="11">
        <v>0</v>
      </c>
      <c r="AI91" s="11">
        <v>0</v>
      </c>
      <c r="AJ91" s="20">
        <v>0</v>
      </c>
      <c r="AK91" s="20">
        <v>0</v>
      </c>
      <c r="AL91" s="20">
        <v>0</v>
      </c>
      <c r="AM91" s="20">
        <v>0</v>
      </c>
      <c r="AN91" s="20">
        <v>0</v>
      </c>
      <c r="AO91" s="20">
        <v>0</v>
      </c>
      <c r="AP91" s="20">
        <v>0</v>
      </c>
      <c r="AQ91" s="20">
        <v>0</v>
      </c>
      <c r="AR91" s="20">
        <v>7.6499999999999999E-2</v>
      </c>
      <c r="AS91" s="20">
        <v>7.6499999999999999E-2</v>
      </c>
      <c r="AT91" s="20">
        <v>7.6499999999999999E-2</v>
      </c>
      <c r="AU91" s="20">
        <v>7.6499999999999999E-2</v>
      </c>
      <c r="AV91" s="20">
        <v>7.2249999999999995E-2</v>
      </c>
      <c r="AW91" s="20">
        <v>7.2249999999999995E-2</v>
      </c>
      <c r="AX91" s="20">
        <v>7.2249999999999995E-2</v>
      </c>
      <c r="AY91" s="20">
        <v>7.2249999999999995E-2</v>
      </c>
      <c r="AZ91" s="20">
        <v>7.2249999999999995E-2</v>
      </c>
      <c r="BA91" s="20">
        <v>7.2249999999999995E-2</v>
      </c>
      <c r="BB91" s="20">
        <v>7.2249999999999995E-2</v>
      </c>
      <c r="BC91" s="20">
        <v>7.2249999999999995E-2</v>
      </c>
      <c r="BD91" s="20">
        <v>7.2249999999999995E-2</v>
      </c>
      <c r="BE91" s="20">
        <v>7.2249999999999995E-2</v>
      </c>
      <c r="BF91" s="20">
        <v>7.2249999999999995E-2</v>
      </c>
      <c r="BG91" s="20">
        <v>7.2249999999999995E-2</v>
      </c>
      <c r="BH91" s="20">
        <v>7.2249999999999995E-2</v>
      </c>
      <c r="BI91" s="20">
        <v>7.2249999999999995E-2</v>
      </c>
      <c r="BJ91" s="20">
        <v>7.2249999999999995E-2</v>
      </c>
      <c r="BK91" s="20">
        <v>7.2249999999999995E-2</v>
      </c>
      <c r="BL91" s="20">
        <v>7.2249999999999995E-2</v>
      </c>
      <c r="BM91" s="20">
        <v>7.2249999999999995E-2</v>
      </c>
      <c r="BN91" s="20">
        <v>7.2249999999999995E-2</v>
      </c>
      <c r="BO91" s="20">
        <v>7.2249999999999995E-2</v>
      </c>
      <c r="BP91" s="20">
        <v>7.2249999999999995E-2</v>
      </c>
      <c r="BQ91" s="20">
        <v>7.2249999999999995E-2</v>
      </c>
      <c r="BR91" s="20">
        <v>7.2249999999999995E-2</v>
      </c>
      <c r="BS91" s="20">
        <v>7.2249999999999995E-2</v>
      </c>
      <c r="BT91" s="20">
        <v>7.2249999999999995E-2</v>
      </c>
      <c r="BU91" s="20">
        <v>7.2249999999999995E-2</v>
      </c>
      <c r="BV91" s="20">
        <v>7.2249999999999995E-2</v>
      </c>
      <c r="BW91" s="20">
        <v>7.2249999999999995E-2</v>
      </c>
      <c r="BX91" s="20">
        <v>7.2249999999999995E-2</v>
      </c>
      <c r="BY91" s="20">
        <v>7.2249999999999995E-2</v>
      </c>
      <c r="BZ91" s="20">
        <v>7.2249999999999995E-2</v>
      </c>
      <c r="CA91" s="20">
        <v>7.2249999999999995E-2</v>
      </c>
      <c r="CB91" s="20">
        <v>7.2249999999999995E-2</v>
      </c>
      <c r="CC91" s="20">
        <v>7.2249999999999995E-2</v>
      </c>
      <c r="CD91" s="20">
        <v>7.2249999999999995E-2</v>
      </c>
      <c r="CE91" s="20">
        <v>7.2249999999999995E-2</v>
      </c>
      <c r="CF91" s="11">
        <v>0.86699999999999999</v>
      </c>
      <c r="CG91" s="11">
        <v>7.2249999999999995E-2</v>
      </c>
      <c r="CH91" s="11">
        <v>7.2249999999999995E-2</v>
      </c>
      <c r="CI91" s="11">
        <v>7.2249999999999995E-2</v>
      </c>
      <c r="CJ91" s="11">
        <v>7.2249999999999995E-2</v>
      </c>
      <c r="CK91" s="11">
        <v>7.2249999999999995E-2</v>
      </c>
      <c r="CL91" s="11">
        <v>7.2249999999999995E-2</v>
      </c>
      <c r="CM91" s="11">
        <v>7.2249999999999995E-2</v>
      </c>
      <c r="CN91" s="11">
        <v>7.2249999999999995E-2</v>
      </c>
      <c r="CO91" s="11">
        <v>7.2249999999999995E-2</v>
      </c>
      <c r="CP91" s="11">
        <v>7.2249999999999995E-2</v>
      </c>
      <c r="CQ91" s="11">
        <v>7.2249999999999995E-2</v>
      </c>
      <c r="CR91" s="11">
        <v>7.2249999999999995E-2</v>
      </c>
      <c r="CS91" t="str">
        <f>IFERROR(INDEX('Initiative Summary'!$C$5:$C$25,MATCH($A91,'Initiative Summary'!$A$5:$A$25,0)),"")</f>
        <v>Eastbridge Region</v>
      </c>
    </row>
    <row r="92" spans="1:97" ht="24" x14ac:dyDescent="0.25">
      <c r="A92" s="6" t="s">
        <v>674</v>
      </c>
      <c r="B92" s="7" t="s">
        <v>673</v>
      </c>
      <c r="C92" s="8" t="s">
        <v>206</v>
      </c>
      <c r="D92" s="8" t="s">
        <v>204</v>
      </c>
      <c r="E92" s="8" t="s">
        <v>206</v>
      </c>
      <c r="F92" s="8" t="s">
        <v>197</v>
      </c>
      <c r="G92" s="8"/>
      <c r="H92" s="8"/>
      <c r="I92" s="8"/>
      <c r="J92" s="8"/>
      <c r="K92" s="7"/>
      <c r="L92" s="8" t="s">
        <v>728</v>
      </c>
      <c r="M92" s="8" t="s">
        <v>199</v>
      </c>
      <c r="N92" s="21">
        <v>100</v>
      </c>
      <c r="O92" s="8" t="b">
        <v>0</v>
      </c>
      <c r="P92" s="8" t="s">
        <v>201</v>
      </c>
      <c r="Q92" s="8" t="s">
        <v>210</v>
      </c>
      <c r="R92" s="8" t="s">
        <v>210</v>
      </c>
      <c r="S92" s="8"/>
      <c r="T92" s="8"/>
      <c r="U92" s="8"/>
      <c r="V92" s="8"/>
      <c r="W92" s="8"/>
      <c r="X92" s="8">
        <v>0</v>
      </c>
      <c r="Y92" s="8">
        <v>0</v>
      </c>
      <c r="Z92" s="8">
        <v>0</v>
      </c>
      <c r="AA92" s="8">
        <v>0</v>
      </c>
      <c r="AB92" s="8">
        <v>0</v>
      </c>
      <c r="AC92" s="8">
        <v>0</v>
      </c>
      <c r="AD92" s="8">
        <v>0</v>
      </c>
      <c r="AE92" s="8">
        <v>0</v>
      </c>
      <c r="AF92" s="8">
        <v>0</v>
      </c>
      <c r="AG92" s="8">
        <v>0</v>
      </c>
      <c r="AH92" s="8">
        <v>0</v>
      </c>
      <c r="AI92" s="8">
        <v>0</v>
      </c>
      <c r="AJ92" s="8">
        <v>0</v>
      </c>
      <c r="AK92" s="8">
        <v>0</v>
      </c>
      <c r="AL92" s="8">
        <v>0</v>
      </c>
      <c r="AM92" s="8">
        <v>0</v>
      </c>
      <c r="AN92" s="8">
        <v>0</v>
      </c>
      <c r="AO92" s="8">
        <v>0</v>
      </c>
      <c r="AP92" s="8">
        <v>0</v>
      </c>
      <c r="AQ92" s="8">
        <v>0</v>
      </c>
      <c r="AR92" s="8">
        <v>0</v>
      </c>
      <c r="AS92" s="8">
        <v>0</v>
      </c>
      <c r="AT92" s="8">
        <v>0</v>
      </c>
      <c r="AU92" s="8">
        <v>0</v>
      </c>
      <c r="AV92" s="8">
        <v>0</v>
      </c>
      <c r="AW92" s="8">
        <v>0</v>
      </c>
      <c r="AX92" s="8">
        <v>0</v>
      </c>
      <c r="AY92" s="8">
        <v>0</v>
      </c>
      <c r="AZ92" s="8">
        <v>0</v>
      </c>
      <c r="BA92" s="8">
        <v>0</v>
      </c>
      <c r="BB92" s="8">
        <v>0</v>
      </c>
      <c r="BC92" s="8">
        <v>0</v>
      </c>
      <c r="BD92" s="8">
        <v>0</v>
      </c>
      <c r="BE92" s="8">
        <v>0</v>
      </c>
      <c r="BF92" s="8">
        <v>0</v>
      </c>
      <c r="BG92" s="8">
        <v>0</v>
      </c>
      <c r="BH92" s="8">
        <v>0</v>
      </c>
      <c r="BI92" s="8">
        <v>0</v>
      </c>
      <c r="BJ92" s="8">
        <v>0</v>
      </c>
      <c r="BK92" s="8">
        <v>0</v>
      </c>
      <c r="BL92" s="8">
        <v>0</v>
      </c>
      <c r="BM92" s="8">
        <v>0</v>
      </c>
      <c r="BN92" s="8">
        <v>0</v>
      </c>
      <c r="BO92" s="8">
        <v>0</v>
      </c>
      <c r="BP92" s="8">
        <v>0</v>
      </c>
      <c r="BQ92" s="8">
        <v>0</v>
      </c>
      <c r="BR92" s="8">
        <v>0</v>
      </c>
      <c r="BS92" s="8">
        <v>0</v>
      </c>
      <c r="BT92" s="8">
        <v>0</v>
      </c>
      <c r="BU92" s="8">
        <v>0</v>
      </c>
      <c r="BV92" s="8">
        <v>0</v>
      </c>
      <c r="BW92" s="8">
        <v>0</v>
      </c>
      <c r="BX92" s="8">
        <v>0</v>
      </c>
      <c r="BY92" s="8">
        <v>0</v>
      </c>
      <c r="BZ92" s="8">
        <v>0</v>
      </c>
      <c r="CA92" s="8">
        <v>0</v>
      </c>
      <c r="CB92" s="8">
        <v>0</v>
      </c>
      <c r="CC92" s="8">
        <v>0</v>
      </c>
      <c r="CD92" s="8">
        <v>0</v>
      </c>
      <c r="CE92" s="8">
        <v>0</v>
      </c>
      <c r="CF92" s="8">
        <v>0</v>
      </c>
      <c r="CG92" s="8">
        <v>0</v>
      </c>
      <c r="CH92" s="8">
        <v>0</v>
      </c>
      <c r="CI92" s="8">
        <v>0</v>
      </c>
      <c r="CJ92" s="8">
        <v>0</v>
      </c>
      <c r="CK92" s="8">
        <v>0</v>
      </c>
      <c r="CL92" s="8">
        <v>0</v>
      </c>
      <c r="CM92" s="8">
        <v>0</v>
      </c>
      <c r="CN92" s="8">
        <v>0</v>
      </c>
      <c r="CO92" s="8">
        <v>0</v>
      </c>
      <c r="CP92" s="8">
        <v>0</v>
      </c>
      <c r="CQ92" s="8">
        <v>0</v>
      </c>
      <c r="CR92" s="8">
        <v>0</v>
      </c>
      <c r="CS92" t="str">
        <f>IFERROR(INDEX('Initiative Summary'!$C$5:$C$25,MATCH($A92,'Initiative Summary'!$A$5:$A$25,0)),"")</f>
        <v>Eastbridge Region</v>
      </c>
    </row>
    <row r="93" spans="1:97" ht="24" x14ac:dyDescent="0.25">
      <c r="A93" s="6" t="s">
        <v>678</v>
      </c>
      <c r="B93" s="7" t="s">
        <v>677</v>
      </c>
      <c r="C93" s="8" t="s">
        <v>194</v>
      </c>
      <c r="D93" s="8" t="s">
        <v>195</v>
      </c>
      <c r="E93" s="8" t="s">
        <v>196</v>
      </c>
      <c r="F93" s="8" t="s">
        <v>197</v>
      </c>
      <c r="G93" s="8"/>
      <c r="H93" s="8"/>
      <c r="I93" s="8"/>
      <c r="J93" s="8"/>
      <c r="K93" s="7"/>
      <c r="L93" s="8" t="s">
        <v>729</v>
      </c>
      <c r="M93" s="8" t="s">
        <v>199</v>
      </c>
      <c r="N93" s="21">
        <v>0</v>
      </c>
      <c r="O93" s="8" t="b">
        <v>0</v>
      </c>
      <c r="P93" s="8" t="s">
        <v>201</v>
      </c>
      <c r="Q93" s="8" t="s">
        <v>212</v>
      </c>
      <c r="R93" s="8" t="s">
        <v>212</v>
      </c>
      <c r="S93" s="8">
        <v>0</v>
      </c>
      <c r="T93" s="21">
        <v>0</v>
      </c>
      <c r="U93" s="21">
        <v>0</v>
      </c>
      <c r="V93" s="21">
        <v>0</v>
      </c>
      <c r="W93" s="21">
        <v>0</v>
      </c>
      <c r="X93" s="8">
        <v>0</v>
      </c>
      <c r="Y93" s="8">
        <v>0</v>
      </c>
      <c r="Z93" s="8">
        <v>0</v>
      </c>
      <c r="AA93" s="8">
        <v>0</v>
      </c>
      <c r="AB93" s="8">
        <v>0</v>
      </c>
      <c r="AC93" s="8">
        <v>0</v>
      </c>
      <c r="AD93" s="8">
        <v>0</v>
      </c>
      <c r="AE93" s="8">
        <v>0</v>
      </c>
      <c r="AF93" s="8">
        <v>0</v>
      </c>
      <c r="AG93" s="8">
        <v>0</v>
      </c>
      <c r="AH93" s="8">
        <v>0</v>
      </c>
      <c r="AI93" s="8">
        <v>0</v>
      </c>
      <c r="AJ93" s="21">
        <v>0</v>
      </c>
      <c r="AK93" s="21">
        <v>0</v>
      </c>
      <c r="AL93" s="21">
        <v>0</v>
      </c>
      <c r="AM93" s="21">
        <v>0</v>
      </c>
      <c r="AN93" s="21">
        <v>0</v>
      </c>
      <c r="AO93" s="21">
        <v>0</v>
      </c>
      <c r="AP93" s="21">
        <v>0</v>
      </c>
      <c r="AQ93" s="21">
        <v>0</v>
      </c>
      <c r="AR93" s="21">
        <v>0</v>
      </c>
      <c r="AS93" s="21">
        <v>0</v>
      </c>
      <c r="AT93" s="21">
        <v>0</v>
      </c>
      <c r="AU93" s="21">
        <v>0</v>
      </c>
      <c r="AV93" s="21">
        <v>0</v>
      </c>
      <c r="AW93" s="21">
        <v>0</v>
      </c>
      <c r="AX93" s="21">
        <v>0</v>
      </c>
      <c r="AY93" s="21">
        <v>0</v>
      </c>
      <c r="AZ93" s="21">
        <v>0</v>
      </c>
      <c r="BA93" s="21">
        <v>0</v>
      </c>
      <c r="BB93" s="21">
        <v>0</v>
      </c>
      <c r="BC93" s="21">
        <v>0</v>
      </c>
      <c r="BD93" s="21">
        <v>0</v>
      </c>
      <c r="BE93" s="21">
        <v>0</v>
      </c>
      <c r="BF93" s="21">
        <v>0</v>
      </c>
      <c r="BG93" s="21">
        <v>0</v>
      </c>
      <c r="BH93" s="21">
        <v>0</v>
      </c>
      <c r="BI93" s="21">
        <v>0</v>
      </c>
      <c r="BJ93" s="21">
        <v>0</v>
      </c>
      <c r="BK93" s="21">
        <v>0</v>
      </c>
      <c r="BL93" s="21">
        <v>0</v>
      </c>
      <c r="BM93" s="21">
        <v>0</v>
      </c>
      <c r="BN93" s="21">
        <v>0</v>
      </c>
      <c r="BO93" s="21">
        <v>0</v>
      </c>
      <c r="BP93" s="21">
        <v>0</v>
      </c>
      <c r="BQ93" s="21">
        <v>0</v>
      </c>
      <c r="BR93" s="21">
        <v>0</v>
      </c>
      <c r="BS93" s="21">
        <v>0</v>
      </c>
      <c r="BT93" s="21">
        <v>0</v>
      </c>
      <c r="BU93" s="21">
        <v>0</v>
      </c>
      <c r="BV93" s="21">
        <v>0</v>
      </c>
      <c r="BW93" s="21">
        <v>0</v>
      </c>
      <c r="BX93" s="21">
        <v>0</v>
      </c>
      <c r="BY93" s="21">
        <v>0</v>
      </c>
      <c r="BZ93" s="21">
        <v>0</v>
      </c>
      <c r="CA93" s="21">
        <v>0</v>
      </c>
      <c r="CB93" s="21">
        <v>0</v>
      </c>
      <c r="CC93" s="21">
        <v>0</v>
      </c>
      <c r="CD93" s="21">
        <v>0</v>
      </c>
      <c r="CE93" s="21">
        <v>0</v>
      </c>
      <c r="CF93" s="8">
        <v>0</v>
      </c>
      <c r="CG93" s="8">
        <v>0</v>
      </c>
      <c r="CH93" s="8">
        <v>0</v>
      </c>
      <c r="CI93" s="8">
        <v>0</v>
      </c>
      <c r="CJ93" s="8">
        <v>0</v>
      </c>
      <c r="CK93" s="8">
        <v>0</v>
      </c>
      <c r="CL93" s="8">
        <v>0</v>
      </c>
      <c r="CM93" s="8">
        <v>0</v>
      </c>
      <c r="CN93" s="8">
        <v>0</v>
      </c>
      <c r="CO93" s="8">
        <v>0</v>
      </c>
      <c r="CP93" s="8">
        <v>0</v>
      </c>
      <c r="CQ93" s="8">
        <v>0</v>
      </c>
      <c r="CR93" s="8">
        <v>0</v>
      </c>
      <c r="CS93" t="str">
        <f>IFERROR(INDEX('Initiative Summary'!$C$5:$C$25,MATCH($A93,'Initiative Summary'!$A$5:$A$25,0)),"")</f>
        <v>Eastbridge Region</v>
      </c>
    </row>
    <row r="94" spans="1:97" ht="24" x14ac:dyDescent="0.25">
      <c r="A94" s="6" t="s">
        <v>678</v>
      </c>
      <c r="B94" s="10" t="s">
        <v>677</v>
      </c>
      <c r="C94" s="11" t="s">
        <v>194</v>
      </c>
      <c r="D94" s="11" t="s">
        <v>203</v>
      </c>
      <c r="E94" s="11" t="s">
        <v>196</v>
      </c>
      <c r="F94" s="11" t="s">
        <v>197</v>
      </c>
      <c r="G94" s="11"/>
      <c r="H94" s="11"/>
      <c r="I94" s="11"/>
      <c r="J94" s="11"/>
      <c r="K94" s="10"/>
      <c r="L94" s="11" t="s">
        <v>729</v>
      </c>
      <c r="M94" s="11" t="s">
        <v>199</v>
      </c>
      <c r="N94" s="20">
        <v>0</v>
      </c>
      <c r="O94" s="11" t="b">
        <v>0</v>
      </c>
      <c r="P94" s="11" t="s">
        <v>201</v>
      </c>
      <c r="Q94" s="11" t="s">
        <v>212</v>
      </c>
      <c r="R94" s="11" t="s">
        <v>212</v>
      </c>
      <c r="S94" s="11">
        <v>0</v>
      </c>
      <c r="T94" s="20">
        <v>0</v>
      </c>
      <c r="U94" s="20">
        <v>0</v>
      </c>
      <c r="V94" s="20">
        <v>0</v>
      </c>
      <c r="W94" s="20">
        <v>0</v>
      </c>
      <c r="X94" s="11">
        <v>0</v>
      </c>
      <c r="Y94" s="11">
        <v>0</v>
      </c>
      <c r="Z94" s="11">
        <v>0</v>
      </c>
      <c r="AA94" s="11">
        <v>0</v>
      </c>
      <c r="AB94" s="11">
        <v>0</v>
      </c>
      <c r="AC94" s="11">
        <v>0</v>
      </c>
      <c r="AD94" s="11">
        <v>0</v>
      </c>
      <c r="AE94" s="11">
        <v>0</v>
      </c>
      <c r="AF94" s="11">
        <v>0</v>
      </c>
      <c r="AG94" s="11">
        <v>0</v>
      </c>
      <c r="AH94" s="11">
        <v>0</v>
      </c>
      <c r="AI94" s="11">
        <v>0</v>
      </c>
      <c r="AJ94" s="20">
        <v>0</v>
      </c>
      <c r="AK94" s="20">
        <v>0</v>
      </c>
      <c r="AL94" s="20">
        <v>0</v>
      </c>
      <c r="AM94" s="20">
        <v>0</v>
      </c>
      <c r="AN94" s="20">
        <v>0</v>
      </c>
      <c r="AO94" s="20">
        <v>0</v>
      </c>
      <c r="AP94" s="20">
        <v>0</v>
      </c>
      <c r="AQ94" s="20">
        <v>0</v>
      </c>
      <c r="AR94" s="20">
        <v>0</v>
      </c>
      <c r="AS94" s="20">
        <v>0</v>
      </c>
      <c r="AT94" s="20">
        <v>0</v>
      </c>
      <c r="AU94" s="20">
        <v>0</v>
      </c>
      <c r="AV94" s="20">
        <v>0</v>
      </c>
      <c r="AW94" s="20">
        <v>0</v>
      </c>
      <c r="AX94" s="20">
        <v>0</v>
      </c>
      <c r="AY94" s="20">
        <v>0</v>
      </c>
      <c r="AZ94" s="20">
        <v>0</v>
      </c>
      <c r="BA94" s="20">
        <v>0</v>
      </c>
      <c r="BB94" s="20">
        <v>0</v>
      </c>
      <c r="BC94" s="20">
        <v>0</v>
      </c>
      <c r="BD94" s="20">
        <v>0</v>
      </c>
      <c r="BE94" s="20">
        <v>0</v>
      </c>
      <c r="BF94" s="20">
        <v>0</v>
      </c>
      <c r="BG94" s="20">
        <v>0</v>
      </c>
      <c r="BH94" s="20">
        <v>0</v>
      </c>
      <c r="BI94" s="20">
        <v>0</v>
      </c>
      <c r="BJ94" s="20">
        <v>0</v>
      </c>
      <c r="BK94" s="20">
        <v>0</v>
      </c>
      <c r="BL94" s="20">
        <v>0</v>
      </c>
      <c r="BM94" s="20">
        <v>0</v>
      </c>
      <c r="BN94" s="20">
        <v>0</v>
      </c>
      <c r="BO94" s="20">
        <v>0</v>
      </c>
      <c r="BP94" s="20">
        <v>0</v>
      </c>
      <c r="BQ94" s="20">
        <v>0</v>
      </c>
      <c r="BR94" s="20">
        <v>0</v>
      </c>
      <c r="BS94" s="20">
        <v>0</v>
      </c>
      <c r="BT94" s="20">
        <v>0</v>
      </c>
      <c r="BU94" s="20">
        <v>0</v>
      </c>
      <c r="BV94" s="20">
        <v>0</v>
      </c>
      <c r="BW94" s="20">
        <v>0</v>
      </c>
      <c r="BX94" s="20">
        <v>0</v>
      </c>
      <c r="BY94" s="20">
        <v>0</v>
      </c>
      <c r="BZ94" s="20">
        <v>0</v>
      </c>
      <c r="CA94" s="20">
        <v>0</v>
      </c>
      <c r="CB94" s="20">
        <v>0</v>
      </c>
      <c r="CC94" s="20">
        <v>0</v>
      </c>
      <c r="CD94" s="20">
        <v>0</v>
      </c>
      <c r="CE94" s="20">
        <v>0</v>
      </c>
      <c r="CF94" s="11">
        <v>0</v>
      </c>
      <c r="CG94" s="11">
        <v>0</v>
      </c>
      <c r="CH94" s="11">
        <v>0</v>
      </c>
      <c r="CI94" s="11">
        <v>0</v>
      </c>
      <c r="CJ94" s="11">
        <v>0</v>
      </c>
      <c r="CK94" s="11">
        <v>0</v>
      </c>
      <c r="CL94" s="11">
        <v>0</v>
      </c>
      <c r="CM94" s="11">
        <v>0</v>
      </c>
      <c r="CN94" s="11">
        <v>0</v>
      </c>
      <c r="CO94" s="11">
        <v>0</v>
      </c>
      <c r="CP94" s="11">
        <v>0</v>
      </c>
      <c r="CQ94" s="11">
        <v>0</v>
      </c>
      <c r="CR94" s="11">
        <v>0</v>
      </c>
      <c r="CS94" t="str">
        <f>IFERROR(INDEX('Initiative Summary'!$C$5:$C$25,MATCH($A94,'Initiative Summary'!$A$5:$A$25,0)),"")</f>
        <v>Eastbridge Region</v>
      </c>
    </row>
    <row r="95" spans="1:97" ht="24" x14ac:dyDescent="0.25">
      <c r="A95" s="6" t="s">
        <v>678</v>
      </c>
      <c r="B95" s="7" t="s">
        <v>677</v>
      </c>
      <c r="C95" s="8" t="s">
        <v>194</v>
      </c>
      <c r="D95" s="8" t="s">
        <v>204</v>
      </c>
      <c r="E95" s="8" t="s">
        <v>196</v>
      </c>
      <c r="F95" s="8" t="s">
        <v>197</v>
      </c>
      <c r="G95" s="8"/>
      <c r="H95" s="8"/>
      <c r="I95" s="8"/>
      <c r="J95" s="8"/>
      <c r="K95" s="7"/>
      <c r="L95" s="8" t="s">
        <v>729</v>
      </c>
      <c r="M95" s="8" t="s">
        <v>199</v>
      </c>
      <c r="N95" s="21">
        <v>0</v>
      </c>
      <c r="O95" s="8" t="b">
        <v>0</v>
      </c>
      <c r="P95" s="8" t="s">
        <v>201</v>
      </c>
      <c r="Q95" s="8" t="s">
        <v>212</v>
      </c>
      <c r="R95" s="8" t="s">
        <v>212</v>
      </c>
      <c r="S95" s="8">
        <v>0</v>
      </c>
      <c r="T95" s="8">
        <v>0</v>
      </c>
      <c r="U95" s="8">
        <v>0</v>
      </c>
      <c r="V95" s="8">
        <v>0</v>
      </c>
      <c r="W95" s="8">
        <v>0</v>
      </c>
      <c r="X95" s="8">
        <v>0</v>
      </c>
      <c r="Y95" s="8">
        <v>0</v>
      </c>
      <c r="Z95" s="8">
        <v>0</v>
      </c>
      <c r="AA95" s="8">
        <v>0</v>
      </c>
      <c r="AB95" s="8">
        <v>0</v>
      </c>
      <c r="AC95" s="8">
        <v>0</v>
      </c>
      <c r="AD95" s="8">
        <v>0</v>
      </c>
      <c r="AE95" s="8">
        <v>0</v>
      </c>
      <c r="AF95" s="8">
        <v>0</v>
      </c>
      <c r="AG95" s="8">
        <v>0</v>
      </c>
      <c r="AH95" s="8">
        <v>0</v>
      </c>
      <c r="AI95" s="8">
        <v>0</v>
      </c>
      <c r="AJ95" s="8">
        <v>0</v>
      </c>
      <c r="AK95" s="8">
        <v>0</v>
      </c>
      <c r="AL95" s="8">
        <v>0</v>
      </c>
      <c r="AM95" s="8">
        <v>0</v>
      </c>
      <c r="AN95" s="8">
        <v>0</v>
      </c>
      <c r="AO95" s="8">
        <v>0</v>
      </c>
      <c r="AP95" s="8">
        <v>0</v>
      </c>
      <c r="AQ95" s="8">
        <v>0</v>
      </c>
      <c r="AR95" s="8">
        <v>0</v>
      </c>
      <c r="AS95" s="8">
        <v>0</v>
      </c>
      <c r="AT95" s="8">
        <v>0</v>
      </c>
      <c r="AU95" s="8">
        <v>0</v>
      </c>
      <c r="AV95" s="8">
        <v>0</v>
      </c>
      <c r="AW95" s="8">
        <v>0</v>
      </c>
      <c r="AX95" s="8">
        <v>0</v>
      </c>
      <c r="AY95" s="8">
        <v>0</v>
      </c>
      <c r="AZ95" s="8">
        <v>0</v>
      </c>
      <c r="BA95" s="8">
        <v>0</v>
      </c>
      <c r="BB95" s="8">
        <v>0</v>
      </c>
      <c r="BC95" s="8">
        <v>0</v>
      </c>
      <c r="BD95" s="8">
        <v>0</v>
      </c>
      <c r="BE95" s="8">
        <v>0</v>
      </c>
      <c r="BF95" s="8">
        <v>0</v>
      </c>
      <c r="BG95" s="8">
        <v>0</v>
      </c>
      <c r="BH95" s="8">
        <v>0</v>
      </c>
      <c r="BI95" s="8">
        <v>0</v>
      </c>
      <c r="BJ95" s="8">
        <v>0</v>
      </c>
      <c r="BK95" s="8">
        <v>0</v>
      </c>
      <c r="BL95" s="8">
        <v>0</v>
      </c>
      <c r="BM95" s="8">
        <v>0</v>
      </c>
      <c r="BN95" s="8">
        <v>0</v>
      </c>
      <c r="BO95" s="8">
        <v>0</v>
      </c>
      <c r="BP95" s="8">
        <v>0</v>
      </c>
      <c r="BQ95" s="8">
        <v>0</v>
      </c>
      <c r="BR95" s="8">
        <v>0</v>
      </c>
      <c r="BS95" s="8">
        <v>0</v>
      </c>
      <c r="BT95" s="8">
        <v>0</v>
      </c>
      <c r="BU95" s="8">
        <v>0</v>
      </c>
      <c r="BV95" s="8">
        <v>0</v>
      </c>
      <c r="BW95" s="8">
        <v>0</v>
      </c>
      <c r="BX95" s="8">
        <v>0</v>
      </c>
      <c r="BY95" s="8">
        <v>0</v>
      </c>
      <c r="BZ95" s="8">
        <v>0</v>
      </c>
      <c r="CA95" s="8">
        <v>0</v>
      </c>
      <c r="CB95" s="8">
        <v>0</v>
      </c>
      <c r="CC95" s="8">
        <v>0</v>
      </c>
      <c r="CD95" s="8">
        <v>0</v>
      </c>
      <c r="CE95" s="8">
        <v>0</v>
      </c>
      <c r="CF95" s="8">
        <v>0</v>
      </c>
      <c r="CG95" s="8">
        <v>0</v>
      </c>
      <c r="CH95" s="8">
        <v>0</v>
      </c>
      <c r="CI95" s="8">
        <v>0</v>
      </c>
      <c r="CJ95" s="8">
        <v>0</v>
      </c>
      <c r="CK95" s="8">
        <v>0</v>
      </c>
      <c r="CL95" s="8">
        <v>0</v>
      </c>
      <c r="CM95" s="8">
        <v>0</v>
      </c>
      <c r="CN95" s="8">
        <v>0</v>
      </c>
      <c r="CO95" s="8">
        <v>0</v>
      </c>
      <c r="CP95" s="8">
        <v>0</v>
      </c>
      <c r="CQ95" s="8">
        <v>0</v>
      </c>
      <c r="CR95" s="8">
        <v>0</v>
      </c>
      <c r="CS95" t="str">
        <f>IFERROR(INDEX('Initiative Summary'!$C$5:$C$25,MATCH($A95,'Initiative Summary'!$A$5:$A$25,0)),"")</f>
        <v>Eastbridge Region</v>
      </c>
    </row>
    <row r="96" spans="1:97" ht="24" x14ac:dyDescent="0.25">
      <c r="A96" s="6" t="s">
        <v>678</v>
      </c>
      <c r="B96" s="10" t="s">
        <v>677</v>
      </c>
      <c r="C96" s="11" t="s">
        <v>205</v>
      </c>
      <c r="D96" s="11" t="s">
        <v>195</v>
      </c>
      <c r="E96" s="11" t="s">
        <v>206</v>
      </c>
      <c r="F96" s="11" t="s">
        <v>207</v>
      </c>
      <c r="G96" s="11"/>
      <c r="H96" s="11"/>
      <c r="I96" s="11"/>
      <c r="J96" s="11"/>
      <c r="K96" s="10"/>
      <c r="L96" s="11" t="s">
        <v>730</v>
      </c>
      <c r="M96" s="11" t="s">
        <v>199</v>
      </c>
      <c r="N96" s="20">
        <v>3</v>
      </c>
      <c r="O96" s="11" t="b">
        <v>0</v>
      </c>
      <c r="P96" s="11" t="s">
        <v>201</v>
      </c>
      <c r="Q96" s="11" t="s">
        <v>212</v>
      </c>
      <c r="R96" s="11" t="s">
        <v>212</v>
      </c>
      <c r="S96" s="11"/>
      <c r="T96" s="20">
        <v>8.61</v>
      </c>
      <c r="U96" s="20">
        <v>12.978</v>
      </c>
      <c r="V96" s="20">
        <v>12.978</v>
      </c>
      <c r="W96" s="20">
        <v>12.978</v>
      </c>
      <c r="X96" s="11">
        <v>0</v>
      </c>
      <c r="Y96" s="11">
        <v>0</v>
      </c>
      <c r="Z96" s="11">
        <v>0</v>
      </c>
      <c r="AA96" s="11">
        <v>0</v>
      </c>
      <c r="AB96" s="11">
        <v>0</v>
      </c>
      <c r="AC96" s="11">
        <v>0</v>
      </c>
      <c r="AD96" s="11">
        <v>0</v>
      </c>
      <c r="AE96" s="11">
        <v>0</v>
      </c>
      <c r="AF96" s="11">
        <v>0</v>
      </c>
      <c r="AG96" s="11">
        <v>0</v>
      </c>
      <c r="AH96" s="11">
        <v>0</v>
      </c>
      <c r="AI96" s="11">
        <v>0</v>
      </c>
      <c r="AJ96" s="20">
        <v>0</v>
      </c>
      <c r="AK96" s="20">
        <v>0</v>
      </c>
      <c r="AL96" s="20">
        <v>0</v>
      </c>
      <c r="AM96" s="20">
        <v>0</v>
      </c>
      <c r="AN96" s="20">
        <v>0</v>
      </c>
      <c r="AO96" s="20">
        <v>0</v>
      </c>
      <c r="AP96" s="20">
        <v>0</v>
      </c>
      <c r="AQ96" s="20">
        <v>0</v>
      </c>
      <c r="AR96" s="20">
        <v>0</v>
      </c>
      <c r="AS96" s="20">
        <v>0</v>
      </c>
      <c r="AT96" s="20">
        <v>0</v>
      </c>
      <c r="AU96" s="20">
        <v>8.61</v>
      </c>
      <c r="AV96" s="20">
        <v>12.978</v>
      </c>
      <c r="AW96" s="20">
        <v>12.978</v>
      </c>
      <c r="AX96" s="20">
        <v>12.978</v>
      </c>
      <c r="AY96" s="20">
        <v>12.978</v>
      </c>
      <c r="AZ96" s="20">
        <v>12.978</v>
      </c>
      <c r="BA96" s="20">
        <v>12.978</v>
      </c>
      <c r="BB96" s="20">
        <v>12.978</v>
      </c>
      <c r="BC96" s="20">
        <v>12.978</v>
      </c>
      <c r="BD96" s="20">
        <v>12.978</v>
      </c>
      <c r="BE96" s="20">
        <v>12.978</v>
      </c>
      <c r="BF96" s="20">
        <v>12.978</v>
      </c>
      <c r="BG96" s="20">
        <v>12.978</v>
      </c>
      <c r="BH96" s="20">
        <v>12.978</v>
      </c>
      <c r="BI96" s="20">
        <v>12.978</v>
      </c>
      <c r="BJ96" s="20">
        <v>12.978</v>
      </c>
      <c r="BK96" s="20">
        <v>12.978</v>
      </c>
      <c r="BL96" s="20">
        <v>12.978</v>
      </c>
      <c r="BM96" s="20">
        <v>12.978</v>
      </c>
      <c r="BN96" s="20">
        <v>12.978</v>
      </c>
      <c r="BO96" s="20">
        <v>12.978</v>
      </c>
      <c r="BP96" s="20">
        <v>12.978</v>
      </c>
      <c r="BQ96" s="20">
        <v>12.978</v>
      </c>
      <c r="BR96" s="20">
        <v>12.978</v>
      </c>
      <c r="BS96" s="20">
        <v>12.978</v>
      </c>
      <c r="BT96" s="20">
        <v>12.978</v>
      </c>
      <c r="BU96" s="20">
        <v>12.978</v>
      </c>
      <c r="BV96" s="20">
        <v>12.978</v>
      </c>
      <c r="BW96" s="20">
        <v>12.978</v>
      </c>
      <c r="BX96" s="20">
        <v>12.978</v>
      </c>
      <c r="BY96" s="20">
        <v>12.978</v>
      </c>
      <c r="BZ96" s="20">
        <v>12.978</v>
      </c>
      <c r="CA96" s="20">
        <v>12.978</v>
      </c>
      <c r="CB96" s="20">
        <v>12.978</v>
      </c>
      <c r="CC96" s="20">
        <v>12.978</v>
      </c>
      <c r="CD96" s="20">
        <v>12.978</v>
      </c>
      <c r="CE96" s="20">
        <v>12.978</v>
      </c>
      <c r="CF96" s="11">
        <v>12.978</v>
      </c>
      <c r="CG96" s="11">
        <v>12.978</v>
      </c>
      <c r="CH96" s="11">
        <v>12.978</v>
      </c>
      <c r="CI96" s="11">
        <v>12.978</v>
      </c>
      <c r="CJ96" s="11">
        <v>12.978</v>
      </c>
      <c r="CK96" s="11">
        <v>12.978</v>
      </c>
      <c r="CL96" s="11">
        <v>12.978</v>
      </c>
      <c r="CM96" s="11">
        <v>12.978</v>
      </c>
      <c r="CN96" s="11">
        <v>12.978</v>
      </c>
      <c r="CO96" s="11">
        <v>12.978</v>
      </c>
      <c r="CP96" s="11">
        <v>12.978</v>
      </c>
      <c r="CQ96" s="11">
        <v>12.978</v>
      </c>
      <c r="CR96" s="11">
        <v>12.978</v>
      </c>
      <c r="CS96" t="str">
        <f>IFERROR(INDEX('Initiative Summary'!$C$5:$C$25,MATCH($A96,'Initiative Summary'!$A$5:$A$25,0)),"")</f>
        <v>Eastbridge Region</v>
      </c>
    </row>
    <row r="97" spans="1:97" ht="24" x14ac:dyDescent="0.25">
      <c r="A97" s="6" t="s">
        <v>678</v>
      </c>
      <c r="B97" s="7" t="s">
        <v>677</v>
      </c>
      <c r="C97" s="8" t="s">
        <v>205</v>
      </c>
      <c r="D97" s="8" t="s">
        <v>203</v>
      </c>
      <c r="E97" s="8" t="s">
        <v>206</v>
      </c>
      <c r="F97" s="8" t="s">
        <v>207</v>
      </c>
      <c r="G97" s="8"/>
      <c r="H97" s="8"/>
      <c r="I97" s="8"/>
      <c r="J97" s="8"/>
      <c r="K97" s="7"/>
      <c r="L97" s="8" t="s">
        <v>730</v>
      </c>
      <c r="M97" s="8" t="s">
        <v>199</v>
      </c>
      <c r="N97" s="21">
        <v>3</v>
      </c>
      <c r="O97" s="8" t="b">
        <v>0</v>
      </c>
      <c r="P97" s="8" t="s">
        <v>201</v>
      </c>
      <c r="Q97" s="8" t="s">
        <v>212</v>
      </c>
      <c r="R97" s="8" t="s">
        <v>212</v>
      </c>
      <c r="S97" s="8"/>
      <c r="T97" s="21">
        <v>11.697000000000001</v>
      </c>
      <c r="U97" s="21">
        <v>17.304000000000002</v>
      </c>
      <c r="V97" s="21">
        <v>17.304000000000002</v>
      </c>
      <c r="W97" s="21">
        <v>17.304000000000002</v>
      </c>
      <c r="X97" s="8">
        <v>0</v>
      </c>
      <c r="Y97" s="8">
        <v>0</v>
      </c>
      <c r="Z97" s="8">
        <v>0</v>
      </c>
      <c r="AA97" s="8">
        <v>0</v>
      </c>
      <c r="AB97" s="8">
        <v>0</v>
      </c>
      <c r="AC97" s="8">
        <v>0</v>
      </c>
      <c r="AD97" s="8">
        <v>0</v>
      </c>
      <c r="AE97" s="8">
        <v>0</v>
      </c>
      <c r="AF97" s="8">
        <v>0</v>
      </c>
      <c r="AG97" s="8">
        <v>0</v>
      </c>
      <c r="AH97" s="8">
        <v>0</v>
      </c>
      <c r="AI97" s="8">
        <v>0</v>
      </c>
      <c r="AJ97" s="21">
        <v>0</v>
      </c>
      <c r="AK97" s="21">
        <v>0</v>
      </c>
      <c r="AL97" s="21">
        <v>0</v>
      </c>
      <c r="AM97" s="21">
        <v>0</v>
      </c>
      <c r="AN97" s="21">
        <v>0</v>
      </c>
      <c r="AO97" s="21">
        <v>0</v>
      </c>
      <c r="AP97" s="21">
        <v>0</v>
      </c>
      <c r="AQ97" s="21">
        <v>0</v>
      </c>
      <c r="AR97" s="21">
        <v>0</v>
      </c>
      <c r="AS97" s="21">
        <v>0</v>
      </c>
      <c r="AT97" s="21">
        <v>0</v>
      </c>
      <c r="AU97" s="21">
        <v>11.696999999999999</v>
      </c>
      <c r="AV97" s="21">
        <v>17.303999999999998</v>
      </c>
      <c r="AW97" s="21">
        <v>17.303999999999998</v>
      </c>
      <c r="AX97" s="21">
        <v>17.303999999999998</v>
      </c>
      <c r="AY97" s="21">
        <v>17.303999999999998</v>
      </c>
      <c r="AZ97" s="21">
        <v>17.303999999999998</v>
      </c>
      <c r="BA97" s="21">
        <v>17.303999999999998</v>
      </c>
      <c r="BB97" s="21">
        <v>17.303999999999998</v>
      </c>
      <c r="BC97" s="21">
        <v>17.303999999999998</v>
      </c>
      <c r="BD97" s="21">
        <v>17.303999999999998</v>
      </c>
      <c r="BE97" s="21">
        <v>17.303999999999998</v>
      </c>
      <c r="BF97" s="21">
        <v>17.303999999999998</v>
      </c>
      <c r="BG97" s="21">
        <v>17.303999999999998</v>
      </c>
      <c r="BH97" s="21">
        <v>17.303999999999998</v>
      </c>
      <c r="BI97" s="21">
        <v>17.303999999999998</v>
      </c>
      <c r="BJ97" s="21">
        <v>17.303999999999998</v>
      </c>
      <c r="BK97" s="21">
        <v>17.303999999999998</v>
      </c>
      <c r="BL97" s="21">
        <v>17.303999999999998</v>
      </c>
      <c r="BM97" s="21">
        <v>17.303999999999998</v>
      </c>
      <c r="BN97" s="21">
        <v>17.303999999999998</v>
      </c>
      <c r="BO97" s="21">
        <v>17.303999999999998</v>
      </c>
      <c r="BP97" s="21">
        <v>17.303999999999998</v>
      </c>
      <c r="BQ97" s="21">
        <v>17.303999999999998</v>
      </c>
      <c r="BR97" s="21">
        <v>17.303999999999998</v>
      </c>
      <c r="BS97" s="21">
        <v>17.303999999999998</v>
      </c>
      <c r="BT97" s="21">
        <v>17.303999999999998</v>
      </c>
      <c r="BU97" s="21">
        <v>17.303999999999998</v>
      </c>
      <c r="BV97" s="21">
        <v>17.303999999999998</v>
      </c>
      <c r="BW97" s="21">
        <v>17.303999999999998</v>
      </c>
      <c r="BX97" s="21">
        <v>17.303999999999998</v>
      </c>
      <c r="BY97" s="21">
        <v>17.303999999999998</v>
      </c>
      <c r="BZ97" s="21">
        <v>17.303999999999998</v>
      </c>
      <c r="CA97" s="21">
        <v>17.303999999999998</v>
      </c>
      <c r="CB97" s="21">
        <v>17.303999999999998</v>
      </c>
      <c r="CC97" s="21">
        <v>17.303999999999998</v>
      </c>
      <c r="CD97" s="21">
        <v>17.303999999999998</v>
      </c>
      <c r="CE97" s="21">
        <v>17.303999999999998</v>
      </c>
      <c r="CF97" s="8">
        <v>17.303999999999998</v>
      </c>
      <c r="CG97" s="8">
        <v>17.303999999999998</v>
      </c>
      <c r="CH97" s="8">
        <v>17.303999999999998</v>
      </c>
      <c r="CI97" s="8">
        <v>17.303999999999998</v>
      </c>
      <c r="CJ97" s="8">
        <v>17.303999999999998</v>
      </c>
      <c r="CK97" s="8">
        <v>17.303999999999998</v>
      </c>
      <c r="CL97" s="8">
        <v>17.303999999999998</v>
      </c>
      <c r="CM97" s="8">
        <v>17.303999999999998</v>
      </c>
      <c r="CN97" s="8">
        <v>17.303999999999998</v>
      </c>
      <c r="CO97" s="8">
        <v>17.303999999999998</v>
      </c>
      <c r="CP97" s="8">
        <v>17.303999999999998</v>
      </c>
      <c r="CQ97" s="8">
        <v>17.303999999999998</v>
      </c>
      <c r="CR97" s="8">
        <v>17.303999999999998</v>
      </c>
      <c r="CS97" t="str">
        <f>IFERROR(INDEX('Initiative Summary'!$C$5:$C$25,MATCH($A97,'Initiative Summary'!$A$5:$A$25,0)),"")</f>
        <v>Eastbridge Region</v>
      </c>
    </row>
    <row r="98" spans="1:97" ht="24" x14ac:dyDescent="0.25">
      <c r="A98" s="6" t="s">
        <v>678</v>
      </c>
      <c r="B98" s="10" t="s">
        <v>677</v>
      </c>
      <c r="C98" s="11" t="s">
        <v>205</v>
      </c>
      <c r="D98" s="11" t="s">
        <v>204</v>
      </c>
      <c r="E98" s="11" t="s">
        <v>206</v>
      </c>
      <c r="F98" s="11" t="s">
        <v>207</v>
      </c>
      <c r="G98" s="11"/>
      <c r="H98" s="11"/>
      <c r="I98" s="11"/>
      <c r="J98" s="11"/>
      <c r="K98" s="10"/>
      <c r="L98" s="11" t="s">
        <v>730</v>
      </c>
      <c r="M98" s="11" t="s">
        <v>199</v>
      </c>
      <c r="N98" s="20">
        <v>3</v>
      </c>
      <c r="O98" s="11" t="b">
        <v>0</v>
      </c>
      <c r="P98" s="11" t="s">
        <v>201</v>
      </c>
      <c r="Q98" s="11" t="s">
        <v>212</v>
      </c>
      <c r="R98" s="11" t="s">
        <v>212</v>
      </c>
      <c r="S98" s="11"/>
      <c r="T98" s="11"/>
      <c r="U98" s="11"/>
      <c r="V98" s="11"/>
      <c r="W98" s="11"/>
      <c r="X98" s="11">
        <v>0</v>
      </c>
      <c r="Y98" s="11">
        <v>0</v>
      </c>
      <c r="Z98" s="11">
        <v>0</v>
      </c>
      <c r="AA98" s="11">
        <v>0</v>
      </c>
      <c r="AB98" s="11">
        <v>0</v>
      </c>
      <c r="AC98" s="11">
        <v>0</v>
      </c>
      <c r="AD98" s="11">
        <v>0</v>
      </c>
      <c r="AE98" s="11">
        <v>0</v>
      </c>
      <c r="AF98" s="11">
        <v>0</v>
      </c>
      <c r="AG98" s="11">
        <v>0</v>
      </c>
      <c r="AH98" s="11">
        <v>0</v>
      </c>
      <c r="AI98" s="11">
        <v>0</v>
      </c>
      <c r="AJ98" s="11">
        <v>0</v>
      </c>
      <c r="AK98" s="11">
        <v>0</v>
      </c>
      <c r="AL98" s="11">
        <v>0</v>
      </c>
      <c r="AM98" s="11">
        <v>0</v>
      </c>
      <c r="AN98" s="11">
        <v>0</v>
      </c>
      <c r="AO98" s="11">
        <v>0</v>
      </c>
      <c r="AP98" s="11">
        <v>0</v>
      </c>
      <c r="AQ98" s="11">
        <v>0</v>
      </c>
      <c r="AR98" s="11">
        <v>0</v>
      </c>
      <c r="AS98" s="11">
        <v>0</v>
      </c>
      <c r="AT98" s="11">
        <v>0</v>
      </c>
      <c r="AU98" s="11">
        <v>0</v>
      </c>
      <c r="AV98" s="11">
        <v>0</v>
      </c>
      <c r="AW98" s="11">
        <v>0</v>
      </c>
      <c r="AX98" s="11">
        <v>0</v>
      </c>
      <c r="AY98" s="11">
        <v>0</v>
      </c>
      <c r="AZ98" s="11">
        <v>0</v>
      </c>
      <c r="BA98" s="11">
        <v>0</v>
      </c>
      <c r="BB98" s="11">
        <v>0</v>
      </c>
      <c r="BC98" s="11">
        <v>0</v>
      </c>
      <c r="BD98" s="11">
        <v>0</v>
      </c>
      <c r="BE98" s="11">
        <v>0</v>
      </c>
      <c r="BF98" s="11">
        <v>0</v>
      </c>
      <c r="BG98" s="11">
        <v>0</v>
      </c>
      <c r="BH98" s="11">
        <v>0</v>
      </c>
      <c r="BI98" s="11">
        <v>0</v>
      </c>
      <c r="BJ98" s="11">
        <v>0</v>
      </c>
      <c r="BK98" s="11">
        <v>0</v>
      </c>
      <c r="BL98" s="11">
        <v>0</v>
      </c>
      <c r="BM98" s="11">
        <v>0</v>
      </c>
      <c r="BN98" s="11">
        <v>0</v>
      </c>
      <c r="BO98" s="11">
        <v>0</v>
      </c>
      <c r="BP98" s="11">
        <v>0</v>
      </c>
      <c r="BQ98" s="11">
        <v>0</v>
      </c>
      <c r="BR98" s="11">
        <v>0</v>
      </c>
      <c r="BS98" s="11">
        <v>0</v>
      </c>
      <c r="BT98" s="11">
        <v>0</v>
      </c>
      <c r="BU98" s="11">
        <v>0</v>
      </c>
      <c r="BV98" s="11">
        <v>0</v>
      </c>
      <c r="BW98" s="11">
        <v>0</v>
      </c>
      <c r="BX98" s="11">
        <v>0</v>
      </c>
      <c r="BY98" s="11">
        <v>0</v>
      </c>
      <c r="BZ98" s="11">
        <v>0</v>
      </c>
      <c r="CA98" s="11">
        <v>0</v>
      </c>
      <c r="CB98" s="11">
        <v>0</v>
      </c>
      <c r="CC98" s="11">
        <v>0</v>
      </c>
      <c r="CD98" s="11">
        <v>0</v>
      </c>
      <c r="CE98" s="11">
        <v>0</v>
      </c>
      <c r="CF98" s="11">
        <v>0</v>
      </c>
      <c r="CG98" s="11">
        <v>0</v>
      </c>
      <c r="CH98" s="11">
        <v>0</v>
      </c>
      <c r="CI98" s="11">
        <v>0</v>
      </c>
      <c r="CJ98" s="11">
        <v>0</v>
      </c>
      <c r="CK98" s="11">
        <v>0</v>
      </c>
      <c r="CL98" s="11">
        <v>0</v>
      </c>
      <c r="CM98" s="11">
        <v>0</v>
      </c>
      <c r="CN98" s="11">
        <v>0</v>
      </c>
      <c r="CO98" s="11">
        <v>0</v>
      </c>
      <c r="CP98" s="11">
        <v>0</v>
      </c>
      <c r="CQ98" s="11">
        <v>0</v>
      </c>
      <c r="CR98" s="11">
        <v>0</v>
      </c>
      <c r="CS98" t="str">
        <f>IFERROR(INDEX('Initiative Summary'!$C$5:$C$25,MATCH($A98,'Initiative Summary'!$A$5:$A$25,0)),"")</f>
        <v>Eastbridge Region</v>
      </c>
    </row>
    <row r="99" spans="1:97" ht="24" x14ac:dyDescent="0.25">
      <c r="A99" s="6" t="s">
        <v>678</v>
      </c>
      <c r="B99" s="7" t="s">
        <v>677</v>
      </c>
      <c r="C99" s="8" t="s">
        <v>206</v>
      </c>
      <c r="D99" s="8" t="s">
        <v>195</v>
      </c>
      <c r="E99" s="8" t="s">
        <v>206</v>
      </c>
      <c r="F99" s="8" t="s">
        <v>197</v>
      </c>
      <c r="G99" s="8"/>
      <c r="H99" s="8"/>
      <c r="I99" s="8"/>
      <c r="J99" s="8"/>
      <c r="K99" s="7"/>
      <c r="L99" s="8" t="s">
        <v>731</v>
      </c>
      <c r="M99" s="8" t="s">
        <v>199</v>
      </c>
      <c r="N99" s="21">
        <v>100</v>
      </c>
      <c r="O99" s="8" t="b">
        <v>0</v>
      </c>
      <c r="P99" s="8" t="s">
        <v>201</v>
      </c>
      <c r="Q99" s="8" t="s">
        <v>210</v>
      </c>
      <c r="R99" s="8" t="s">
        <v>210</v>
      </c>
      <c r="S99" s="8">
        <v>0</v>
      </c>
      <c r="T99" s="21">
        <v>0.65100000000000002</v>
      </c>
      <c r="U99" s="21">
        <v>0.96599999999999997</v>
      </c>
      <c r="V99" s="21">
        <v>0.96599999999999997</v>
      </c>
      <c r="W99" s="21">
        <v>0.96599999999999997</v>
      </c>
      <c r="X99" s="8">
        <v>0</v>
      </c>
      <c r="Y99" s="8">
        <v>0</v>
      </c>
      <c r="Z99" s="8">
        <v>0</v>
      </c>
      <c r="AA99" s="8">
        <v>0</v>
      </c>
      <c r="AB99" s="8">
        <v>0</v>
      </c>
      <c r="AC99" s="8">
        <v>0</v>
      </c>
      <c r="AD99" s="8">
        <v>0</v>
      </c>
      <c r="AE99" s="8">
        <v>0</v>
      </c>
      <c r="AF99" s="8">
        <v>0</v>
      </c>
      <c r="AG99" s="8">
        <v>0</v>
      </c>
      <c r="AH99" s="8">
        <v>0</v>
      </c>
      <c r="AI99" s="8">
        <v>0</v>
      </c>
      <c r="AJ99" s="21">
        <v>0</v>
      </c>
      <c r="AK99" s="21">
        <v>0</v>
      </c>
      <c r="AL99" s="21">
        <v>0</v>
      </c>
      <c r="AM99" s="21">
        <v>0</v>
      </c>
      <c r="AN99" s="21">
        <v>0</v>
      </c>
      <c r="AO99" s="21">
        <v>0</v>
      </c>
      <c r="AP99" s="21">
        <v>0</v>
      </c>
      <c r="AQ99" s="21">
        <v>0</v>
      </c>
      <c r="AR99" s="21">
        <v>0</v>
      </c>
      <c r="AS99" s="21">
        <v>0</v>
      </c>
      <c r="AT99" s="21">
        <v>0</v>
      </c>
      <c r="AU99" s="21">
        <v>0.65100000000000002</v>
      </c>
      <c r="AV99" s="21">
        <v>8.0500000000000002E-2</v>
      </c>
      <c r="AW99" s="21">
        <v>8.0500000000000002E-2</v>
      </c>
      <c r="AX99" s="21">
        <v>8.0500000000000002E-2</v>
      </c>
      <c r="AY99" s="21">
        <v>8.0500000000000002E-2</v>
      </c>
      <c r="AZ99" s="21">
        <v>8.0500000000000002E-2</v>
      </c>
      <c r="BA99" s="21">
        <v>8.0500000000000002E-2</v>
      </c>
      <c r="BB99" s="21">
        <v>8.0500000000000002E-2</v>
      </c>
      <c r="BC99" s="21">
        <v>8.0500000000000002E-2</v>
      </c>
      <c r="BD99" s="21">
        <v>8.0500000000000002E-2</v>
      </c>
      <c r="BE99" s="21">
        <v>8.0500000000000002E-2</v>
      </c>
      <c r="BF99" s="21">
        <v>8.0500000000000002E-2</v>
      </c>
      <c r="BG99" s="21">
        <v>8.0500000000000002E-2</v>
      </c>
      <c r="BH99" s="21">
        <v>8.0500000000000002E-2</v>
      </c>
      <c r="BI99" s="21">
        <v>8.0500000000000002E-2</v>
      </c>
      <c r="BJ99" s="21">
        <v>8.0500000000000002E-2</v>
      </c>
      <c r="BK99" s="21">
        <v>8.0500000000000002E-2</v>
      </c>
      <c r="BL99" s="21">
        <v>8.0500000000000002E-2</v>
      </c>
      <c r="BM99" s="21">
        <v>8.0500000000000002E-2</v>
      </c>
      <c r="BN99" s="21">
        <v>8.0500000000000002E-2</v>
      </c>
      <c r="BO99" s="21">
        <v>8.0500000000000002E-2</v>
      </c>
      <c r="BP99" s="21">
        <v>8.0500000000000002E-2</v>
      </c>
      <c r="BQ99" s="21">
        <v>8.0500000000000002E-2</v>
      </c>
      <c r="BR99" s="21">
        <v>8.0500000000000002E-2</v>
      </c>
      <c r="BS99" s="21">
        <v>8.0500000000000002E-2</v>
      </c>
      <c r="BT99" s="21">
        <v>8.0500000000000002E-2</v>
      </c>
      <c r="BU99" s="21">
        <v>8.0500000000000002E-2</v>
      </c>
      <c r="BV99" s="21">
        <v>8.0500000000000002E-2</v>
      </c>
      <c r="BW99" s="21">
        <v>8.0500000000000002E-2</v>
      </c>
      <c r="BX99" s="21">
        <v>8.0500000000000002E-2</v>
      </c>
      <c r="BY99" s="21">
        <v>8.0500000000000002E-2</v>
      </c>
      <c r="BZ99" s="21">
        <v>8.0500000000000002E-2</v>
      </c>
      <c r="CA99" s="21">
        <v>8.0500000000000002E-2</v>
      </c>
      <c r="CB99" s="21">
        <v>8.0500000000000002E-2</v>
      </c>
      <c r="CC99" s="21">
        <v>8.0500000000000002E-2</v>
      </c>
      <c r="CD99" s="21">
        <v>8.0500000000000002E-2</v>
      </c>
      <c r="CE99" s="21">
        <v>8.0500000000000002E-2</v>
      </c>
      <c r="CF99" s="8">
        <v>0.96599999999999997</v>
      </c>
      <c r="CG99" s="8">
        <v>8.0500000000000002E-2</v>
      </c>
      <c r="CH99" s="8">
        <v>8.0500000000000002E-2</v>
      </c>
      <c r="CI99" s="8">
        <v>8.0500000000000002E-2</v>
      </c>
      <c r="CJ99" s="8">
        <v>8.0500000000000002E-2</v>
      </c>
      <c r="CK99" s="8">
        <v>8.0500000000000002E-2</v>
      </c>
      <c r="CL99" s="8">
        <v>8.0500000000000002E-2</v>
      </c>
      <c r="CM99" s="8">
        <v>8.0500000000000002E-2</v>
      </c>
      <c r="CN99" s="8">
        <v>8.0500000000000002E-2</v>
      </c>
      <c r="CO99" s="8">
        <v>8.0500000000000002E-2</v>
      </c>
      <c r="CP99" s="8">
        <v>8.0500000000000002E-2</v>
      </c>
      <c r="CQ99" s="8">
        <v>8.0500000000000002E-2</v>
      </c>
      <c r="CR99" s="8">
        <v>8.0500000000000002E-2</v>
      </c>
      <c r="CS99" t="str">
        <f>IFERROR(INDEX('Initiative Summary'!$C$5:$C$25,MATCH($A99,'Initiative Summary'!$A$5:$A$25,0)),"")</f>
        <v>Eastbridge Region</v>
      </c>
    </row>
    <row r="100" spans="1:97" ht="24" x14ac:dyDescent="0.25">
      <c r="A100" s="6" t="s">
        <v>678</v>
      </c>
      <c r="B100" s="10" t="s">
        <v>677</v>
      </c>
      <c r="C100" s="11" t="s">
        <v>206</v>
      </c>
      <c r="D100" s="11" t="s">
        <v>203</v>
      </c>
      <c r="E100" s="11" t="s">
        <v>206</v>
      </c>
      <c r="F100" s="11" t="s">
        <v>197</v>
      </c>
      <c r="G100" s="11"/>
      <c r="H100" s="11"/>
      <c r="I100" s="11"/>
      <c r="J100" s="11"/>
      <c r="K100" s="10"/>
      <c r="L100" s="11" t="s">
        <v>731</v>
      </c>
      <c r="M100" s="11" t="s">
        <v>199</v>
      </c>
      <c r="N100" s="20">
        <v>100</v>
      </c>
      <c r="O100" s="11" t="b">
        <v>0</v>
      </c>
      <c r="P100" s="11" t="s">
        <v>201</v>
      </c>
      <c r="Q100" s="11" t="s">
        <v>210</v>
      </c>
      <c r="R100" s="11" t="s">
        <v>210</v>
      </c>
      <c r="S100" s="11">
        <v>0</v>
      </c>
      <c r="T100" s="20">
        <v>0.88200000000000001</v>
      </c>
      <c r="U100" s="20">
        <v>1.302</v>
      </c>
      <c r="V100" s="20">
        <v>1.302</v>
      </c>
      <c r="W100" s="20">
        <v>1.302</v>
      </c>
      <c r="X100" s="11">
        <v>0</v>
      </c>
      <c r="Y100" s="11">
        <v>0</v>
      </c>
      <c r="Z100" s="11">
        <v>0</v>
      </c>
      <c r="AA100" s="11">
        <v>0</v>
      </c>
      <c r="AB100" s="11">
        <v>0</v>
      </c>
      <c r="AC100" s="11">
        <v>0</v>
      </c>
      <c r="AD100" s="11">
        <v>0</v>
      </c>
      <c r="AE100" s="11">
        <v>0</v>
      </c>
      <c r="AF100" s="11">
        <v>0</v>
      </c>
      <c r="AG100" s="11">
        <v>0</v>
      </c>
      <c r="AH100" s="11">
        <v>0</v>
      </c>
      <c r="AI100" s="11">
        <v>0</v>
      </c>
      <c r="AJ100" s="20">
        <v>0</v>
      </c>
      <c r="AK100" s="20">
        <v>0</v>
      </c>
      <c r="AL100" s="20">
        <v>0</v>
      </c>
      <c r="AM100" s="20">
        <v>0</v>
      </c>
      <c r="AN100" s="20">
        <v>0</v>
      </c>
      <c r="AO100" s="20">
        <v>0</v>
      </c>
      <c r="AP100" s="20">
        <v>0</v>
      </c>
      <c r="AQ100" s="20">
        <v>0</v>
      </c>
      <c r="AR100" s="20">
        <v>0</v>
      </c>
      <c r="AS100" s="20">
        <v>0</v>
      </c>
      <c r="AT100" s="20">
        <v>0</v>
      </c>
      <c r="AU100" s="20">
        <v>0.88200000000000001</v>
      </c>
      <c r="AV100" s="20">
        <v>0.1085</v>
      </c>
      <c r="AW100" s="20">
        <v>0.1085</v>
      </c>
      <c r="AX100" s="20">
        <v>0.1085</v>
      </c>
      <c r="AY100" s="20">
        <v>0.1085</v>
      </c>
      <c r="AZ100" s="20">
        <v>0.1085</v>
      </c>
      <c r="BA100" s="20">
        <v>0.1085</v>
      </c>
      <c r="BB100" s="20">
        <v>0.1085</v>
      </c>
      <c r="BC100" s="20">
        <v>0.1085</v>
      </c>
      <c r="BD100" s="20">
        <v>0.1085</v>
      </c>
      <c r="BE100" s="20">
        <v>0.1085</v>
      </c>
      <c r="BF100" s="20">
        <v>0.1085</v>
      </c>
      <c r="BG100" s="20">
        <v>0.1085</v>
      </c>
      <c r="BH100" s="20">
        <v>0.1085</v>
      </c>
      <c r="BI100" s="20">
        <v>0.1085</v>
      </c>
      <c r="BJ100" s="20">
        <v>0.1085</v>
      </c>
      <c r="BK100" s="20">
        <v>0.1085</v>
      </c>
      <c r="BL100" s="20">
        <v>0.1085</v>
      </c>
      <c r="BM100" s="20">
        <v>0.1085</v>
      </c>
      <c r="BN100" s="20">
        <v>0.1085</v>
      </c>
      <c r="BO100" s="20">
        <v>0.1085</v>
      </c>
      <c r="BP100" s="20">
        <v>0.1085</v>
      </c>
      <c r="BQ100" s="20">
        <v>0.1085</v>
      </c>
      <c r="BR100" s="20">
        <v>0.1085</v>
      </c>
      <c r="BS100" s="20">
        <v>0.1085</v>
      </c>
      <c r="BT100" s="20">
        <v>0.1085</v>
      </c>
      <c r="BU100" s="20">
        <v>0.1085</v>
      </c>
      <c r="BV100" s="20">
        <v>0.1085</v>
      </c>
      <c r="BW100" s="20">
        <v>0.1085</v>
      </c>
      <c r="BX100" s="20">
        <v>0.1085</v>
      </c>
      <c r="BY100" s="20">
        <v>0.1085</v>
      </c>
      <c r="BZ100" s="20">
        <v>0.1085</v>
      </c>
      <c r="CA100" s="20">
        <v>0.1085</v>
      </c>
      <c r="CB100" s="20">
        <v>0.1085</v>
      </c>
      <c r="CC100" s="20">
        <v>0.1085</v>
      </c>
      <c r="CD100" s="20">
        <v>0.1085</v>
      </c>
      <c r="CE100" s="20">
        <v>0.1085</v>
      </c>
      <c r="CF100" s="11">
        <v>1.302</v>
      </c>
      <c r="CG100" s="11">
        <v>0.1085</v>
      </c>
      <c r="CH100" s="11">
        <v>0.1085</v>
      </c>
      <c r="CI100" s="11">
        <v>0.1085</v>
      </c>
      <c r="CJ100" s="11">
        <v>0.1085</v>
      </c>
      <c r="CK100" s="11">
        <v>0.1085</v>
      </c>
      <c r="CL100" s="11">
        <v>0.1085</v>
      </c>
      <c r="CM100" s="11">
        <v>0.1085</v>
      </c>
      <c r="CN100" s="11">
        <v>0.1085</v>
      </c>
      <c r="CO100" s="11">
        <v>0.1085</v>
      </c>
      <c r="CP100" s="11">
        <v>0.1085</v>
      </c>
      <c r="CQ100" s="11">
        <v>0.1085</v>
      </c>
      <c r="CR100" s="11">
        <v>0.1085</v>
      </c>
      <c r="CS100" t="str">
        <f>IFERROR(INDEX('Initiative Summary'!$C$5:$C$25,MATCH($A100,'Initiative Summary'!$A$5:$A$25,0)),"")</f>
        <v>Eastbridge Region</v>
      </c>
    </row>
    <row r="101" spans="1:97" ht="24" x14ac:dyDescent="0.25">
      <c r="A101" s="6" t="s">
        <v>678</v>
      </c>
      <c r="B101" s="7" t="s">
        <v>677</v>
      </c>
      <c r="C101" s="8" t="s">
        <v>206</v>
      </c>
      <c r="D101" s="8" t="s">
        <v>204</v>
      </c>
      <c r="E101" s="8" t="s">
        <v>206</v>
      </c>
      <c r="F101" s="8" t="s">
        <v>197</v>
      </c>
      <c r="G101" s="8"/>
      <c r="H101" s="8"/>
      <c r="I101" s="8"/>
      <c r="J101" s="8"/>
      <c r="K101" s="7"/>
      <c r="L101" s="8" t="s">
        <v>731</v>
      </c>
      <c r="M101" s="8" t="s">
        <v>199</v>
      </c>
      <c r="N101" s="21">
        <v>100</v>
      </c>
      <c r="O101" s="8" t="b">
        <v>0</v>
      </c>
      <c r="P101" s="8" t="s">
        <v>201</v>
      </c>
      <c r="Q101" s="8" t="s">
        <v>210</v>
      </c>
      <c r="R101" s="8" t="s">
        <v>210</v>
      </c>
      <c r="S101" s="8"/>
      <c r="T101" s="8"/>
      <c r="U101" s="8"/>
      <c r="V101" s="8"/>
      <c r="W101" s="8"/>
      <c r="X101" s="8">
        <v>0</v>
      </c>
      <c r="Y101" s="8">
        <v>0</v>
      </c>
      <c r="Z101" s="8">
        <v>0</v>
      </c>
      <c r="AA101" s="8">
        <v>0</v>
      </c>
      <c r="AB101" s="8">
        <v>0</v>
      </c>
      <c r="AC101" s="8">
        <v>0</v>
      </c>
      <c r="AD101" s="8">
        <v>0</v>
      </c>
      <c r="AE101" s="8">
        <v>0</v>
      </c>
      <c r="AF101" s="8">
        <v>0</v>
      </c>
      <c r="AG101" s="8">
        <v>0</v>
      </c>
      <c r="AH101" s="8">
        <v>0</v>
      </c>
      <c r="AI101" s="8">
        <v>0</v>
      </c>
      <c r="AJ101" s="8">
        <v>0</v>
      </c>
      <c r="AK101" s="8">
        <v>0</v>
      </c>
      <c r="AL101" s="8">
        <v>0</v>
      </c>
      <c r="AM101" s="8">
        <v>0</v>
      </c>
      <c r="AN101" s="8">
        <v>0</v>
      </c>
      <c r="AO101" s="8">
        <v>0</v>
      </c>
      <c r="AP101" s="8">
        <v>0</v>
      </c>
      <c r="AQ101" s="8">
        <v>0</v>
      </c>
      <c r="AR101" s="8">
        <v>0</v>
      </c>
      <c r="AS101" s="8">
        <v>0</v>
      </c>
      <c r="AT101" s="8">
        <v>0</v>
      </c>
      <c r="AU101" s="8">
        <v>0</v>
      </c>
      <c r="AV101" s="8">
        <v>0</v>
      </c>
      <c r="AW101" s="8">
        <v>0</v>
      </c>
      <c r="AX101" s="8">
        <v>0</v>
      </c>
      <c r="AY101" s="8">
        <v>0</v>
      </c>
      <c r="AZ101" s="8">
        <v>0</v>
      </c>
      <c r="BA101" s="8">
        <v>0</v>
      </c>
      <c r="BB101" s="8">
        <v>0</v>
      </c>
      <c r="BC101" s="8">
        <v>0</v>
      </c>
      <c r="BD101" s="8">
        <v>0</v>
      </c>
      <c r="BE101" s="8">
        <v>0</v>
      </c>
      <c r="BF101" s="8">
        <v>0</v>
      </c>
      <c r="BG101" s="8">
        <v>0</v>
      </c>
      <c r="BH101" s="8">
        <v>0</v>
      </c>
      <c r="BI101" s="8">
        <v>0</v>
      </c>
      <c r="BJ101" s="8">
        <v>0</v>
      </c>
      <c r="BK101" s="8">
        <v>0</v>
      </c>
      <c r="BL101" s="8">
        <v>0</v>
      </c>
      <c r="BM101" s="8">
        <v>0</v>
      </c>
      <c r="BN101" s="8">
        <v>0</v>
      </c>
      <c r="BO101" s="8">
        <v>0</v>
      </c>
      <c r="BP101" s="8">
        <v>0</v>
      </c>
      <c r="BQ101" s="8">
        <v>0</v>
      </c>
      <c r="BR101" s="8">
        <v>0</v>
      </c>
      <c r="BS101" s="8">
        <v>0</v>
      </c>
      <c r="BT101" s="8">
        <v>0</v>
      </c>
      <c r="BU101" s="8">
        <v>0</v>
      </c>
      <c r="BV101" s="8">
        <v>0</v>
      </c>
      <c r="BW101" s="8">
        <v>0</v>
      </c>
      <c r="BX101" s="8">
        <v>0</v>
      </c>
      <c r="BY101" s="8">
        <v>0</v>
      </c>
      <c r="BZ101" s="8">
        <v>0</v>
      </c>
      <c r="CA101" s="8">
        <v>0</v>
      </c>
      <c r="CB101" s="8">
        <v>0</v>
      </c>
      <c r="CC101" s="8">
        <v>0</v>
      </c>
      <c r="CD101" s="8">
        <v>0</v>
      </c>
      <c r="CE101" s="8">
        <v>0</v>
      </c>
      <c r="CF101" s="8">
        <v>0</v>
      </c>
      <c r="CG101" s="8">
        <v>0</v>
      </c>
      <c r="CH101" s="8">
        <v>0</v>
      </c>
      <c r="CI101" s="8">
        <v>0</v>
      </c>
      <c r="CJ101" s="8">
        <v>0</v>
      </c>
      <c r="CK101" s="8">
        <v>0</v>
      </c>
      <c r="CL101" s="8">
        <v>0</v>
      </c>
      <c r="CM101" s="8">
        <v>0</v>
      </c>
      <c r="CN101" s="8">
        <v>0</v>
      </c>
      <c r="CO101" s="8">
        <v>0</v>
      </c>
      <c r="CP101" s="8">
        <v>0</v>
      </c>
      <c r="CQ101" s="8">
        <v>0</v>
      </c>
      <c r="CR101" s="8">
        <v>0</v>
      </c>
      <c r="CS101" t="str">
        <f>IFERROR(INDEX('Initiative Summary'!$C$5:$C$25,MATCH($A101,'Initiative Summary'!$A$5:$A$25,0)),"")</f>
        <v>Eastbridge Region</v>
      </c>
    </row>
    <row r="102" spans="1:97" ht="24" x14ac:dyDescent="0.25">
      <c r="A102" s="6" t="s">
        <v>681</v>
      </c>
      <c r="B102" s="10" t="s">
        <v>680</v>
      </c>
      <c r="C102" s="11" t="s">
        <v>194</v>
      </c>
      <c r="D102" s="11" t="s">
        <v>195</v>
      </c>
      <c r="E102" s="11" t="s">
        <v>196</v>
      </c>
      <c r="F102" s="11" t="s">
        <v>197</v>
      </c>
      <c r="G102" s="11"/>
      <c r="H102" s="11"/>
      <c r="I102" s="11"/>
      <c r="J102" s="11"/>
      <c r="K102" s="10"/>
      <c r="L102" s="11" t="s">
        <v>732</v>
      </c>
      <c r="M102" s="11" t="s">
        <v>199</v>
      </c>
      <c r="N102" s="20">
        <v>0</v>
      </c>
      <c r="O102" s="11" t="b">
        <v>0</v>
      </c>
      <c r="P102" s="11" t="s">
        <v>201</v>
      </c>
      <c r="Q102" s="11" t="s">
        <v>202</v>
      </c>
      <c r="R102" s="11" t="s">
        <v>202</v>
      </c>
      <c r="S102" s="11">
        <v>0</v>
      </c>
      <c r="T102" s="20">
        <v>0</v>
      </c>
      <c r="U102" s="20">
        <v>0</v>
      </c>
      <c r="V102" s="20">
        <v>0</v>
      </c>
      <c r="W102" s="20">
        <v>0</v>
      </c>
      <c r="X102" s="11">
        <v>0</v>
      </c>
      <c r="Y102" s="11">
        <v>0</v>
      </c>
      <c r="Z102" s="11">
        <v>0</v>
      </c>
      <c r="AA102" s="11">
        <v>0</v>
      </c>
      <c r="AB102" s="11">
        <v>0</v>
      </c>
      <c r="AC102" s="11">
        <v>0</v>
      </c>
      <c r="AD102" s="11">
        <v>0</v>
      </c>
      <c r="AE102" s="11">
        <v>0</v>
      </c>
      <c r="AF102" s="11">
        <v>0</v>
      </c>
      <c r="AG102" s="11">
        <v>0</v>
      </c>
      <c r="AH102" s="11">
        <v>0</v>
      </c>
      <c r="AI102" s="11">
        <v>0</v>
      </c>
      <c r="AJ102" s="20">
        <v>0</v>
      </c>
      <c r="AK102" s="20">
        <v>0</v>
      </c>
      <c r="AL102" s="20">
        <v>0</v>
      </c>
      <c r="AM102" s="20">
        <v>0</v>
      </c>
      <c r="AN102" s="20">
        <v>0</v>
      </c>
      <c r="AO102" s="20">
        <v>0</v>
      </c>
      <c r="AP102" s="20">
        <v>0</v>
      </c>
      <c r="AQ102" s="20">
        <v>0</v>
      </c>
      <c r="AR102" s="20">
        <v>0</v>
      </c>
      <c r="AS102" s="20">
        <v>0</v>
      </c>
      <c r="AT102" s="20">
        <v>0</v>
      </c>
      <c r="AU102" s="20">
        <v>0</v>
      </c>
      <c r="AV102" s="20">
        <v>0</v>
      </c>
      <c r="AW102" s="20">
        <v>0</v>
      </c>
      <c r="AX102" s="20">
        <v>0</v>
      </c>
      <c r="AY102" s="20">
        <v>0</v>
      </c>
      <c r="AZ102" s="20">
        <v>0</v>
      </c>
      <c r="BA102" s="20">
        <v>0</v>
      </c>
      <c r="BB102" s="20">
        <v>0</v>
      </c>
      <c r="BC102" s="20">
        <v>0</v>
      </c>
      <c r="BD102" s="20">
        <v>0</v>
      </c>
      <c r="BE102" s="20">
        <v>0</v>
      </c>
      <c r="BF102" s="20">
        <v>0</v>
      </c>
      <c r="BG102" s="20">
        <v>0</v>
      </c>
      <c r="BH102" s="20">
        <v>0</v>
      </c>
      <c r="BI102" s="20">
        <v>0</v>
      </c>
      <c r="BJ102" s="20">
        <v>0</v>
      </c>
      <c r="BK102" s="20">
        <v>0</v>
      </c>
      <c r="BL102" s="20">
        <v>0</v>
      </c>
      <c r="BM102" s="20">
        <v>0</v>
      </c>
      <c r="BN102" s="20">
        <v>0</v>
      </c>
      <c r="BO102" s="20">
        <v>0</v>
      </c>
      <c r="BP102" s="20">
        <v>0</v>
      </c>
      <c r="BQ102" s="20">
        <v>0</v>
      </c>
      <c r="BR102" s="20">
        <v>0</v>
      </c>
      <c r="BS102" s="20">
        <v>0</v>
      </c>
      <c r="BT102" s="20">
        <v>0</v>
      </c>
      <c r="BU102" s="20">
        <v>0</v>
      </c>
      <c r="BV102" s="20">
        <v>0</v>
      </c>
      <c r="BW102" s="20">
        <v>0</v>
      </c>
      <c r="BX102" s="20">
        <v>0</v>
      </c>
      <c r="BY102" s="20">
        <v>0</v>
      </c>
      <c r="BZ102" s="20">
        <v>0</v>
      </c>
      <c r="CA102" s="20">
        <v>0</v>
      </c>
      <c r="CB102" s="20">
        <v>0</v>
      </c>
      <c r="CC102" s="20">
        <v>0</v>
      </c>
      <c r="CD102" s="20">
        <v>0</v>
      </c>
      <c r="CE102" s="20">
        <v>0</v>
      </c>
      <c r="CF102" s="11">
        <v>0</v>
      </c>
      <c r="CG102" s="11">
        <v>0</v>
      </c>
      <c r="CH102" s="11">
        <v>0</v>
      </c>
      <c r="CI102" s="11">
        <v>0</v>
      </c>
      <c r="CJ102" s="11">
        <v>0</v>
      </c>
      <c r="CK102" s="11">
        <v>0</v>
      </c>
      <c r="CL102" s="11">
        <v>0</v>
      </c>
      <c r="CM102" s="11">
        <v>0</v>
      </c>
      <c r="CN102" s="11">
        <v>0</v>
      </c>
      <c r="CO102" s="11">
        <v>0</v>
      </c>
      <c r="CP102" s="11">
        <v>0</v>
      </c>
      <c r="CQ102" s="11">
        <v>0</v>
      </c>
      <c r="CR102" s="11">
        <v>0</v>
      </c>
      <c r="CS102" t="str">
        <f>IFERROR(INDEX('Initiative Summary'!$C$5:$C$25,MATCH($A102,'Initiative Summary'!$A$5:$A$25,0)),"")</f>
        <v>Northpeak Region</v>
      </c>
    </row>
    <row r="103" spans="1:97" ht="24" x14ac:dyDescent="0.25">
      <c r="A103" s="6" t="s">
        <v>681</v>
      </c>
      <c r="B103" s="7" t="s">
        <v>680</v>
      </c>
      <c r="C103" s="8" t="s">
        <v>194</v>
      </c>
      <c r="D103" s="8" t="s">
        <v>203</v>
      </c>
      <c r="E103" s="8" t="s">
        <v>196</v>
      </c>
      <c r="F103" s="8" t="s">
        <v>197</v>
      </c>
      <c r="G103" s="8"/>
      <c r="H103" s="8"/>
      <c r="I103" s="8"/>
      <c r="J103" s="8"/>
      <c r="K103" s="7"/>
      <c r="L103" s="8" t="s">
        <v>732</v>
      </c>
      <c r="M103" s="8" t="s">
        <v>199</v>
      </c>
      <c r="N103" s="21">
        <v>0</v>
      </c>
      <c r="O103" s="8" t="b">
        <v>0</v>
      </c>
      <c r="P103" s="8" t="s">
        <v>201</v>
      </c>
      <c r="Q103" s="8" t="s">
        <v>202</v>
      </c>
      <c r="R103" s="8" t="s">
        <v>202</v>
      </c>
      <c r="S103" s="8">
        <v>0</v>
      </c>
      <c r="T103" s="21">
        <v>0</v>
      </c>
      <c r="U103" s="21">
        <v>0</v>
      </c>
      <c r="V103" s="21">
        <v>0</v>
      </c>
      <c r="W103" s="21">
        <v>0</v>
      </c>
      <c r="X103" s="8">
        <v>0</v>
      </c>
      <c r="Y103" s="8">
        <v>0</v>
      </c>
      <c r="Z103" s="8">
        <v>0</v>
      </c>
      <c r="AA103" s="8">
        <v>0</v>
      </c>
      <c r="AB103" s="8">
        <v>0</v>
      </c>
      <c r="AC103" s="8">
        <v>0</v>
      </c>
      <c r="AD103" s="8">
        <v>0</v>
      </c>
      <c r="AE103" s="8">
        <v>0</v>
      </c>
      <c r="AF103" s="8">
        <v>0</v>
      </c>
      <c r="AG103" s="8">
        <v>0</v>
      </c>
      <c r="AH103" s="8">
        <v>0</v>
      </c>
      <c r="AI103" s="8">
        <v>0</v>
      </c>
      <c r="AJ103" s="21">
        <v>0</v>
      </c>
      <c r="AK103" s="21">
        <v>0</v>
      </c>
      <c r="AL103" s="21">
        <v>0</v>
      </c>
      <c r="AM103" s="21">
        <v>0</v>
      </c>
      <c r="AN103" s="21">
        <v>0</v>
      </c>
      <c r="AO103" s="21">
        <v>0</v>
      </c>
      <c r="AP103" s="21">
        <v>0</v>
      </c>
      <c r="AQ103" s="21">
        <v>0</v>
      </c>
      <c r="AR103" s="21">
        <v>0</v>
      </c>
      <c r="AS103" s="21">
        <v>0</v>
      </c>
      <c r="AT103" s="21">
        <v>0</v>
      </c>
      <c r="AU103" s="21">
        <v>0</v>
      </c>
      <c r="AV103" s="21">
        <v>0</v>
      </c>
      <c r="AW103" s="21">
        <v>0</v>
      </c>
      <c r="AX103" s="21">
        <v>0</v>
      </c>
      <c r="AY103" s="21">
        <v>0</v>
      </c>
      <c r="AZ103" s="21">
        <v>0</v>
      </c>
      <c r="BA103" s="21">
        <v>0</v>
      </c>
      <c r="BB103" s="21">
        <v>0</v>
      </c>
      <c r="BC103" s="21">
        <v>0</v>
      </c>
      <c r="BD103" s="21">
        <v>0</v>
      </c>
      <c r="BE103" s="21">
        <v>0</v>
      </c>
      <c r="BF103" s="21">
        <v>0</v>
      </c>
      <c r="BG103" s="21">
        <v>0</v>
      </c>
      <c r="BH103" s="21">
        <v>0</v>
      </c>
      <c r="BI103" s="21">
        <v>0</v>
      </c>
      <c r="BJ103" s="21">
        <v>0</v>
      </c>
      <c r="BK103" s="21">
        <v>0</v>
      </c>
      <c r="BL103" s="21">
        <v>0</v>
      </c>
      <c r="BM103" s="21">
        <v>0</v>
      </c>
      <c r="BN103" s="21">
        <v>0</v>
      </c>
      <c r="BO103" s="21">
        <v>0</v>
      </c>
      <c r="BP103" s="21">
        <v>0</v>
      </c>
      <c r="BQ103" s="21">
        <v>0</v>
      </c>
      <c r="BR103" s="21">
        <v>0</v>
      </c>
      <c r="BS103" s="21">
        <v>0</v>
      </c>
      <c r="BT103" s="21">
        <v>0</v>
      </c>
      <c r="BU103" s="21">
        <v>0</v>
      </c>
      <c r="BV103" s="21">
        <v>0</v>
      </c>
      <c r="BW103" s="21">
        <v>0</v>
      </c>
      <c r="BX103" s="21">
        <v>0</v>
      </c>
      <c r="BY103" s="21">
        <v>0</v>
      </c>
      <c r="BZ103" s="21">
        <v>0</v>
      </c>
      <c r="CA103" s="21">
        <v>0</v>
      </c>
      <c r="CB103" s="21">
        <v>0</v>
      </c>
      <c r="CC103" s="21">
        <v>0</v>
      </c>
      <c r="CD103" s="21">
        <v>0</v>
      </c>
      <c r="CE103" s="21">
        <v>0</v>
      </c>
      <c r="CF103" s="8">
        <v>0</v>
      </c>
      <c r="CG103" s="8">
        <v>0</v>
      </c>
      <c r="CH103" s="8">
        <v>0</v>
      </c>
      <c r="CI103" s="8">
        <v>0</v>
      </c>
      <c r="CJ103" s="8">
        <v>0</v>
      </c>
      <c r="CK103" s="8">
        <v>0</v>
      </c>
      <c r="CL103" s="8">
        <v>0</v>
      </c>
      <c r="CM103" s="8">
        <v>0</v>
      </c>
      <c r="CN103" s="8">
        <v>0</v>
      </c>
      <c r="CO103" s="8">
        <v>0</v>
      </c>
      <c r="CP103" s="8">
        <v>0</v>
      </c>
      <c r="CQ103" s="8">
        <v>0</v>
      </c>
      <c r="CR103" s="8">
        <v>0</v>
      </c>
      <c r="CS103" t="str">
        <f>IFERROR(INDEX('Initiative Summary'!$C$5:$C$25,MATCH($A103,'Initiative Summary'!$A$5:$A$25,0)),"")</f>
        <v>Northpeak Region</v>
      </c>
    </row>
    <row r="104" spans="1:97" ht="24" x14ac:dyDescent="0.25">
      <c r="A104" s="6" t="s">
        <v>681</v>
      </c>
      <c r="B104" s="10" t="s">
        <v>680</v>
      </c>
      <c r="C104" s="11" t="s">
        <v>194</v>
      </c>
      <c r="D104" s="11" t="s">
        <v>204</v>
      </c>
      <c r="E104" s="11" t="s">
        <v>196</v>
      </c>
      <c r="F104" s="11" t="s">
        <v>197</v>
      </c>
      <c r="G104" s="11"/>
      <c r="H104" s="11"/>
      <c r="I104" s="11"/>
      <c r="J104" s="11"/>
      <c r="K104" s="10"/>
      <c r="L104" s="11" t="s">
        <v>732</v>
      </c>
      <c r="M104" s="11" t="s">
        <v>199</v>
      </c>
      <c r="N104" s="20">
        <v>0</v>
      </c>
      <c r="O104" s="11" t="b">
        <v>0</v>
      </c>
      <c r="P104" s="11" t="s">
        <v>201</v>
      </c>
      <c r="Q104" s="11" t="s">
        <v>202</v>
      </c>
      <c r="R104" s="11" t="s">
        <v>202</v>
      </c>
      <c r="S104" s="11">
        <v>0</v>
      </c>
      <c r="T104" s="11">
        <v>0</v>
      </c>
      <c r="U104" s="11">
        <v>0</v>
      </c>
      <c r="V104" s="11">
        <v>0</v>
      </c>
      <c r="W104" s="11">
        <v>0</v>
      </c>
      <c r="X104" s="11">
        <v>0</v>
      </c>
      <c r="Y104" s="11">
        <v>0</v>
      </c>
      <c r="Z104" s="11">
        <v>0</v>
      </c>
      <c r="AA104" s="11">
        <v>0</v>
      </c>
      <c r="AB104" s="11">
        <v>0</v>
      </c>
      <c r="AC104" s="11">
        <v>0</v>
      </c>
      <c r="AD104" s="11">
        <v>0</v>
      </c>
      <c r="AE104" s="11">
        <v>0</v>
      </c>
      <c r="AF104" s="11">
        <v>0</v>
      </c>
      <c r="AG104" s="11">
        <v>0</v>
      </c>
      <c r="AH104" s="11">
        <v>0</v>
      </c>
      <c r="AI104" s="11">
        <v>0</v>
      </c>
      <c r="AJ104" s="11">
        <v>0</v>
      </c>
      <c r="AK104" s="11">
        <v>0</v>
      </c>
      <c r="AL104" s="11">
        <v>0</v>
      </c>
      <c r="AM104" s="11">
        <v>0</v>
      </c>
      <c r="AN104" s="11">
        <v>0</v>
      </c>
      <c r="AO104" s="11">
        <v>0</v>
      </c>
      <c r="AP104" s="11">
        <v>0</v>
      </c>
      <c r="AQ104" s="11">
        <v>0</v>
      </c>
      <c r="AR104" s="11">
        <v>0</v>
      </c>
      <c r="AS104" s="11">
        <v>0</v>
      </c>
      <c r="AT104" s="11">
        <v>0</v>
      </c>
      <c r="AU104" s="11">
        <v>0</v>
      </c>
      <c r="AV104" s="11">
        <v>0</v>
      </c>
      <c r="AW104" s="11">
        <v>0</v>
      </c>
      <c r="AX104" s="11">
        <v>0</v>
      </c>
      <c r="AY104" s="11">
        <v>0</v>
      </c>
      <c r="AZ104" s="11">
        <v>0</v>
      </c>
      <c r="BA104" s="11">
        <v>0</v>
      </c>
      <c r="BB104" s="11">
        <v>0</v>
      </c>
      <c r="BC104" s="11">
        <v>0</v>
      </c>
      <c r="BD104" s="11">
        <v>0</v>
      </c>
      <c r="BE104" s="11">
        <v>0</v>
      </c>
      <c r="BF104" s="11">
        <v>0</v>
      </c>
      <c r="BG104" s="11">
        <v>0</v>
      </c>
      <c r="BH104" s="11">
        <v>0</v>
      </c>
      <c r="BI104" s="11">
        <v>0</v>
      </c>
      <c r="BJ104" s="11">
        <v>0</v>
      </c>
      <c r="BK104" s="11">
        <v>0</v>
      </c>
      <c r="BL104" s="11">
        <v>0</v>
      </c>
      <c r="BM104" s="11">
        <v>0</v>
      </c>
      <c r="BN104" s="11">
        <v>0</v>
      </c>
      <c r="BO104" s="11">
        <v>0</v>
      </c>
      <c r="BP104" s="11">
        <v>0</v>
      </c>
      <c r="BQ104" s="11">
        <v>0</v>
      </c>
      <c r="BR104" s="11">
        <v>0</v>
      </c>
      <c r="BS104" s="11">
        <v>0</v>
      </c>
      <c r="BT104" s="11">
        <v>0</v>
      </c>
      <c r="BU104" s="11">
        <v>0</v>
      </c>
      <c r="BV104" s="11">
        <v>0</v>
      </c>
      <c r="BW104" s="11">
        <v>0</v>
      </c>
      <c r="BX104" s="11">
        <v>0</v>
      </c>
      <c r="BY104" s="11">
        <v>0</v>
      </c>
      <c r="BZ104" s="11">
        <v>0</v>
      </c>
      <c r="CA104" s="11">
        <v>0</v>
      </c>
      <c r="CB104" s="11">
        <v>0</v>
      </c>
      <c r="CC104" s="11">
        <v>0</v>
      </c>
      <c r="CD104" s="11">
        <v>0</v>
      </c>
      <c r="CE104" s="11">
        <v>0</v>
      </c>
      <c r="CF104" s="11">
        <v>0</v>
      </c>
      <c r="CG104" s="11">
        <v>0</v>
      </c>
      <c r="CH104" s="11">
        <v>0</v>
      </c>
      <c r="CI104" s="11">
        <v>0</v>
      </c>
      <c r="CJ104" s="11">
        <v>0</v>
      </c>
      <c r="CK104" s="11">
        <v>0</v>
      </c>
      <c r="CL104" s="11">
        <v>0</v>
      </c>
      <c r="CM104" s="11">
        <v>0</v>
      </c>
      <c r="CN104" s="11">
        <v>0</v>
      </c>
      <c r="CO104" s="11">
        <v>0</v>
      </c>
      <c r="CP104" s="11">
        <v>0</v>
      </c>
      <c r="CQ104" s="11">
        <v>0</v>
      </c>
      <c r="CR104" s="11">
        <v>0</v>
      </c>
      <c r="CS104" t="str">
        <f>IFERROR(INDEX('Initiative Summary'!$C$5:$C$25,MATCH($A104,'Initiative Summary'!$A$5:$A$25,0)),"")</f>
        <v>Northpeak Region</v>
      </c>
    </row>
    <row r="105" spans="1:97" ht="24" x14ac:dyDescent="0.25">
      <c r="A105" s="6" t="s">
        <v>681</v>
      </c>
      <c r="B105" s="7" t="s">
        <v>680</v>
      </c>
      <c r="C105" s="8" t="s">
        <v>205</v>
      </c>
      <c r="D105" s="8" t="s">
        <v>195</v>
      </c>
      <c r="E105" s="8" t="s">
        <v>206</v>
      </c>
      <c r="F105" s="8" t="s">
        <v>207</v>
      </c>
      <c r="G105" s="8"/>
      <c r="H105" s="8"/>
      <c r="I105" s="8"/>
      <c r="J105" s="8"/>
      <c r="K105" s="7"/>
      <c r="L105" s="8" t="s">
        <v>733</v>
      </c>
      <c r="M105" s="8" t="s">
        <v>199</v>
      </c>
      <c r="N105" s="21">
        <v>3</v>
      </c>
      <c r="O105" s="8" t="b">
        <v>0</v>
      </c>
      <c r="P105" s="8" t="s">
        <v>201</v>
      </c>
      <c r="Q105" s="8" t="s">
        <v>202</v>
      </c>
      <c r="R105" s="8" t="s">
        <v>202</v>
      </c>
      <c r="S105" s="8"/>
      <c r="T105" s="21">
        <v>9.8229999999999986</v>
      </c>
      <c r="U105" s="21">
        <v>14.231</v>
      </c>
      <c r="V105" s="21">
        <v>14.231</v>
      </c>
      <c r="W105" s="21">
        <v>14.231</v>
      </c>
      <c r="X105" s="8">
        <v>0</v>
      </c>
      <c r="Y105" s="8">
        <v>0</v>
      </c>
      <c r="Z105" s="8">
        <v>0</v>
      </c>
      <c r="AA105" s="8">
        <v>0</v>
      </c>
      <c r="AB105" s="8">
        <v>0</v>
      </c>
      <c r="AC105" s="8">
        <v>0</v>
      </c>
      <c r="AD105" s="8">
        <v>0</v>
      </c>
      <c r="AE105" s="8">
        <v>0</v>
      </c>
      <c r="AF105" s="8">
        <v>0</v>
      </c>
      <c r="AG105" s="8">
        <v>0</v>
      </c>
      <c r="AH105" s="8">
        <v>0</v>
      </c>
      <c r="AI105" s="8">
        <v>0</v>
      </c>
      <c r="AJ105" s="21">
        <v>9.8230000000000004</v>
      </c>
      <c r="AK105" s="21">
        <v>9.8230000000000004</v>
      </c>
      <c r="AL105" s="21">
        <v>9.8230000000000004</v>
      </c>
      <c r="AM105" s="21">
        <v>9.8230000000000004</v>
      </c>
      <c r="AN105" s="21">
        <v>9.8230000000000004</v>
      </c>
      <c r="AO105" s="21">
        <v>9.8230000000000004</v>
      </c>
      <c r="AP105" s="21">
        <v>9.8230000000000004</v>
      </c>
      <c r="AQ105" s="21">
        <v>9.8230000000000004</v>
      </c>
      <c r="AR105" s="21">
        <v>9.8230000000000004</v>
      </c>
      <c r="AS105" s="21">
        <v>9.8230000000000004</v>
      </c>
      <c r="AT105" s="21">
        <v>9.8230000000000004</v>
      </c>
      <c r="AU105" s="21">
        <v>9.8230000000000004</v>
      </c>
      <c r="AV105" s="21">
        <v>14.231</v>
      </c>
      <c r="AW105" s="21">
        <v>14.231</v>
      </c>
      <c r="AX105" s="21">
        <v>14.231</v>
      </c>
      <c r="AY105" s="21">
        <v>14.231</v>
      </c>
      <c r="AZ105" s="21">
        <v>14.231</v>
      </c>
      <c r="BA105" s="21">
        <v>14.231</v>
      </c>
      <c r="BB105" s="21">
        <v>14.231</v>
      </c>
      <c r="BC105" s="21">
        <v>14.231</v>
      </c>
      <c r="BD105" s="21">
        <v>14.231</v>
      </c>
      <c r="BE105" s="21">
        <v>14.231</v>
      </c>
      <c r="BF105" s="21">
        <v>14.231</v>
      </c>
      <c r="BG105" s="21">
        <v>14.231</v>
      </c>
      <c r="BH105" s="21">
        <v>14.231</v>
      </c>
      <c r="BI105" s="21">
        <v>14.231</v>
      </c>
      <c r="BJ105" s="21">
        <v>14.231</v>
      </c>
      <c r="BK105" s="21">
        <v>14.231</v>
      </c>
      <c r="BL105" s="21">
        <v>14.231</v>
      </c>
      <c r="BM105" s="21">
        <v>14.231</v>
      </c>
      <c r="BN105" s="21">
        <v>14.231</v>
      </c>
      <c r="BO105" s="21">
        <v>14.231</v>
      </c>
      <c r="BP105" s="21">
        <v>14.231</v>
      </c>
      <c r="BQ105" s="21">
        <v>14.231</v>
      </c>
      <c r="BR105" s="21">
        <v>14.231</v>
      </c>
      <c r="BS105" s="21">
        <v>14.231</v>
      </c>
      <c r="BT105" s="21">
        <v>14.231</v>
      </c>
      <c r="BU105" s="21">
        <v>14.231</v>
      </c>
      <c r="BV105" s="21">
        <v>14.231</v>
      </c>
      <c r="BW105" s="21">
        <v>14.231</v>
      </c>
      <c r="BX105" s="21">
        <v>14.231</v>
      </c>
      <c r="BY105" s="21">
        <v>14.231</v>
      </c>
      <c r="BZ105" s="21">
        <v>14.231</v>
      </c>
      <c r="CA105" s="21">
        <v>14.231</v>
      </c>
      <c r="CB105" s="21">
        <v>14.231</v>
      </c>
      <c r="CC105" s="21">
        <v>14.231</v>
      </c>
      <c r="CD105" s="21">
        <v>14.231</v>
      </c>
      <c r="CE105" s="21">
        <v>14.231</v>
      </c>
      <c r="CF105" s="8">
        <v>14.231</v>
      </c>
      <c r="CG105" s="8">
        <v>14.231</v>
      </c>
      <c r="CH105" s="8">
        <v>14.231</v>
      </c>
      <c r="CI105" s="8">
        <v>14.231</v>
      </c>
      <c r="CJ105" s="8">
        <v>14.231</v>
      </c>
      <c r="CK105" s="8">
        <v>14.231</v>
      </c>
      <c r="CL105" s="8">
        <v>14.231</v>
      </c>
      <c r="CM105" s="8">
        <v>14.231</v>
      </c>
      <c r="CN105" s="8">
        <v>14.231</v>
      </c>
      <c r="CO105" s="8">
        <v>14.231</v>
      </c>
      <c r="CP105" s="8">
        <v>14.231</v>
      </c>
      <c r="CQ105" s="8">
        <v>14.231</v>
      </c>
      <c r="CR105" s="8">
        <v>14.231</v>
      </c>
      <c r="CS105" t="str">
        <f>IFERROR(INDEX('Initiative Summary'!$C$5:$C$25,MATCH($A105,'Initiative Summary'!$A$5:$A$25,0)),"")</f>
        <v>Northpeak Region</v>
      </c>
    </row>
    <row r="106" spans="1:97" ht="24" x14ac:dyDescent="0.25">
      <c r="A106" s="6" t="s">
        <v>681</v>
      </c>
      <c r="B106" s="10" t="s">
        <v>680</v>
      </c>
      <c r="C106" s="11" t="s">
        <v>205</v>
      </c>
      <c r="D106" s="11" t="s">
        <v>203</v>
      </c>
      <c r="E106" s="11" t="s">
        <v>206</v>
      </c>
      <c r="F106" s="11" t="s">
        <v>207</v>
      </c>
      <c r="G106" s="11"/>
      <c r="H106" s="11"/>
      <c r="I106" s="11"/>
      <c r="J106" s="11"/>
      <c r="K106" s="10"/>
      <c r="L106" s="11" t="s">
        <v>733</v>
      </c>
      <c r="M106" s="11" t="s">
        <v>199</v>
      </c>
      <c r="N106" s="20">
        <v>3</v>
      </c>
      <c r="O106" s="11" t="b">
        <v>0</v>
      </c>
      <c r="P106" s="11" t="s">
        <v>201</v>
      </c>
      <c r="Q106" s="11" t="s">
        <v>202</v>
      </c>
      <c r="R106" s="11" t="s">
        <v>202</v>
      </c>
      <c r="S106" s="11"/>
      <c r="T106" s="20">
        <v>12.026999999999999</v>
      </c>
      <c r="U106" s="20">
        <v>17.081</v>
      </c>
      <c r="V106" s="20">
        <v>17.081</v>
      </c>
      <c r="W106" s="20">
        <v>17.081</v>
      </c>
      <c r="X106" s="11">
        <v>0</v>
      </c>
      <c r="Y106" s="11">
        <v>0</v>
      </c>
      <c r="Z106" s="11">
        <v>0</v>
      </c>
      <c r="AA106" s="11">
        <v>0</v>
      </c>
      <c r="AB106" s="11">
        <v>0</v>
      </c>
      <c r="AC106" s="11">
        <v>0</v>
      </c>
      <c r="AD106" s="11">
        <v>0</v>
      </c>
      <c r="AE106" s="11">
        <v>0</v>
      </c>
      <c r="AF106" s="11">
        <v>0</v>
      </c>
      <c r="AG106" s="11">
        <v>0</v>
      </c>
      <c r="AH106" s="11">
        <v>0</v>
      </c>
      <c r="AI106" s="11">
        <v>0</v>
      </c>
      <c r="AJ106" s="20">
        <v>12.026999999999999</v>
      </c>
      <c r="AK106" s="20">
        <v>12.026999999999999</v>
      </c>
      <c r="AL106" s="20">
        <v>12.026999999999999</v>
      </c>
      <c r="AM106" s="20">
        <v>12.026999999999999</v>
      </c>
      <c r="AN106" s="20">
        <v>12.026999999999999</v>
      </c>
      <c r="AO106" s="20">
        <v>12.026999999999999</v>
      </c>
      <c r="AP106" s="20">
        <v>12.026999999999999</v>
      </c>
      <c r="AQ106" s="20">
        <v>12.026999999999999</v>
      </c>
      <c r="AR106" s="20">
        <v>12.026999999999999</v>
      </c>
      <c r="AS106" s="20">
        <v>12.026999999999999</v>
      </c>
      <c r="AT106" s="20">
        <v>12.026999999999999</v>
      </c>
      <c r="AU106" s="20">
        <v>12.026999999999999</v>
      </c>
      <c r="AV106" s="20">
        <v>17.081</v>
      </c>
      <c r="AW106" s="20">
        <v>17.081</v>
      </c>
      <c r="AX106" s="20">
        <v>17.081</v>
      </c>
      <c r="AY106" s="20">
        <v>17.081</v>
      </c>
      <c r="AZ106" s="20">
        <v>17.081</v>
      </c>
      <c r="BA106" s="20">
        <v>17.081</v>
      </c>
      <c r="BB106" s="20">
        <v>17.081</v>
      </c>
      <c r="BC106" s="20">
        <v>17.081</v>
      </c>
      <c r="BD106" s="20">
        <v>17.081</v>
      </c>
      <c r="BE106" s="20">
        <v>17.081</v>
      </c>
      <c r="BF106" s="20">
        <v>17.081</v>
      </c>
      <c r="BG106" s="20">
        <v>17.081</v>
      </c>
      <c r="BH106" s="20">
        <v>17.081</v>
      </c>
      <c r="BI106" s="20">
        <v>17.081</v>
      </c>
      <c r="BJ106" s="20">
        <v>17.081</v>
      </c>
      <c r="BK106" s="20">
        <v>17.081</v>
      </c>
      <c r="BL106" s="20">
        <v>17.081</v>
      </c>
      <c r="BM106" s="20">
        <v>17.081</v>
      </c>
      <c r="BN106" s="20">
        <v>17.081</v>
      </c>
      <c r="BO106" s="20">
        <v>17.081</v>
      </c>
      <c r="BP106" s="20">
        <v>17.081</v>
      </c>
      <c r="BQ106" s="20">
        <v>17.081</v>
      </c>
      <c r="BR106" s="20">
        <v>17.081</v>
      </c>
      <c r="BS106" s="20">
        <v>17.081</v>
      </c>
      <c r="BT106" s="20">
        <v>17.081</v>
      </c>
      <c r="BU106" s="20">
        <v>17.081</v>
      </c>
      <c r="BV106" s="20">
        <v>17.081</v>
      </c>
      <c r="BW106" s="20">
        <v>17.081</v>
      </c>
      <c r="BX106" s="20">
        <v>17.081</v>
      </c>
      <c r="BY106" s="20">
        <v>17.081</v>
      </c>
      <c r="BZ106" s="20">
        <v>17.081</v>
      </c>
      <c r="CA106" s="20">
        <v>17.081</v>
      </c>
      <c r="CB106" s="20">
        <v>17.081</v>
      </c>
      <c r="CC106" s="20">
        <v>17.081</v>
      </c>
      <c r="CD106" s="20">
        <v>17.081</v>
      </c>
      <c r="CE106" s="20">
        <v>17.081</v>
      </c>
      <c r="CF106" s="11">
        <v>17.081</v>
      </c>
      <c r="CG106" s="11">
        <v>17.081</v>
      </c>
      <c r="CH106" s="11">
        <v>17.081</v>
      </c>
      <c r="CI106" s="11">
        <v>17.081</v>
      </c>
      <c r="CJ106" s="11">
        <v>17.081</v>
      </c>
      <c r="CK106" s="11">
        <v>17.081</v>
      </c>
      <c r="CL106" s="11">
        <v>17.081</v>
      </c>
      <c r="CM106" s="11">
        <v>17.081</v>
      </c>
      <c r="CN106" s="11">
        <v>17.081</v>
      </c>
      <c r="CO106" s="11">
        <v>17.081</v>
      </c>
      <c r="CP106" s="11">
        <v>17.081</v>
      </c>
      <c r="CQ106" s="11">
        <v>17.081</v>
      </c>
      <c r="CR106" s="11">
        <v>17.081</v>
      </c>
      <c r="CS106" t="str">
        <f>IFERROR(INDEX('Initiative Summary'!$C$5:$C$25,MATCH($A106,'Initiative Summary'!$A$5:$A$25,0)),"")</f>
        <v>Northpeak Region</v>
      </c>
    </row>
    <row r="107" spans="1:97" ht="24" x14ac:dyDescent="0.25">
      <c r="A107" s="6" t="s">
        <v>681</v>
      </c>
      <c r="B107" s="7" t="s">
        <v>680</v>
      </c>
      <c r="C107" s="8" t="s">
        <v>205</v>
      </c>
      <c r="D107" s="8" t="s">
        <v>204</v>
      </c>
      <c r="E107" s="8" t="s">
        <v>206</v>
      </c>
      <c r="F107" s="8" t="s">
        <v>207</v>
      </c>
      <c r="G107" s="8"/>
      <c r="H107" s="8"/>
      <c r="I107" s="8"/>
      <c r="J107" s="8"/>
      <c r="K107" s="7"/>
      <c r="L107" s="8" t="s">
        <v>733</v>
      </c>
      <c r="M107" s="8" t="s">
        <v>199</v>
      </c>
      <c r="N107" s="21">
        <v>3</v>
      </c>
      <c r="O107" s="8" t="b">
        <v>0</v>
      </c>
      <c r="P107" s="8" t="s">
        <v>201</v>
      </c>
      <c r="Q107" s="8" t="s">
        <v>202</v>
      </c>
      <c r="R107" s="8" t="s">
        <v>202</v>
      </c>
      <c r="S107" s="8"/>
      <c r="T107" s="8"/>
      <c r="U107" s="8"/>
      <c r="V107" s="8"/>
      <c r="W107" s="8"/>
      <c r="X107" s="8">
        <v>0</v>
      </c>
      <c r="Y107" s="8">
        <v>0</v>
      </c>
      <c r="Z107" s="8">
        <v>0</v>
      </c>
      <c r="AA107" s="8">
        <v>0</v>
      </c>
      <c r="AB107" s="8">
        <v>0</v>
      </c>
      <c r="AC107" s="8">
        <v>0</v>
      </c>
      <c r="AD107" s="8">
        <v>0</v>
      </c>
      <c r="AE107" s="8">
        <v>0</v>
      </c>
      <c r="AF107" s="8">
        <v>0</v>
      </c>
      <c r="AG107" s="8">
        <v>0</v>
      </c>
      <c r="AH107" s="8">
        <v>0</v>
      </c>
      <c r="AI107" s="8">
        <v>0</v>
      </c>
      <c r="AJ107" s="8">
        <v>0</v>
      </c>
      <c r="AK107" s="8">
        <v>0</v>
      </c>
      <c r="AL107" s="8">
        <v>0</v>
      </c>
      <c r="AM107" s="8">
        <v>0</v>
      </c>
      <c r="AN107" s="8">
        <v>0</v>
      </c>
      <c r="AO107" s="8">
        <v>0</v>
      </c>
      <c r="AP107" s="8">
        <v>0</v>
      </c>
      <c r="AQ107" s="8">
        <v>0</v>
      </c>
      <c r="AR107" s="8">
        <v>0</v>
      </c>
      <c r="AS107" s="8">
        <v>0</v>
      </c>
      <c r="AT107" s="8">
        <v>0</v>
      </c>
      <c r="AU107" s="8">
        <v>0</v>
      </c>
      <c r="AV107" s="8">
        <v>0</v>
      </c>
      <c r="AW107" s="8">
        <v>0</v>
      </c>
      <c r="AX107" s="8">
        <v>0</v>
      </c>
      <c r="AY107" s="8">
        <v>0</v>
      </c>
      <c r="AZ107" s="8">
        <v>0</v>
      </c>
      <c r="BA107" s="8">
        <v>0</v>
      </c>
      <c r="BB107" s="8">
        <v>0</v>
      </c>
      <c r="BC107" s="8">
        <v>0</v>
      </c>
      <c r="BD107" s="8">
        <v>0</v>
      </c>
      <c r="BE107" s="8">
        <v>0</v>
      </c>
      <c r="BF107" s="8">
        <v>0</v>
      </c>
      <c r="BG107" s="8">
        <v>0</v>
      </c>
      <c r="BH107" s="8">
        <v>0</v>
      </c>
      <c r="BI107" s="8">
        <v>0</v>
      </c>
      <c r="BJ107" s="8">
        <v>0</v>
      </c>
      <c r="BK107" s="8">
        <v>0</v>
      </c>
      <c r="BL107" s="8">
        <v>0</v>
      </c>
      <c r="BM107" s="8">
        <v>0</v>
      </c>
      <c r="BN107" s="8">
        <v>0</v>
      </c>
      <c r="BO107" s="8">
        <v>0</v>
      </c>
      <c r="BP107" s="8">
        <v>0</v>
      </c>
      <c r="BQ107" s="8">
        <v>0</v>
      </c>
      <c r="BR107" s="8">
        <v>0</v>
      </c>
      <c r="BS107" s="8">
        <v>0</v>
      </c>
      <c r="BT107" s="8">
        <v>0</v>
      </c>
      <c r="BU107" s="8">
        <v>0</v>
      </c>
      <c r="BV107" s="8">
        <v>0</v>
      </c>
      <c r="BW107" s="8">
        <v>0</v>
      </c>
      <c r="BX107" s="8">
        <v>0</v>
      </c>
      <c r="BY107" s="8">
        <v>0</v>
      </c>
      <c r="BZ107" s="8">
        <v>0</v>
      </c>
      <c r="CA107" s="8">
        <v>0</v>
      </c>
      <c r="CB107" s="8">
        <v>0</v>
      </c>
      <c r="CC107" s="8">
        <v>0</v>
      </c>
      <c r="CD107" s="8">
        <v>0</v>
      </c>
      <c r="CE107" s="8">
        <v>0</v>
      </c>
      <c r="CF107" s="8">
        <v>0</v>
      </c>
      <c r="CG107" s="8">
        <v>0</v>
      </c>
      <c r="CH107" s="8">
        <v>0</v>
      </c>
      <c r="CI107" s="8">
        <v>0</v>
      </c>
      <c r="CJ107" s="8">
        <v>0</v>
      </c>
      <c r="CK107" s="8">
        <v>0</v>
      </c>
      <c r="CL107" s="8">
        <v>0</v>
      </c>
      <c r="CM107" s="8">
        <v>0</v>
      </c>
      <c r="CN107" s="8">
        <v>0</v>
      </c>
      <c r="CO107" s="8">
        <v>0</v>
      </c>
      <c r="CP107" s="8">
        <v>0</v>
      </c>
      <c r="CQ107" s="8">
        <v>0</v>
      </c>
      <c r="CR107" s="8">
        <v>0</v>
      </c>
      <c r="CS107" t="str">
        <f>IFERROR(INDEX('Initiative Summary'!$C$5:$C$25,MATCH($A107,'Initiative Summary'!$A$5:$A$25,0)),"")</f>
        <v>Northpeak Region</v>
      </c>
    </row>
    <row r="108" spans="1:97" ht="24" x14ac:dyDescent="0.25">
      <c r="A108" s="6" t="s">
        <v>681</v>
      </c>
      <c r="B108" s="10" t="s">
        <v>680</v>
      </c>
      <c r="C108" s="11" t="s">
        <v>206</v>
      </c>
      <c r="D108" s="11" t="s">
        <v>195</v>
      </c>
      <c r="E108" s="11" t="s">
        <v>206</v>
      </c>
      <c r="F108" s="11" t="s">
        <v>197</v>
      </c>
      <c r="G108" s="11"/>
      <c r="H108" s="11"/>
      <c r="I108" s="11"/>
      <c r="J108" s="11"/>
      <c r="K108" s="10"/>
      <c r="L108" s="11" t="s">
        <v>734</v>
      </c>
      <c r="M108" s="11" t="s">
        <v>199</v>
      </c>
      <c r="N108" s="20">
        <v>100</v>
      </c>
      <c r="O108" s="11" t="b">
        <v>0</v>
      </c>
      <c r="P108" s="11" t="s">
        <v>201</v>
      </c>
      <c r="Q108" s="11" t="s">
        <v>210</v>
      </c>
      <c r="R108" s="11" t="s">
        <v>210</v>
      </c>
      <c r="S108" s="11">
        <v>0</v>
      </c>
      <c r="T108" s="20">
        <v>0.39900000000000002</v>
      </c>
      <c r="U108" s="20">
        <v>0.58899999999999997</v>
      </c>
      <c r="V108" s="20">
        <v>0.58899999999999997</v>
      </c>
      <c r="W108" s="20">
        <v>0.58899999999999997</v>
      </c>
      <c r="X108" s="11">
        <v>0</v>
      </c>
      <c r="Y108" s="11">
        <v>0</v>
      </c>
      <c r="Z108" s="11">
        <v>0</v>
      </c>
      <c r="AA108" s="11">
        <v>0</v>
      </c>
      <c r="AB108" s="11">
        <v>0</v>
      </c>
      <c r="AC108" s="11">
        <v>0</v>
      </c>
      <c r="AD108" s="11">
        <v>0</v>
      </c>
      <c r="AE108" s="11">
        <v>0</v>
      </c>
      <c r="AF108" s="11">
        <v>0</v>
      </c>
      <c r="AG108" s="11">
        <v>0</v>
      </c>
      <c r="AH108" s="11">
        <v>0</v>
      </c>
      <c r="AI108" s="11">
        <v>0</v>
      </c>
      <c r="AJ108" s="20">
        <v>3.3250000000000002E-2</v>
      </c>
      <c r="AK108" s="20">
        <v>3.3250000000000002E-2</v>
      </c>
      <c r="AL108" s="20">
        <v>3.3250000000000002E-2</v>
      </c>
      <c r="AM108" s="20">
        <v>3.3250000000000002E-2</v>
      </c>
      <c r="AN108" s="20">
        <v>3.3250000000000002E-2</v>
      </c>
      <c r="AO108" s="20">
        <v>3.3250000000000002E-2</v>
      </c>
      <c r="AP108" s="20">
        <v>3.3250000000000002E-2</v>
      </c>
      <c r="AQ108" s="20">
        <v>3.3250000000000002E-2</v>
      </c>
      <c r="AR108" s="20">
        <v>3.3250000000000002E-2</v>
      </c>
      <c r="AS108" s="20">
        <v>3.3250000000000002E-2</v>
      </c>
      <c r="AT108" s="20">
        <v>3.3250000000000002E-2</v>
      </c>
      <c r="AU108" s="20">
        <v>3.3250000000000002E-2</v>
      </c>
      <c r="AV108" s="20">
        <v>4.9083333333333333E-2</v>
      </c>
      <c r="AW108" s="20">
        <v>4.9083333333333333E-2</v>
      </c>
      <c r="AX108" s="20">
        <v>4.9083333333333333E-2</v>
      </c>
      <c r="AY108" s="20">
        <v>4.9083333333333333E-2</v>
      </c>
      <c r="AZ108" s="20">
        <v>4.9083333333333333E-2</v>
      </c>
      <c r="BA108" s="20">
        <v>4.9083333333333333E-2</v>
      </c>
      <c r="BB108" s="20">
        <v>4.9083333333333333E-2</v>
      </c>
      <c r="BC108" s="20">
        <v>4.9083333333333333E-2</v>
      </c>
      <c r="BD108" s="20">
        <v>4.9083333333333333E-2</v>
      </c>
      <c r="BE108" s="20">
        <v>4.9083333333333333E-2</v>
      </c>
      <c r="BF108" s="20">
        <v>4.9083333333333333E-2</v>
      </c>
      <c r="BG108" s="20">
        <v>4.9083333333333333E-2</v>
      </c>
      <c r="BH108" s="20">
        <v>4.9083333333333333E-2</v>
      </c>
      <c r="BI108" s="20">
        <v>4.9083333333333333E-2</v>
      </c>
      <c r="BJ108" s="20">
        <v>4.9083333333333333E-2</v>
      </c>
      <c r="BK108" s="20">
        <v>4.9083333333333333E-2</v>
      </c>
      <c r="BL108" s="20">
        <v>4.9083333333333333E-2</v>
      </c>
      <c r="BM108" s="20">
        <v>4.9083333333333333E-2</v>
      </c>
      <c r="BN108" s="20">
        <v>4.9083333333333333E-2</v>
      </c>
      <c r="BO108" s="20">
        <v>4.9083333333333333E-2</v>
      </c>
      <c r="BP108" s="20">
        <v>4.9083333333333333E-2</v>
      </c>
      <c r="BQ108" s="20">
        <v>4.9083333333333333E-2</v>
      </c>
      <c r="BR108" s="20">
        <v>4.9083333333333333E-2</v>
      </c>
      <c r="BS108" s="20">
        <v>4.9083333333333333E-2</v>
      </c>
      <c r="BT108" s="20">
        <v>4.9083333333333333E-2</v>
      </c>
      <c r="BU108" s="20">
        <v>4.9083333333333333E-2</v>
      </c>
      <c r="BV108" s="20">
        <v>4.9083333333333333E-2</v>
      </c>
      <c r="BW108" s="20">
        <v>4.9083333333333333E-2</v>
      </c>
      <c r="BX108" s="20">
        <v>4.9083333333333333E-2</v>
      </c>
      <c r="BY108" s="20">
        <v>4.9083333333333333E-2</v>
      </c>
      <c r="BZ108" s="20">
        <v>4.9083333333333333E-2</v>
      </c>
      <c r="CA108" s="20">
        <v>4.9083333333333333E-2</v>
      </c>
      <c r="CB108" s="20">
        <v>4.9083333333333333E-2</v>
      </c>
      <c r="CC108" s="20">
        <v>4.9083333333333333E-2</v>
      </c>
      <c r="CD108" s="20">
        <v>4.9083333333333333E-2</v>
      </c>
      <c r="CE108" s="20">
        <v>4.9083333333333333E-2</v>
      </c>
      <c r="CF108" s="11">
        <v>0.58899999999999997</v>
      </c>
      <c r="CG108" s="11">
        <v>4.9083333333333333E-2</v>
      </c>
      <c r="CH108" s="11">
        <v>4.9083333333333333E-2</v>
      </c>
      <c r="CI108" s="11">
        <v>4.9083333333333333E-2</v>
      </c>
      <c r="CJ108" s="11">
        <v>4.9083333333333333E-2</v>
      </c>
      <c r="CK108" s="11">
        <v>4.9083333333333333E-2</v>
      </c>
      <c r="CL108" s="11">
        <v>4.9083333333333333E-2</v>
      </c>
      <c r="CM108" s="11">
        <v>4.9083333333333333E-2</v>
      </c>
      <c r="CN108" s="11">
        <v>4.9083333333333333E-2</v>
      </c>
      <c r="CO108" s="11">
        <v>4.9083333333333333E-2</v>
      </c>
      <c r="CP108" s="11">
        <v>4.9083333333333333E-2</v>
      </c>
      <c r="CQ108" s="11">
        <v>4.9083333333333333E-2</v>
      </c>
      <c r="CR108" s="11">
        <v>4.9083333333333333E-2</v>
      </c>
      <c r="CS108" t="str">
        <f>IFERROR(INDEX('Initiative Summary'!$C$5:$C$25,MATCH($A108,'Initiative Summary'!$A$5:$A$25,0)),"")</f>
        <v>Northpeak Region</v>
      </c>
    </row>
    <row r="109" spans="1:97" ht="24" x14ac:dyDescent="0.25">
      <c r="A109" s="6" t="s">
        <v>681</v>
      </c>
      <c r="B109" s="7" t="s">
        <v>680</v>
      </c>
      <c r="C109" s="8" t="s">
        <v>206</v>
      </c>
      <c r="D109" s="8" t="s">
        <v>203</v>
      </c>
      <c r="E109" s="8" t="s">
        <v>206</v>
      </c>
      <c r="F109" s="8" t="s">
        <v>197</v>
      </c>
      <c r="G109" s="8"/>
      <c r="H109" s="8"/>
      <c r="I109" s="8"/>
      <c r="J109" s="8"/>
      <c r="K109" s="7"/>
      <c r="L109" s="8" t="s">
        <v>734</v>
      </c>
      <c r="M109" s="8" t="s">
        <v>199</v>
      </c>
      <c r="N109" s="21">
        <v>100</v>
      </c>
      <c r="O109" s="8" t="b">
        <v>0</v>
      </c>
      <c r="P109" s="8" t="s">
        <v>201</v>
      </c>
      <c r="Q109" s="8" t="s">
        <v>210</v>
      </c>
      <c r="R109" s="8" t="s">
        <v>210</v>
      </c>
      <c r="S109" s="8">
        <v>0</v>
      </c>
      <c r="T109" s="21">
        <v>0.49399999999999999</v>
      </c>
      <c r="U109" s="21">
        <v>0.70299999999999996</v>
      </c>
      <c r="V109" s="21">
        <v>0.70299999999999996</v>
      </c>
      <c r="W109" s="21">
        <v>0.70299999999999996</v>
      </c>
      <c r="X109" s="8">
        <v>0</v>
      </c>
      <c r="Y109" s="8">
        <v>0</v>
      </c>
      <c r="Z109" s="8">
        <v>0</v>
      </c>
      <c r="AA109" s="8">
        <v>0</v>
      </c>
      <c r="AB109" s="8">
        <v>0</v>
      </c>
      <c r="AC109" s="8">
        <v>0</v>
      </c>
      <c r="AD109" s="8">
        <v>0</v>
      </c>
      <c r="AE109" s="8">
        <v>0</v>
      </c>
      <c r="AF109" s="8">
        <v>0</v>
      </c>
      <c r="AG109" s="8">
        <v>0</v>
      </c>
      <c r="AH109" s="8">
        <v>0</v>
      </c>
      <c r="AI109" s="8">
        <v>0</v>
      </c>
      <c r="AJ109" s="21">
        <v>4.1166666666666664E-2</v>
      </c>
      <c r="AK109" s="21">
        <v>4.1166666666666664E-2</v>
      </c>
      <c r="AL109" s="21">
        <v>4.1166666666666664E-2</v>
      </c>
      <c r="AM109" s="21">
        <v>4.1166666666666664E-2</v>
      </c>
      <c r="AN109" s="21">
        <v>4.1166666666666664E-2</v>
      </c>
      <c r="AO109" s="21">
        <v>4.1166666666666664E-2</v>
      </c>
      <c r="AP109" s="21">
        <v>4.1166666666666664E-2</v>
      </c>
      <c r="AQ109" s="21">
        <v>4.1166666666666664E-2</v>
      </c>
      <c r="AR109" s="21">
        <v>4.1166666666666664E-2</v>
      </c>
      <c r="AS109" s="21">
        <v>4.1166666666666664E-2</v>
      </c>
      <c r="AT109" s="21">
        <v>4.1166666666666664E-2</v>
      </c>
      <c r="AU109" s="21">
        <v>4.1166666666666664E-2</v>
      </c>
      <c r="AV109" s="21">
        <v>5.8583333333333328E-2</v>
      </c>
      <c r="AW109" s="21">
        <v>5.8583333333333328E-2</v>
      </c>
      <c r="AX109" s="21">
        <v>5.8583333333333328E-2</v>
      </c>
      <c r="AY109" s="21">
        <v>5.8583333333333328E-2</v>
      </c>
      <c r="AZ109" s="21">
        <v>5.8583333333333328E-2</v>
      </c>
      <c r="BA109" s="21">
        <v>5.8583333333333328E-2</v>
      </c>
      <c r="BB109" s="21">
        <v>5.8583333333333328E-2</v>
      </c>
      <c r="BC109" s="21">
        <v>5.8583333333333328E-2</v>
      </c>
      <c r="BD109" s="21">
        <v>5.8583333333333328E-2</v>
      </c>
      <c r="BE109" s="21">
        <v>5.8583333333333328E-2</v>
      </c>
      <c r="BF109" s="21">
        <v>5.8583333333333328E-2</v>
      </c>
      <c r="BG109" s="21">
        <v>5.8583333333333328E-2</v>
      </c>
      <c r="BH109" s="21">
        <v>5.8583333333333328E-2</v>
      </c>
      <c r="BI109" s="21">
        <v>5.8583333333333328E-2</v>
      </c>
      <c r="BJ109" s="21">
        <v>5.8583333333333328E-2</v>
      </c>
      <c r="BK109" s="21">
        <v>5.8583333333333328E-2</v>
      </c>
      <c r="BL109" s="21">
        <v>5.8583333333333328E-2</v>
      </c>
      <c r="BM109" s="21">
        <v>5.8583333333333328E-2</v>
      </c>
      <c r="BN109" s="21">
        <v>5.8583333333333328E-2</v>
      </c>
      <c r="BO109" s="21">
        <v>5.8583333333333328E-2</v>
      </c>
      <c r="BP109" s="21">
        <v>5.8583333333333328E-2</v>
      </c>
      <c r="BQ109" s="21">
        <v>5.8583333333333328E-2</v>
      </c>
      <c r="BR109" s="21">
        <v>5.8583333333333328E-2</v>
      </c>
      <c r="BS109" s="21">
        <v>5.8583333333333328E-2</v>
      </c>
      <c r="BT109" s="21">
        <v>5.8583333333333328E-2</v>
      </c>
      <c r="BU109" s="21">
        <v>5.8583333333333328E-2</v>
      </c>
      <c r="BV109" s="21">
        <v>5.8583333333333328E-2</v>
      </c>
      <c r="BW109" s="21">
        <v>5.8583333333333328E-2</v>
      </c>
      <c r="BX109" s="21">
        <v>5.8583333333333328E-2</v>
      </c>
      <c r="BY109" s="21">
        <v>5.8583333333333328E-2</v>
      </c>
      <c r="BZ109" s="21">
        <v>5.8583333333333328E-2</v>
      </c>
      <c r="CA109" s="21">
        <v>5.8583333333333328E-2</v>
      </c>
      <c r="CB109" s="21">
        <v>5.8583333333333328E-2</v>
      </c>
      <c r="CC109" s="21">
        <v>5.8583333333333328E-2</v>
      </c>
      <c r="CD109" s="21">
        <v>5.8583333333333328E-2</v>
      </c>
      <c r="CE109" s="21">
        <v>5.8583333333333328E-2</v>
      </c>
      <c r="CF109" s="8">
        <v>0.70299999999999996</v>
      </c>
      <c r="CG109" s="8">
        <v>5.8583333333333328E-2</v>
      </c>
      <c r="CH109" s="8">
        <v>5.8583333333333328E-2</v>
      </c>
      <c r="CI109" s="8">
        <v>5.8583333333333328E-2</v>
      </c>
      <c r="CJ109" s="8">
        <v>5.8583333333333328E-2</v>
      </c>
      <c r="CK109" s="8">
        <v>5.8583333333333328E-2</v>
      </c>
      <c r="CL109" s="8">
        <v>5.8583333333333328E-2</v>
      </c>
      <c r="CM109" s="8">
        <v>5.8583333333333328E-2</v>
      </c>
      <c r="CN109" s="8">
        <v>5.8583333333333328E-2</v>
      </c>
      <c r="CO109" s="8">
        <v>5.8583333333333328E-2</v>
      </c>
      <c r="CP109" s="8">
        <v>5.8583333333333328E-2</v>
      </c>
      <c r="CQ109" s="8">
        <v>5.8583333333333328E-2</v>
      </c>
      <c r="CR109" s="8">
        <v>5.8583333333333328E-2</v>
      </c>
      <c r="CS109" t="str">
        <f>IFERROR(INDEX('Initiative Summary'!$C$5:$C$25,MATCH($A109,'Initiative Summary'!$A$5:$A$25,0)),"")</f>
        <v>Northpeak Region</v>
      </c>
    </row>
    <row r="110" spans="1:97" ht="24" x14ac:dyDescent="0.25">
      <c r="A110" s="6" t="s">
        <v>681</v>
      </c>
      <c r="B110" s="10" t="s">
        <v>680</v>
      </c>
      <c r="C110" s="11" t="s">
        <v>206</v>
      </c>
      <c r="D110" s="11" t="s">
        <v>204</v>
      </c>
      <c r="E110" s="11" t="s">
        <v>206</v>
      </c>
      <c r="F110" s="11" t="s">
        <v>197</v>
      </c>
      <c r="G110" s="11"/>
      <c r="H110" s="11"/>
      <c r="I110" s="11"/>
      <c r="J110" s="11"/>
      <c r="K110" s="10"/>
      <c r="L110" s="11" t="s">
        <v>734</v>
      </c>
      <c r="M110" s="11" t="s">
        <v>199</v>
      </c>
      <c r="N110" s="20">
        <v>100</v>
      </c>
      <c r="O110" s="11" t="b">
        <v>0</v>
      </c>
      <c r="P110" s="11" t="s">
        <v>201</v>
      </c>
      <c r="Q110" s="11" t="s">
        <v>210</v>
      </c>
      <c r="R110" s="11" t="s">
        <v>210</v>
      </c>
      <c r="S110" s="11"/>
      <c r="T110" s="11"/>
      <c r="U110" s="11"/>
      <c r="V110" s="11"/>
      <c r="W110" s="11"/>
      <c r="X110" s="11">
        <v>0</v>
      </c>
      <c r="Y110" s="11">
        <v>0</v>
      </c>
      <c r="Z110" s="11">
        <v>0</v>
      </c>
      <c r="AA110" s="11">
        <v>0</v>
      </c>
      <c r="AB110" s="11">
        <v>0</v>
      </c>
      <c r="AC110" s="11">
        <v>0</v>
      </c>
      <c r="AD110" s="11">
        <v>0</v>
      </c>
      <c r="AE110" s="11">
        <v>0</v>
      </c>
      <c r="AF110" s="11">
        <v>0</v>
      </c>
      <c r="AG110" s="11">
        <v>0</v>
      </c>
      <c r="AH110" s="11">
        <v>0</v>
      </c>
      <c r="AI110" s="11">
        <v>0</v>
      </c>
      <c r="AJ110" s="11">
        <v>0</v>
      </c>
      <c r="AK110" s="11">
        <v>0</v>
      </c>
      <c r="AL110" s="11">
        <v>0</v>
      </c>
      <c r="AM110" s="11">
        <v>0</v>
      </c>
      <c r="AN110" s="11">
        <v>0</v>
      </c>
      <c r="AO110" s="11">
        <v>0</v>
      </c>
      <c r="AP110" s="11">
        <v>0</v>
      </c>
      <c r="AQ110" s="11">
        <v>0</v>
      </c>
      <c r="AR110" s="11">
        <v>0</v>
      </c>
      <c r="AS110" s="11">
        <v>0</v>
      </c>
      <c r="AT110" s="11">
        <v>0</v>
      </c>
      <c r="AU110" s="11">
        <v>0</v>
      </c>
      <c r="AV110" s="11">
        <v>0</v>
      </c>
      <c r="AW110" s="11">
        <v>0</v>
      </c>
      <c r="AX110" s="11">
        <v>0</v>
      </c>
      <c r="AY110" s="11">
        <v>0</v>
      </c>
      <c r="AZ110" s="11">
        <v>0</v>
      </c>
      <c r="BA110" s="11">
        <v>0</v>
      </c>
      <c r="BB110" s="11">
        <v>0</v>
      </c>
      <c r="BC110" s="11">
        <v>0</v>
      </c>
      <c r="BD110" s="11">
        <v>0</v>
      </c>
      <c r="BE110" s="11">
        <v>0</v>
      </c>
      <c r="BF110" s="11">
        <v>0</v>
      </c>
      <c r="BG110" s="11">
        <v>0</v>
      </c>
      <c r="BH110" s="11">
        <v>0</v>
      </c>
      <c r="BI110" s="11">
        <v>0</v>
      </c>
      <c r="BJ110" s="11">
        <v>0</v>
      </c>
      <c r="BK110" s="11">
        <v>0</v>
      </c>
      <c r="BL110" s="11">
        <v>0</v>
      </c>
      <c r="BM110" s="11">
        <v>0</v>
      </c>
      <c r="BN110" s="11">
        <v>0</v>
      </c>
      <c r="BO110" s="11">
        <v>0</v>
      </c>
      <c r="BP110" s="11">
        <v>0</v>
      </c>
      <c r="BQ110" s="11">
        <v>0</v>
      </c>
      <c r="BR110" s="11">
        <v>0</v>
      </c>
      <c r="BS110" s="11">
        <v>0</v>
      </c>
      <c r="BT110" s="11">
        <v>0</v>
      </c>
      <c r="BU110" s="11">
        <v>0</v>
      </c>
      <c r="BV110" s="11">
        <v>0</v>
      </c>
      <c r="BW110" s="11">
        <v>0</v>
      </c>
      <c r="BX110" s="11">
        <v>0</v>
      </c>
      <c r="BY110" s="11">
        <v>0</v>
      </c>
      <c r="BZ110" s="11">
        <v>0</v>
      </c>
      <c r="CA110" s="11">
        <v>0</v>
      </c>
      <c r="CB110" s="11">
        <v>0</v>
      </c>
      <c r="CC110" s="11">
        <v>0</v>
      </c>
      <c r="CD110" s="11">
        <v>0</v>
      </c>
      <c r="CE110" s="11">
        <v>0</v>
      </c>
      <c r="CF110" s="11">
        <v>0</v>
      </c>
      <c r="CG110" s="11">
        <v>0</v>
      </c>
      <c r="CH110" s="11">
        <v>0</v>
      </c>
      <c r="CI110" s="11">
        <v>0</v>
      </c>
      <c r="CJ110" s="11">
        <v>0</v>
      </c>
      <c r="CK110" s="11">
        <v>0</v>
      </c>
      <c r="CL110" s="11">
        <v>0</v>
      </c>
      <c r="CM110" s="11">
        <v>0</v>
      </c>
      <c r="CN110" s="11">
        <v>0</v>
      </c>
      <c r="CO110" s="11">
        <v>0</v>
      </c>
      <c r="CP110" s="11">
        <v>0</v>
      </c>
      <c r="CQ110" s="11">
        <v>0</v>
      </c>
      <c r="CR110" s="11">
        <v>0</v>
      </c>
      <c r="CS110" t="str">
        <f>IFERROR(INDEX('Initiative Summary'!$C$5:$C$25,MATCH($A110,'Initiative Summary'!$A$5:$A$25,0)),"")</f>
        <v>Northpeak Region</v>
      </c>
    </row>
    <row r="111" spans="1:97" ht="24" x14ac:dyDescent="0.25">
      <c r="A111" s="6" t="s">
        <v>686</v>
      </c>
      <c r="B111" s="10" t="s">
        <v>685</v>
      </c>
      <c r="C111" s="11" t="s">
        <v>194</v>
      </c>
      <c r="D111" s="11" t="s">
        <v>195</v>
      </c>
      <c r="E111" s="11" t="s">
        <v>196</v>
      </c>
      <c r="F111" s="11" t="s">
        <v>197</v>
      </c>
      <c r="G111" s="11"/>
      <c r="H111" s="11" t="s">
        <v>215</v>
      </c>
      <c r="I111" s="11" t="s">
        <v>216</v>
      </c>
      <c r="J111" s="11"/>
      <c r="K111" s="10"/>
      <c r="L111" s="11" t="s">
        <v>735</v>
      </c>
      <c r="M111" s="11" t="s">
        <v>199</v>
      </c>
      <c r="N111" s="20">
        <v>0</v>
      </c>
      <c r="O111" s="11" t="b">
        <v>0</v>
      </c>
      <c r="P111" s="11" t="s">
        <v>218</v>
      </c>
      <c r="Q111" s="11" t="s">
        <v>219</v>
      </c>
      <c r="R111" s="11" t="s">
        <v>219</v>
      </c>
      <c r="S111" s="11">
        <v>0</v>
      </c>
      <c r="T111" s="11">
        <v>0</v>
      </c>
      <c r="U111" s="11">
        <v>0</v>
      </c>
      <c r="V111" s="11">
        <v>0</v>
      </c>
      <c r="W111" s="11">
        <v>0</v>
      </c>
      <c r="X111" s="11">
        <v>0</v>
      </c>
      <c r="Y111" s="11">
        <v>0</v>
      </c>
      <c r="Z111" s="11">
        <v>0</v>
      </c>
      <c r="AA111" s="11">
        <v>0</v>
      </c>
      <c r="AB111" s="11">
        <v>0</v>
      </c>
      <c r="AC111" s="11">
        <v>0</v>
      </c>
      <c r="AD111" s="11">
        <v>0</v>
      </c>
      <c r="AE111" s="11">
        <v>0</v>
      </c>
      <c r="AF111" s="11">
        <v>0</v>
      </c>
      <c r="AG111" s="11">
        <v>0</v>
      </c>
      <c r="AH111" s="11">
        <v>0</v>
      </c>
      <c r="AI111" s="11">
        <v>0</v>
      </c>
      <c r="AJ111" s="11">
        <v>0</v>
      </c>
      <c r="AK111" s="11">
        <v>0</v>
      </c>
      <c r="AL111" s="11">
        <v>0</v>
      </c>
      <c r="AM111" s="11">
        <v>0</v>
      </c>
      <c r="AN111" s="11">
        <v>0</v>
      </c>
      <c r="AO111" s="11">
        <v>0</v>
      </c>
      <c r="AP111" s="11">
        <v>0</v>
      </c>
      <c r="AQ111" s="11">
        <v>0</v>
      </c>
      <c r="AR111" s="11">
        <v>0</v>
      </c>
      <c r="AS111" s="11">
        <v>0</v>
      </c>
      <c r="AT111" s="11">
        <v>0</v>
      </c>
      <c r="AU111" s="11">
        <v>0</v>
      </c>
      <c r="AV111" s="11">
        <v>0</v>
      </c>
      <c r="AW111" s="11">
        <v>0</v>
      </c>
      <c r="AX111" s="11">
        <v>0</v>
      </c>
      <c r="AY111" s="11">
        <v>0</v>
      </c>
      <c r="AZ111" s="11">
        <v>0</v>
      </c>
      <c r="BA111" s="11">
        <v>0</v>
      </c>
      <c r="BB111" s="11">
        <v>0</v>
      </c>
      <c r="BC111" s="11">
        <v>0</v>
      </c>
      <c r="BD111" s="11">
        <v>0</v>
      </c>
      <c r="BE111" s="11">
        <v>0</v>
      </c>
      <c r="BF111" s="11">
        <v>0</v>
      </c>
      <c r="BG111" s="11">
        <v>0</v>
      </c>
      <c r="BH111" s="11">
        <v>0</v>
      </c>
      <c r="BI111" s="11">
        <v>0</v>
      </c>
      <c r="BJ111" s="11">
        <v>0</v>
      </c>
      <c r="BK111" s="11">
        <v>0</v>
      </c>
      <c r="BL111" s="11">
        <v>0</v>
      </c>
      <c r="BM111" s="11">
        <v>0</v>
      </c>
      <c r="BN111" s="11">
        <v>0</v>
      </c>
      <c r="BO111" s="11">
        <v>0</v>
      </c>
      <c r="BP111" s="11">
        <v>0</v>
      </c>
      <c r="BQ111" s="11">
        <v>0</v>
      </c>
      <c r="BR111" s="11">
        <v>0</v>
      </c>
      <c r="BS111" s="11">
        <v>0</v>
      </c>
      <c r="BT111" s="11">
        <v>0</v>
      </c>
      <c r="BU111" s="11">
        <v>0</v>
      </c>
      <c r="BV111" s="11">
        <v>0</v>
      </c>
      <c r="BW111" s="11">
        <v>0</v>
      </c>
      <c r="BX111" s="11">
        <v>0</v>
      </c>
      <c r="BY111" s="11">
        <v>0</v>
      </c>
      <c r="BZ111" s="11">
        <v>0</v>
      </c>
      <c r="CA111" s="11">
        <v>0</v>
      </c>
      <c r="CB111" s="11">
        <v>0</v>
      </c>
      <c r="CC111" s="11">
        <v>0</v>
      </c>
      <c r="CD111" s="11">
        <v>0</v>
      </c>
      <c r="CE111" s="11">
        <v>0</v>
      </c>
      <c r="CF111" s="11">
        <v>0</v>
      </c>
      <c r="CG111" s="11">
        <v>0</v>
      </c>
      <c r="CH111" s="11">
        <v>0</v>
      </c>
      <c r="CI111" s="11">
        <v>0</v>
      </c>
      <c r="CJ111" s="11">
        <v>0</v>
      </c>
      <c r="CK111" s="11">
        <v>0</v>
      </c>
      <c r="CL111" s="11">
        <v>0</v>
      </c>
      <c r="CM111" s="11">
        <v>0</v>
      </c>
      <c r="CN111" s="11">
        <v>0</v>
      </c>
      <c r="CO111" s="11">
        <v>0</v>
      </c>
      <c r="CP111" s="11">
        <v>0</v>
      </c>
      <c r="CQ111" s="11">
        <v>0</v>
      </c>
      <c r="CR111" s="11">
        <v>0</v>
      </c>
      <c r="CS111" t="str">
        <f>IFERROR(INDEX('Initiative Summary'!$C$5:$C$25,MATCH($A111,'Initiative Summary'!$A$5:$A$25,0)),"")</f>
        <v>Northpeak Region</v>
      </c>
    </row>
    <row r="112" spans="1:97" ht="24" x14ac:dyDescent="0.25">
      <c r="A112" s="6" t="s">
        <v>686</v>
      </c>
      <c r="B112" s="7" t="s">
        <v>685</v>
      </c>
      <c r="C112" s="8" t="s">
        <v>194</v>
      </c>
      <c r="D112" s="8" t="s">
        <v>203</v>
      </c>
      <c r="E112" s="8" t="s">
        <v>196</v>
      </c>
      <c r="F112" s="8" t="s">
        <v>197</v>
      </c>
      <c r="G112" s="8"/>
      <c r="H112" s="8" t="s">
        <v>215</v>
      </c>
      <c r="I112" s="8" t="s">
        <v>216</v>
      </c>
      <c r="J112" s="8"/>
      <c r="K112" s="7"/>
      <c r="L112" s="8" t="s">
        <v>735</v>
      </c>
      <c r="M112" s="8" t="s">
        <v>199</v>
      </c>
      <c r="N112" s="21">
        <v>0</v>
      </c>
      <c r="O112" s="8" t="b">
        <v>0</v>
      </c>
      <c r="P112" s="8" t="s">
        <v>218</v>
      </c>
      <c r="Q112" s="8" t="s">
        <v>219</v>
      </c>
      <c r="R112" s="8" t="s">
        <v>219</v>
      </c>
      <c r="S112" s="8">
        <v>0</v>
      </c>
      <c r="T112" s="8">
        <v>0</v>
      </c>
      <c r="U112" s="8">
        <v>0</v>
      </c>
      <c r="V112" s="8">
        <v>0</v>
      </c>
      <c r="W112" s="8">
        <v>0</v>
      </c>
      <c r="X112" s="8">
        <v>0</v>
      </c>
      <c r="Y112" s="8">
        <v>0</v>
      </c>
      <c r="Z112" s="8">
        <v>0</v>
      </c>
      <c r="AA112" s="8">
        <v>0</v>
      </c>
      <c r="AB112" s="8">
        <v>0</v>
      </c>
      <c r="AC112" s="8">
        <v>0</v>
      </c>
      <c r="AD112" s="8">
        <v>0</v>
      </c>
      <c r="AE112" s="8">
        <v>0</v>
      </c>
      <c r="AF112" s="8">
        <v>0</v>
      </c>
      <c r="AG112" s="8">
        <v>0</v>
      </c>
      <c r="AH112" s="8">
        <v>0</v>
      </c>
      <c r="AI112" s="8">
        <v>0</v>
      </c>
      <c r="AJ112" s="8">
        <v>0</v>
      </c>
      <c r="AK112" s="8">
        <v>0</v>
      </c>
      <c r="AL112" s="8">
        <v>0</v>
      </c>
      <c r="AM112" s="8">
        <v>0</v>
      </c>
      <c r="AN112" s="8">
        <v>0</v>
      </c>
      <c r="AO112" s="8">
        <v>0</v>
      </c>
      <c r="AP112" s="8">
        <v>0</v>
      </c>
      <c r="AQ112" s="8">
        <v>0</v>
      </c>
      <c r="AR112" s="8">
        <v>0</v>
      </c>
      <c r="AS112" s="8">
        <v>0</v>
      </c>
      <c r="AT112" s="8">
        <v>0</v>
      </c>
      <c r="AU112" s="8">
        <v>0</v>
      </c>
      <c r="AV112" s="8">
        <v>0</v>
      </c>
      <c r="AW112" s="8">
        <v>0</v>
      </c>
      <c r="AX112" s="8">
        <v>0</v>
      </c>
      <c r="AY112" s="8">
        <v>0</v>
      </c>
      <c r="AZ112" s="8">
        <v>0</v>
      </c>
      <c r="BA112" s="8">
        <v>0</v>
      </c>
      <c r="BB112" s="8">
        <v>0</v>
      </c>
      <c r="BC112" s="8">
        <v>0</v>
      </c>
      <c r="BD112" s="8">
        <v>0</v>
      </c>
      <c r="BE112" s="8">
        <v>0</v>
      </c>
      <c r="BF112" s="8">
        <v>0</v>
      </c>
      <c r="BG112" s="8">
        <v>0</v>
      </c>
      <c r="BH112" s="8">
        <v>0</v>
      </c>
      <c r="BI112" s="8">
        <v>0</v>
      </c>
      <c r="BJ112" s="8">
        <v>0</v>
      </c>
      <c r="BK112" s="8">
        <v>0</v>
      </c>
      <c r="BL112" s="8">
        <v>0</v>
      </c>
      <c r="BM112" s="8">
        <v>0</v>
      </c>
      <c r="BN112" s="8">
        <v>0</v>
      </c>
      <c r="BO112" s="8">
        <v>0</v>
      </c>
      <c r="BP112" s="8">
        <v>0</v>
      </c>
      <c r="BQ112" s="8">
        <v>0</v>
      </c>
      <c r="BR112" s="8">
        <v>0</v>
      </c>
      <c r="BS112" s="8">
        <v>0</v>
      </c>
      <c r="BT112" s="8">
        <v>0</v>
      </c>
      <c r="BU112" s="8">
        <v>0</v>
      </c>
      <c r="BV112" s="8">
        <v>0</v>
      </c>
      <c r="BW112" s="8">
        <v>0</v>
      </c>
      <c r="BX112" s="8">
        <v>0</v>
      </c>
      <c r="BY112" s="8">
        <v>0</v>
      </c>
      <c r="BZ112" s="8">
        <v>0</v>
      </c>
      <c r="CA112" s="8">
        <v>0</v>
      </c>
      <c r="CB112" s="8">
        <v>0</v>
      </c>
      <c r="CC112" s="8">
        <v>0</v>
      </c>
      <c r="CD112" s="8">
        <v>0</v>
      </c>
      <c r="CE112" s="8">
        <v>0</v>
      </c>
      <c r="CF112" s="8">
        <v>0</v>
      </c>
      <c r="CG112" s="8">
        <v>0</v>
      </c>
      <c r="CH112" s="8">
        <v>0</v>
      </c>
      <c r="CI112" s="8">
        <v>0</v>
      </c>
      <c r="CJ112" s="8">
        <v>0</v>
      </c>
      <c r="CK112" s="8">
        <v>0</v>
      </c>
      <c r="CL112" s="8">
        <v>0</v>
      </c>
      <c r="CM112" s="8">
        <v>0</v>
      </c>
      <c r="CN112" s="8">
        <v>0</v>
      </c>
      <c r="CO112" s="8">
        <v>0</v>
      </c>
      <c r="CP112" s="8">
        <v>0</v>
      </c>
      <c r="CQ112" s="8">
        <v>0</v>
      </c>
      <c r="CR112" s="8">
        <v>0</v>
      </c>
      <c r="CS112" t="str">
        <f>IFERROR(INDEX('Initiative Summary'!$C$5:$C$25,MATCH($A112,'Initiative Summary'!$A$5:$A$25,0)),"")</f>
        <v>Northpeak Region</v>
      </c>
    </row>
    <row r="113" spans="1:97" ht="24" x14ac:dyDescent="0.25">
      <c r="A113" s="6" t="s">
        <v>686</v>
      </c>
      <c r="B113" s="10" t="s">
        <v>685</v>
      </c>
      <c r="C113" s="11" t="s">
        <v>194</v>
      </c>
      <c r="D113" s="11" t="s">
        <v>204</v>
      </c>
      <c r="E113" s="11" t="s">
        <v>196</v>
      </c>
      <c r="F113" s="11" t="s">
        <v>197</v>
      </c>
      <c r="G113" s="11"/>
      <c r="H113" s="11" t="s">
        <v>215</v>
      </c>
      <c r="I113" s="11" t="s">
        <v>216</v>
      </c>
      <c r="J113" s="11"/>
      <c r="K113" s="10"/>
      <c r="L113" s="11" t="s">
        <v>735</v>
      </c>
      <c r="M113" s="11" t="s">
        <v>199</v>
      </c>
      <c r="N113" s="20">
        <v>0</v>
      </c>
      <c r="O113" s="11" t="b">
        <v>0</v>
      </c>
      <c r="P113" s="11" t="s">
        <v>218</v>
      </c>
      <c r="Q113" s="11" t="s">
        <v>219</v>
      </c>
      <c r="R113" s="11" t="s">
        <v>219</v>
      </c>
      <c r="S113" s="11">
        <v>0</v>
      </c>
      <c r="T113" s="11">
        <v>0</v>
      </c>
      <c r="U113" s="11">
        <v>0</v>
      </c>
      <c r="V113" s="11">
        <v>0</v>
      </c>
      <c r="W113" s="11">
        <v>0</v>
      </c>
      <c r="X113" s="11">
        <v>0</v>
      </c>
      <c r="Y113" s="11">
        <v>0</v>
      </c>
      <c r="Z113" s="11">
        <v>0</v>
      </c>
      <c r="AA113" s="11">
        <v>0</v>
      </c>
      <c r="AB113" s="11">
        <v>0</v>
      </c>
      <c r="AC113" s="11">
        <v>0</v>
      </c>
      <c r="AD113" s="11">
        <v>0</v>
      </c>
      <c r="AE113" s="11">
        <v>0</v>
      </c>
      <c r="AF113" s="11">
        <v>0</v>
      </c>
      <c r="AG113" s="11">
        <v>0</v>
      </c>
      <c r="AH113" s="11">
        <v>0</v>
      </c>
      <c r="AI113" s="11">
        <v>0</v>
      </c>
      <c r="AJ113" s="11">
        <v>0</v>
      </c>
      <c r="AK113" s="11">
        <v>0</v>
      </c>
      <c r="AL113" s="11">
        <v>0</v>
      </c>
      <c r="AM113" s="11">
        <v>0</v>
      </c>
      <c r="AN113" s="11">
        <v>0</v>
      </c>
      <c r="AO113" s="11">
        <v>0</v>
      </c>
      <c r="AP113" s="11">
        <v>0</v>
      </c>
      <c r="AQ113" s="11">
        <v>0</v>
      </c>
      <c r="AR113" s="11">
        <v>0</v>
      </c>
      <c r="AS113" s="11">
        <v>0</v>
      </c>
      <c r="AT113" s="11">
        <v>0</v>
      </c>
      <c r="AU113" s="11">
        <v>0</v>
      </c>
      <c r="AV113" s="11">
        <v>0</v>
      </c>
      <c r="AW113" s="11">
        <v>0</v>
      </c>
      <c r="AX113" s="11">
        <v>0</v>
      </c>
      <c r="AY113" s="11">
        <v>0</v>
      </c>
      <c r="AZ113" s="11">
        <v>0</v>
      </c>
      <c r="BA113" s="11">
        <v>0</v>
      </c>
      <c r="BB113" s="11">
        <v>0</v>
      </c>
      <c r="BC113" s="11">
        <v>0</v>
      </c>
      <c r="BD113" s="11">
        <v>0</v>
      </c>
      <c r="BE113" s="11">
        <v>0</v>
      </c>
      <c r="BF113" s="11">
        <v>0</v>
      </c>
      <c r="BG113" s="11">
        <v>0</v>
      </c>
      <c r="BH113" s="11">
        <v>0</v>
      </c>
      <c r="BI113" s="11">
        <v>0</v>
      </c>
      <c r="BJ113" s="11">
        <v>0</v>
      </c>
      <c r="BK113" s="11">
        <v>0</v>
      </c>
      <c r="BL113" s="11">
        <v>0</v>
      </c>
      <c r="BM113" s="11">
        <v>0</v>
      </c>
      <c r="BN113" s="11">
        <v>0</v>
      </c>
      <c r="BO113" s="11">
        <v>0</v>
      </c>
      <c r="BP113" s="11">
        <v>0</v>
      </c>
      <c r="BQ113" s="11">
        <v>0</v>
      </c>
      <c r="BR113" s="11">
        <v>0</v>
      </c>
      <c r="BS113" s="11">
        <v>0</v>
      </c>
      <c r="BT113" s="11">
        <v>0</v>
      </c>
      <c r="BU113" s="11">
        <v>0</v>
      </c>
      <c r="BV113" s="11">
        <v>0</v>
      </c>
      <c r="BW113" s="11">
        <v>0</v>
      </c>
      <c r="BX113" s="11">
        <v>0</v>
      </c>
      <c r="BY113" s="11">
        <v>0</v>
      </c>
      <c r="BZ113" s="11">
        <v>0</v>
      </c>
      <c r="CA113" s="11">
        <v>0</v>
      </c>
      <c r="CB113" s="11">
        <v>0</v>
      </c>
      <c r="CC113" s="11">
        <v>0</v>
      </c>
      <c r="CD113" s="11">
        <v>0</v>
      </c>
      <c r="CE113" s="11">
        <v>0</v>
      </c>
      <c r="CF113" s="11">
        <v>0</v>
      </c>
      <c r="CG113" s="11">
        <v>0</v>
      </c>
      <c r="CH113" s="11">
        <v>0</v>
      </c>
      <c r="CI113" s="11">
        <v>0</v>
      </c>
      <c r="CJ113" s="11">
        <v>0</v>
      </c>
      <c r="CK113" s="11">
        <v>0</v>
      </c>
      <c r="CL113" s="11">
        <v>0</v>
      </c>
      <c r="CM113" s="11">
        <v>0</v>
      </c>
      <c r="CN113" s="11">
        <v>0</v>
      </c>
      <c r="CO113" s="11">
        <v>0</v>
      </c>
      <c r="CP113" s="11">
        <v>0</v>
      </c>
      <c r="CQ113" s="11">
        <v>0</v>
      </c>
      <c r="CR113" s="11">
        <v>0</v>
      </c>
      <c r="CS113" t="str">
        <f>IFERROR(INDEX('Initiative Summary'!$C$5:$C$25,MATCH($A113,'Initiative Summary'!$A$5:$A$25,0)),"")</f>
        <v>Northpeak Region</v>
      </c>
    </row>
    <row r="114" spans="1:97" ht="24" x14ac:dyDescent="0.25">
      <c r="A114" s="6" t="s">
        <v>686</v>
      </c>
      <c r="B114" s="7" t="s">
        <v>685</v>
      </c>
      <c r="C114" s="8" t="s">
        <v>205</v>
      </c>
      <c r="D114" s="8" t="s">
        <v>195</v>
      </c>
      <c r="E114" s="8" t="s">
        <v>206</v>
      </c>
      <c r="F114" s="8" t="s">
        <v>207</v>
      </c>
      <c r="G114" s="8"/>
      <c r="H114" s="8"/>
      <c r="I114" s="8"/>
      <c r="J114" s="8"/>
      <c r="K114" s="7"/>
      <c r="L114" s="25" t="s">
        <v>736</v>
      </c>
      <c r="M114" s="8" t="s">
        <v>199</v>
      </c>
      <c r="N114" s="21">
        <v>3</v>
      </c>
      <c r="O114" s="8" t="b">
        <v>0</v>
      </c>
      <c r="P114" s="8" t="s">
        <v>201</v>
      </c>
      <c r="Q114" s="8" t="s">
        <v>219</v>
      </c>
      <c r="R114" s="8" t="s">
        <v>219</v>
      </c>
      <c r="S114" s="8"/>
      <c r="T114" s="21">
        <v>15.047999999999998</v>
      </c>
      <c r="U114" s="21">
        <v>24.24</v>
      </c>
      <c r="V114" s="21">
        <v>24.24</v>
      </c>
      <c r="W114" s="21">
        <v>24.24</v>
      </c>
      <c r="X114" s="8">
        <v>0</v>
      </c>
      <c r="Y114" s="8">
        <v>0</v>
      </c>
      <c r="Z114" s="8">
        <v>0</v>
      </c>
      <c r="AA114" s="8">
        <v>0</v>
      </c>
      <c r="AB114" s="8">
        <v>0</v>
      </c>
      <c r="AC114" s="8">
        <v>0</v>
      </c>
      <c r="AD114" s="8">
        <v>0</v>
      </c>
      <c r="AE114" s="8">
        <v>0</v>
      </c>
      <c r="AF114" s="8">
        <v>0</v>
      </c>
      <c r="AG114" s="8">
        <v>0</v>
      </c>
      <c r="AH114" s="8">
        <v>0</v>
      </c>
      <c r="AI114" s="8">
        <v>0</v>
      </c>
      <c r="AJ114" s="21">
        <v>0</v>
      </c>
      <c r="AK114" s="21">
        <v>0</v>
      </c>
      <c r="AL114" s="21">
        <v>0</v>
      </c>
      <c r="AM114" s="21">
        <v>0</v>
      </c>
      <c r="AN114" s="21">
        <v>15.048</v>
      </c>
      <c r="AO114" s="21">
        <v>15.048</v>
      </c>
      <c r="AP114" s="21">
        <v>15.048</v>
      </c>
      <c r="AQ114" s="21">
        <v>15.048</v>
      </c>
      <c r="AR114" s="21">
        <v>15.048</v>
      </c>
      <c r="AS114" s="21">
        <v>15.048</v>
      </c>
      <c r="AT114" s="21">
        <v>15.048</v>
      </c>
      <c r="AU114" s="21">
        <v>15.048</v>
      </c>
      <c r="AV114" s="21">
        <v>24.24</v>
      </c>
      <c r="AW114" s="21">
        <v>24.24</v>
      </c>
      <c r="AX114" s="21">
        <v>24.24</v>
      </c>
      <c r="AY114" s="21">
        <v>24.24</v>
      </c>
      <c r="AZ114" s="21">
        <v>24.24</v>
      </c>
      <c r="BA114" s="21">
        <v>24.24</v>
      </c>
      <c r="BB114" s="21">
        <v>24.24</v>
      </c>
      <c r="BC114" s="21">
        <v>24.24</v>
      </c>
      <c r="BD114" s="21">
        <v>24.24</v>
      </c>
      <c r="BE114" s="21">
        <v>24.24</v>
      </c>
      <c r="BF114" s="21">
        <v>24.24</v>
      </c>
      <c r="BG114" s="21">
        <v>24.24</v>
      </c>
      <c r="BH114" s="21">
        <v>24.24</v>
      </c>
      <c r="BI114" s="21">
        <v>24.24</v>
      </c>
      <c r="BJ114" s="21">
        <v>24.24</v>
      </c>
      <c r="BK114" s="21">
        <v>24.24</v>
      </c>
      <c r="BL114" s="21">
        <v>24.24</v>
      </c>
      <c r="BM114" s="21">
        <v>24.24</v>
      </c>
      <c r="BN114" s="21">
        <v>24.24</v>
      </c>
      <c r="BO114" s="21">
        <v>24.24</v>
      </c>
      <c r="BP114" s="21">
        <v>24.24</v>
      </c>
      <c r="BQ114" s="21">
        <v>24.24</v>
      </c>
      <c r="BR114" s="21">
        <v>24.24</v>
      </c>
      <c r="BS114" s="21">
        <v>24.24</v>
      </c>
      <c r="BT114" s="21">
        <v>24.24</v>
      </c>
      <c r="BU114" s="21">
        <v>24.24</v>
      </c>
      <c r="BV114" s="21">
        <v>24.24</v>
      </c>
      <c r="BW114" s="21">
        <v>24.24</v>
      </c>
      <c r="BX114" s="21">
        <v>24.24</v>
      </c>
      <c r="BY114" s="21">
        <v>24.24</v>
      </c>
      <c r="BZ114" s="21">
        <v>24.24</v>
      </c>
      <c r="CA114" s="21">
        <v>24.24</v>
      </c>
      <c r="CB114" s="21">
        <v>24.24</v>
      </c>
      <c r="CC114" s="21">
        <v>24.24</v>
      </c>
      <c r="CD114" s="21">
        <v>24.24</v>
      </c>
      <c r="CE114" s="21">
        <v>24.24</v>
      </c>
      <c r="CF114" s="8">
        <v>24.24</v>
      </c>
      <c r="CG114" s="8">
        <v>24.24</v>
      </c>
      <c r="CH114" s="8">
        <v>24.24</v>
      </c>
      <c r="CI114" s="8">
        <v>24.24</v>
      </c>
      <c r="CJ114" s="8">
        <v>24.24</v>
      </c>
      <c r="CK114" s="8">
        <v>24.24</v>
      </c>
      <c r="CL114" s="8">
        <v>24.24</v>
      </c>
      <c r="CM114" s="8">
        <v>24.24</v>
      </c>
      <c r="CN114" s="8">
        <v>24.24</v>
      </c>
      <c r="CO114" s="8">
        <v>24.24</v>
      </c>
      <c r="CP114" s="8">
        <v>24.24</v>
      </c>
      <c r="CQ114" s="8">
        <v>24.24</v>
      </c>
      <c r="CR114" s="8">
        <v>24.24</v>
      </c>
      <c r="CS114" t="str">
        <f>IFERROR(INDEX('Initiative Summary'!$C$5:$C$25,MATCH($A114,'Initiative Summary'!$A$5:$A$25,0)),"")</f>
        <v>Northpeak Region</v>
      </c>
    </row>
    <row r="115" spans="1:97" ht="24" x14ac:dyDescent="0.25">
      <c r="A115" s="6" t="s">
        <v>686</v>
      </c>
      <c r="B115" s="10" t="s">
        <v>685</v>
      </c>
      <c r="C115" s="11" t="s">
        <v>205</v>
      </c>
      <c r="D115" s="11" t="s">
        <v>203</v>
      </c>
      <c r="E115" s="11" t="s">
        <v>206</v>
      </c>
      <c r="F115" s="11" t="s">
        <v>207</v>
      </c>
      <c r="G115" s="11"/>
      <c r="H115" s="11"/>
      <c r="I115" s="11"/>
      <c r="J115" s="11"/>
      <c r="K115" s="10"/>
      <c r="L115" s="26" t="s">
        <v>736</v>
      </c>
      <c r="M115" s="11" t="s">
        <v>199</v>
      </c>
      <c r="N115" s="20">
        <v>3</v>
      </c>
      <c r="O115" s="11" t="b">
        <v>0</v>
      </c>
      <c r="P115" s="11" t="s">
        <v>201</v>
      </c>
      <c r="Q115" s="11" t="s">
        <v>219</v>
      </c>
      <c r="R115" s="11" t="s">
        <v>219</v>
      </c>
      <c r="S115" s="11"/>
      <c r="T115" s="20">
        <v>20.184000000000001</v>
      </c>
      <c r="U115" s="20">
        <v>32.304000000000002</v>
      </c>
      <c r="V115" s="20">
        <v>32.304000000000002</v>
      </c>
      <c r="W115" s="20">
        <v>32.304000000000002</v>
      </c>
      <c r="X115" s="11">
        <v>0</v>
      </c>
      <c r="Y115" s="11">
        <v>0</v>
      </c>
      <c r="Z115" s="11">
        <v>0</v>
      </c>
      <c r="AA115" s="11">
        <v>0</v>
      </c>
      <c r="AB115" s="11">
        <v>0</v>
      </c>
      <c r="AC115" s="11">
        <v>0</v>
      </c>
      <c r="AD115" s="11">
        <v>0</v>
      </c>
      <c r="AE115" s="11">
        <v>0</v>
      </c>
      <c r="AF115" s="11">
        <v>0</v>
      </c>
      <c r="AG115" s="11">
        <v>0</v>
      </c>
      <c r="AH115" s="11">
        <v>0</v>
      </c>
      <c r="AI115" s="11">
        <v>0</v>
      </c>
      <c r="AJ115" s="20">
        <v>0</v>
      </c>
      <c r="AK115" s="20">
        <v>0</v>
      </c>
      <c r="AL115" s="20">
        <v>0</v>
      </c>
      <c r="AM115" s="20">
        <v>0</v>
      </c>
      <c r="AN115" s="20">
        <v>20.184000000000001</v>
      </c>
      <c r="AO115" s="20">
        <v>20.184000000000001</v>
      </c>
      <c r="AP115" s="20">
        <v>20.184000000000001</v>
      </c>
      <c r="AQ115" s="20">
        <v>20.184000000000001</v>
      </c>
      <c r="AR115" s="20">
        <v>20.184000000000001</v>
      </c>
      <c r="AS115" s="20">
        <v>20.184000000000001</v>
      </c>
      <c r="AT115" s="20">
        <v>20.184000000000001</v>
      </c>
      <c r="AU115" s="20">
        <v>20.184000000000001</v>
      </c>
      <c r="AV115" s="20">
        <v>32.304000000000002</v>
      </c>
      <c r="AW115" s="20">
        <v>32.304000000000002</v>
      </c>
      <c r="AX115" s="20">
        <v>32.304000000000002</v>
      </c>
      <c r="AY115" s="20">
        <v>32.304000000000002</v>
      </c>
      <c r="AZ115" s="20">
        <v>32.304000000000002</v>
      </c>
      <c r="BA115" s="20">
        <v>32.304000000000002</v>
      </c>
      <c r="BB115" s="20">
        <v>32.304000000000002</v>
      </c>
      <c r="BC115" s="20">
        <v>32.304000000000002</v>
      </c>
      <c r="BD115" s="20">
        <v>32.304000000000002</v>
      </c>
      <c r="BE115" s="20">
        <v>32.304000000000002</v>
      </c>
      <c r="BF115" s="20">
        <v>32.304000000000002</v>
      </c>
      <c r="BG115" s="20">
        <v>32.304000000000002</v>
      </c>
      <c r="BH115" s="20">
        <v>32.304000000000002</v>
      </c>
      <c r="BI115" s="20">
        <v>32.304000000000002</v>
      </c>
      <c r="BJ115" s="20">
        <v>32.304000000000002</v>
      </c>
      <c r="BK115" s="20">
        <v>32.304000000000002</v>
      </c>
      <c r="BL115" s="20">
        <v>32.304000000000002</v>
      </c>
      <c r="BM115" s="20">
        <v>32.304000000000002</v>
      </c>
      <c r="BN115" s="20">
        <v>32.304000000000002</v>
      </c>
      <c r="BO115" s="20">
        <v>32.304000000000002</v>
      </c>
      <c r="BP115" s="20">
        <v>32.304000000000002</v>
      </c>
      <c r="BQ115" s="20">
        <v>32.304000000000002</v>
      </c>
      <c r="BR115" s="20">
        <v>32.304000000000002</v>
      </c>
      <c r="BS115" s="20">
        <v>32.304000000000002</v>
      </c>
      <c r="BT115" s="20">
        <v>32.304000000000002</v>
      </c>
      <c r="BU115" s="20">
        <v>32.304000000000002</v>
      </c>
      <c r="BV115" s="20">
        <v>32.304000000000002</v>
      </c>
      <c r="BW115" s="20">
        <v>32.304000000000002</v>
      </c>
      <c r="BX115" s="20">
        <v>32.304000000000002</v>
      </c>
      <c r="BY115" s="20">
        <v>32.304000000000002</v>
      </c>
      <c r="BZ115" s="20">
        <v>32.304000000000002</v>
      </c>
      <c r="CA115" s="20">
        <v>32.304000000000002</v>
      </c>
      <c r="CB115" s="20">
        <v>32.304000000000002</v>
      </c>
      <c r="CC115" s="20">
        <v>32.304000000000002</v>
      </c>
      <c r="CD115" s="20">
        <v>32.304000000000002</v>
      </c>
      <c r="CE115" s="20">
        <v>32.304000000000002</v>
      </c>
      <c r="CF115" s="11">
        <v>32.304000000000002</v>
      </c>
      <c r="CG115" s="11">
        <v>32.304000000000002</v>
      </c>
      <c r="CH115" s="11">
        <v>32.304000000000002</v>
      </c>
      <c r="CI115" s="11">
        <v>32.304000000000002</v>
      </c>
      <c r="CJ115" s="11">
        <v>32.304000000000002</v>
      </c>
      <c r="CK115" s="11">
        <v>32.304000000000002</v>
      </c>
      <c r="CL115" s="11">
        <v>32.304000000000002</v>
      </c>
      <c r="CM115" s="11">
        <v>32.304000000000002</v>
      </c>
      <c r="CN115" s="11">
        <v>32.304000000000002</v>
      </c>
      <c r="CO115" s="11">
        <v>32.304000000000002</v>
      </c>
      <c r="CP115" s="11">
        <v>32.304000000000002</v>
      </c>
      <c r="CQ115" s="11">
        <v>32.304000000000002</v>
      </c>
      <c r="CR115" s="11">
        <v>32.304000000000002</v>
      </c>
      <c r="CS115" t="str">
        <f>IFERROR(INDEX('Initiative Summary'!$C$5:$C$25,MATCH($A115,'Initiative Summary'!$A$5:$A$25,0)),"")</f>
        <v>Northpeak Region</v>
      </c>
    </row>
    <row r="116" spans="1:97" ht="24" x14ac:dyDescent="0.25">
      <c r="A116" s="6" t="s">
        <v>686</v>
      </c>
      <c r="B116" s="7" t="s">
        <v>685</v>
      </c>
      <c r="C116" s="8" t="s">
        <v>205</v>
      </c>
      <c r="D116" s="8" t="s">
        <v>204</v>
      </c>
      <c r="E116" s="8" t="s">
        <v>206</v>
      </c>
      <c r="F116" s="8" t="s">
        <v>207</v>
      </c>
      <c r="G116" s="8"/>
      <c r="H116" s="8"/>
      <c r="I116" s="8"/>
      <c r="J116" s="8"/>
      <c r="K116" s="7"/>
      <c r="L116" s="25" t="s">
        <v>736</v>
      </c>
      <c r="M116" s="8" t="s">
        <v>199</v>
      </c>
      <c r="N116" s="21">
        <v>3</v>
      </c>
      <c r="O116" s="8" t="b">
        <v>0</v>
      </c>
      <c r="P116" s="8" t="s">
        <v>201</v>
      </c>
      <c r="Q116" s="8" t="s">
        <v>219</v>
      </c>
      <c r="R116" s="8" t="s">
        <v>219</v>
      </c>
      <c r="S116" s="8"/>
      <c r="T116" s="8"/>
      <c r="U116" s="8"/>
      <c r="V116" s="8"/>
      <c r="W116" s="8"/>
      <c r="X116" s="8">
        <v>0</v>
      </c>
      <c r="Y116" s="8">
        <v>0</v>
      </c>
      <c r="Z116" s="8">
        <v>0</v>
      </c>
      <c r="AA116" s="8">
        <v>0</v>
      </c>
      <c r="AB116" s="8">
        <v>0</v>
      </c>
      <c r="AC116" s="8">
        <v>0</v>
      </c>
      <c r="AD116" s="8">
        <v>0</v>
      </c>
      <c r="AE116" s="8">
        <v>0</v>
      </c>
      <c r="AF116" s="8">
        <v>0</v>
      </c>
      <c r="AG116" s="8">
        <v>0</v>
      </c>
      <c r="AH116" s="8">
        <v>0</v>
      </c>
      <c r="AI116" s="8">
        <v>0</v>
      </c>
      <c r="AJ116" s="8">
        <v>0</v>
      </c>
      <c r="AK116" s="8">
        <v>0</v>
      </c>
      <c r="AL116" s="8">
        <v>0</v>
      </c>
      <c r="AM116" s="8">
        <v>0</v>
      </c>
      <c r="AN116" s="8">
        <v>0</v>
      </c>
      <c r="AO116" s="8">
        <v>0</v>
      </c>
      <c r="AP116" s="8">
        <v>0</v>
      </c>
      <c r="AQ116" s="8">
        <v>0</v>
      </c>
      <c r="AR116" s="8">
        <v>0</v>
      </c>
      <c r="AS116" s="8">
        <v>0</v>
      </c>
      <c r="AT116" s="8">
        <v>0</v>
      </c>
      <c r="AU116" s="8">
        <v>0</v>
      </c>
      <c r="AV116" s="8">
        <v>0</v>
      </c>
      <c r="AW116" s="8">
        <v>0</v>
      </c>
      <c r="AX116" s="8">
        <v>0</v>
      </c>
      <c r="AY116" s="8">
        <v>0</v>
      </c>
      <c r="AZ116" s="8">
        <v>0</v>
      </c>
      <c r="BA116" s="8">
        <v>0</v>
      </c>
      <c r="BB116" s="8">
        <v>0</v>
      </c>
      <c r="BC116" s="8">
        <v>0</v>
      </c>
      <c r="BD116" s="8">
        <v>0</v>
      </c>
      <c r="BE116" s="8">
        <v>0</v>
      </c>
      <c r="BF116" s="8">
        <v>0</v>
      </c>
      <c r="BG116" s="8">
        <v>0</v>
      </c>
      <c r="BH116" s="8">
        <v>0</v>
      </c>
      <c r="BI116" s="8">
        <v>0</v>
      </c>
      <c r="BJ116" s="8">
        <v>0</v>
      </c>
      <c r="BK116" s="8">
        <v>0</v>
      </c>
      <c r="BL116" s="8">
        <v>0</v>
      </c>
      <c r="BM116" s="8">
        <v>0</v>
      </c>
      <c r="BN116" s="8">
        <v>0</v>
      </c>
      <c r="BO116" s="8">
        <v>0</v>
      </c>
      <c r="BP116" s="8">
        <v>0</v>
      </c>
      <c r="BQ116" s="8">
        <v>0</v>
      </c>
      <c r="BR116" s="8">
        <v>0</v>
      </c>
      <c r="BS116" s="8">
        <v>0</v>
      </c>
      <c r="BT116" s="8">
        <v>0</v>
      </c>
      <c r="BU116" s="8">
        <v>0</v>
      </c>
      <c r="BV116" s="8">
        <v>0</v>
      </c>
      <c r="BW116" s="8">
        <v>0</v>
      </c>
      <c r="BX116" s="8">
        <v>0</v>
      </c>
      <c r="BY116" s="8">
        <v>0</v>
      </c>
      <c r="BZ116" s="8">
        <v>0</v>
      </c>
      <c r="CA116" s="8">
        <v>0</v>
      </c>
      <c r="CB116" s="8">
        <v>0</v>
      </c>
      <c r="CC116" s="8">
        <v>0</v>
      </c>
      <c r="CD116" s="8">
        <v>0</v>
      </c>
      <c r="CE116" s="8">
        <v>0</v>
      </c>
      <c r="CF116" s="8">
        <v>0</v>
      </c>
      <c r="CG116" s="8">
        <v>0</v>
      </c>
      <c r="CH116" s="8">
        <v>0</v>
      </c>
      <c r="CI116" s="8">
        <v>0</v>
      </c>
      <c r="CJ116" s="8">
        <v>0</v>
      </c>
      <c r="CK116" s="8">
        <v>0</v>
      </c>
      <c r="CL116" s="8">
        <v>0</v>
      </c>
      <c r="CM116" s="8">
        <v>0</v>
      </c>
      <c r="CN116" s="8">
        <v>0</v>
      </c>
      <c r="CO116" s="8">
        <v>0</v>
      </c>
      <c r="CP116" s="8">
        <v>0</v>
      </c>
      <c r="CQ116" s="8">
        <v>0</v>
      </c>
      <c r="CR116" s="8">
        <v>0</v>
      </c>
      <c r="CS116" t="str">
        <f>IFERROR(INDEX('Initiative Summary'!$C$5:$C$25,MATCH($A116,'Initiative Summary'!$A$5:$A$25,0)),"")</f>
        <v>Northpeak Region</v>
      </c>
    </row>
    <row r="117" spans="1:97" ht="24" x14ac:dyDescent="0.25">
      <c r="A117" s="6" t="s">
        <v>686</v>
      </c>
      <c r="B117" s="10" t="s">
        <v>685</v>
      </c>
      <c r="C117" s="11" t="s">
        <v>206</v>
      </c>
      <c r="D117" s="11" t="s">
        <v>195</v>
      </c>
      <c r="E117" s="11" t="s">
        <v>206</v>
      </c>
      <c r="F117" s="11" t="s">
        <v>197</v>
      </c>
      <c r="G117" s="11"/>
      <c r="H117" s="11"/>
      <c r="I117" s="11"/>
      <c r="J117" s="11"/>
      <c r="K117" s="10"/>
      <c r="L117" s="11" t="s">
        <v>737</v>
      </c>
      <c r="M117" s="11" t="s">
        <v>199</v>
      </c>
      <c r="N117" s="20">
        <v>100</v>
      </c>
      <c r="O117" s="11" t="b">
        <v>0</v>
      </c>
      <c r="P117" s="11" t="s">
        <v>201</v>
      </c>
      <c r="Q117" s="11" t="s">
        <v>210</v>
      </c>
      <c r="R117" s="11" t="s">
        <v>210</v>
      </c>
      <c r="S117" s="11">
        <v>0</v>
      </c>
      <c r="T117" s="20">
        <v>1.488</v>
      </c>
      <c r="U117" s="20">
        <v>2.2320000000000002</v>
      </c>
      <c r="V117" s="20">
        <v>2.2320000000000002</v>
      </c>
      <c r="W117" s="20">
        <v>2.2320000000000002</v>
      </c>
      <c r="X117" s="11">
        <v>0</v>
      </c>
      <c r="Y117" s="11">
        <v>0</v>
      </c>
      <c r="Z117" s="11">
        <v>0</v>
      </c>
      <c r="AA117" s="11">
        <v>0</v>
      </c>
      <c r="AB117" s="11">
        <v>0</v>
      </c>
      <c r="AC117" s="11">
        <v>0</v>
      </c>
      <c r="AD117" s="11">
        <v>0</v>
      </c>
      <c r="AE117" s="11">
        <v>0</v>
      </c>
      <c r="AF117" s="11">
        <v>0</v>
      </c>
      <c r="AG117" s="11">
        <v>0</v>
      </c>
      <c r="AH117" s="11">
        <v>0</v>
      </c>
      <c r="AI117" s="11">
        <v>0</v>
      </c>
      <c r="AJ117" s="20">
        <v>0</v>
      </c>
      <c r="AK117" s="20">
        <v>0</v>
      </c>
      <c r="AL117" s="20">
        <v>0</v>
      </c>
      <c r="AM117" s="20">
        <v>0</v>
      </c>
      <c r="AN117" s="20">
        <v>0.186</v>
      </c>
      <c r="AO117" s="20">
        <v>0.186</v>
      </c>
      <c r="AP117" s="20">
        <v>0.186</v>
      </c>
      <c r="AQ117" s="20">
        <v>0.186</v>
      </c>
      <c r="AR117" s="20">
        <v>0.186</v>
      </c>
      <c r="AS117" s="20">
        <v>0.186</v>
      </c>
      <c r="AT117" s="20">
        <v>0.186</v>
      </c>
      <c r="AU117" s="20">
        <v>0.186</v>
      </c>
      <c r="AV117" s="20">
        <v>0.18600000000000003</v>
      </c>
      <c r="AW117" s="20">
        <v>0.18600000000000003</v>
      </c>
      <c r="AX117" s="20">
        <v>0.18600000000000003</v>
      </c>
      <c r="AY117" s="20">
        <v>0.18600000000000003</v>
      </c>
      <c r="AZ117" s="20">
        <v>0.18600000000000003</v>
      </c>
      <c r="BA117" s="20">
        <v>0.18600000000000003</v>
      </c>
      <c r="BB117" s="20">
        <v>0.18600000000000003</v>
      </c>
      <c r="BC117" s="20">
        <v>0.18600000000000003</v>
      </c>
      <c r="BD117" s="20">
        <v>0.18600000000000003</v>
      </c>
      <c r="BE117" s="20">
        <v>0.18600000000000003</v>
      </c>
      <c r="BF117" s="20">
        <v>0.18600000000000003</v>
      </c>
      <c r="BG117" s="20">
        <v>0.18600000000000003</v>
      </c>
      <c r="BH117" s="20">
        <v>0.18600000000000003</v>
      </c>
      <c r="BI117" s="20">
        <v>0.18600000000000003</v>
      </c>
      <c r="BJ117" s="20">
        <v>0.18600000000000003</v>
      </c>
      <c r="BK117" s="20">
        <v>0.18600000000000003</v>
      </c>
      <c r="BL117" s="20">
        <v>0.18600000000000003</v>
      </c>
      <c r="BM117" s="20">
        <v>0.18600000000000003</v>
      </c>
      <c r="BN117" s="20">
        <v>0.18600000000000003</v>
      </c>
      <c r="BO117" s="20">
        <v>0.18600000000000003</v>
      </c>
      <c r="BP117" s="20">
        <v>0.18600000000000003</v>
      </c>
      <c r="BQ117" s="20">
        <v>0.18600000000000003</v>
      </c>
      <c r="BR117" s="20">
        <v>0.18600000000000003</v>
      </c>
      <c r="BS117" s="20">
        <v>0.18600000000000003</v>
      </c>
      <c r="BT117" s="20">
        <v>0.18600000000000003</v>
      </c>
      <c r="BU117" s="20">
        <v>0.18600000000000003</v>
      </c>
      <c r="BV117" s="20">
        <v>0.18600000000000003</v>
      </c>
      <c r="BW117" s="20">
        <v>0.18600000000000003</v>
      </c>
      <c r="BX117" s="20">
        <v>0.18600000000000003</v>
      </c>
      <c r="BY117" s="20">
        <v>0.18600000000000003</v>
      </c>
      <c r="BZ117" s="20">
        <v>0.18600000000000003</v>
      </c>
      <c r="CA117" s="20">
        <v>0.18600000000000003</v>
      </c>
      <c r="CB117" s="20">
        <v>0.18600000000000003</v>
      </c>
      <c r="CC117" s="20">
        <v>0.18600000000000003</v>
      </c>
      <c r="CD117" s="20">
        <v>0.18600000000000003</v>
      </c>
      <c r="CE117" s="20">
        <v>0.18600000000000003</v>
      </c>
      <c r="CF117" s="11">
        <v>2.2320000000000002</v>
      </c>
      <c r="CG117" s="11">
        <v>0.18600000000000003</v>
      </c>
      <c r="CH117" s="11">
        <v>0.18600000000000003</v>
      </c>
      <c r="CI117" s="11">
        <v>0.18600000000000003</v>
      </c>
      <c r="CJ117" s="11">
        <v>0.18600000000000003</v>
      </c>
      <c r="CK117" s="11">
        <v>0.18600000000000003</v>
      </c>
      <c r="CL117" s="11">
        <v>0.18600000000000003</v>
      </c>
      <c r="CM117" s="11">
        <v>0.18600000000000003</v>
      </c>
      <c r="CN117" s="11">
        <v>0.18600000000000003</v>
      </c>
      <c r="CO117" s="11">
        <v>0.18600000000000003</v>
      </c>
      <c r="CP117" s="11">
        <v>0.18600000000000003</v>
      </c>
      <c r="CQ117" s="11">
        <v>0.18600000000000003</v>
      </c>
      <c r="CR117" s="11">
        <v>0.18600000000000003</v>
      </c>
      <c r="CS117" t="str">
        <f>IFERROR(INDEX('Initiative Summary'!$C$5:$C$25,MATCH($A117,'Initiative Summary'!$A$5:$A$25,0)),"")</f>
        <v>Northpeak Region</v>
      </c>
    </row>
    <row r="118" spans="1:97" ht="24" x14ac:dyDescent="0.25">
      <c r="A118" s="6" t="s">
        <v>686</v>
      </c>
      <c r="B118" s="7" t="s">
        <v>685</v>
      </c>
      <c r="C118" s="8" t="s">
        <v>206</v>
      </c>
      <c r="D118" s="8" t="s">
        <v>203</v>
      </c>
      <c r="E118" s="8" t="s">
        <v>206</v>
      </c>
      <c r="F118" s="8" t="s">
        <v>197</v>
      </c>
      <c r="G118" s="8"/>
      <c r="H118" s="8"/>
      <c r="I118" s="8"/>
      <c r="J118" s="8"/>
      <c r="K118" s="7"/>
      <c r="L118" s="8" t="s">
        <v>737</v>
      </c>
      <c r="M118" s="8" t="s">
        <v>199</v>
      </c>
      <c r="N118" s="21">
        <v>100</v>
      </c>
      <c r="O118" s="8" t="b">
        <v>0</v>
      </c>
      <c r="P118" s="8" t="s">
        <v>201</v>
      </c>
      <c r="Q118" s="8" t="s">
        <v>210</v>
      </c>
      <c r="R118" s="8" t="s">
        <v>210</v>
      </c>
      <c r="S118" s="8">
        <v>0</v>
      </c>
      <c r="T118" s="21">
        <v>1.992</v>
      </c>
      <c r="U118" s="21">
        <v>2.976</v>
      </c>
      <c r="V118" s="21">
        <v>2.976</v>
      </c>
      <c r="W118" s="21">
        <v>2.976</v>
      </c>
      <c r="X118" s="8">
        <v>0</v>
      </c>
      <c r="Y118" s="8">
        <v>0</v>
      </c>
      <c r="Z118" s="8">
        <v>0</v>
      </c>
      <c r="AA118" s="8">
        <v>0</v>
      </c>
      <c r="AB118" s="8">
        <v>0</v>
      </c>
      <c r="AC118" s="8">
        <v>0</v>
      </c>
      <c r="AD118" s="8">
        <v>0</v>
      </c>
      <c r="AE118" s="8">
        <v>0</v>
      </c>
      <c r="AF118" s="8">
        <v>0</v>
      </c>
      <c r="AG118" s="8">
        <v>0</v>
      </c>
      <c r="AH118" s="8">
        <v>0</v>
      </c>
      <c r="AI118" s="8">
        <v>0</v>
      </c>
      <c r="AJ118" s="21">
        <v>0</v>
      </c>
      <c r="AK118" s="21">
        <v>0</v>
      </c>
      <c r="AL118" s="21">
        <v>0</v>
      </c>
      <c r="AM118" s="21">
        <v>0</v>
      </c>
      <c r="AN118" s="21">
        <v>0.249</v>
      </c>
      <c r="AO118" s="21">
        <v>0.249</v>
      </c>
      <c r="AP118" s="21">
        <v>0.249</v>
      </c>
      <c r="AQ118" s="21">
        <v>0.249</v>
      </c>
      <c r="AR118" s="21">
        <v>0.249</v>
      </c>
      <c r="AS118" s="21">
        <v>0.249</v>
      </c>
      <c r="AT118" s="21">
        <v>0.249</v>
      </c>
      <c r="AU118" s="21">
        <v>0.249</v>
      </c>
      <c r="AV118" s="21">
        <v>0.248</v>
      </c>
      <c r="AW118" s="21">
        <v>0.248</v>
      </c>
      <c r="AX118" s="21">
        <v>0.248</v>
      </c>
      <c r="AY118" s="21">
        <v>0.248</v>
      </c>
      <c r="AZ118" s="21">
        <v>0.248</v>
      </c>
      <c r="BA118" s="21">
        <v>0.248</v>
      </c>
      <c r="BB118" s="21">
        <v>0.248</v>
      </c>
      <c r="BC118" s="21">
        <v>0.248</v>
      </c>
      <c r="BD118" s="21">
        <v>0.248</v>
      </c>
      <c r="BE118" s="21">
        <v>0.248</v>
      </c>
      <c r="BF118" s="21">
        <v>0.248</v>
      </c>
      <c r="BG118" s="21">
        <v>0.248</v>
      </c>
      <c r="BH118" s="21">
        <v>0.248</v>
      </c>
      <c r="BI118" s="21">
        <v>0.248</v>
      </c>
      <c r="BJ118" s="21">
        <v>0.248</v>
      </c>
      <c r="BK118" s="21">
        <v>0.248</v>
      </c>
      <c r="BL118" s="21">
        <v>0.248</v>
      </c>
      <c r="BM118" s="21">
        <v>0.248</v>
      </c>
      <c r="BN118" s="21">
        <v>0.248</v>
      </c>
      <c r="BO118" s="21">
        <v>0.248</v>
      </c>
      <c r="BP118" s="21">
        <v>0.248</v>
      </c>
      <c r="BQ118" s="21">
        <v>0.248</v>
      </c>
      <c r="BR118" s="21">
        <v>0.248</v>
      </c>
      <c r="BS118" s="21">
        <v>0.248</v>
      </c>
      <c r="BT118" s="21">
        <v>0.248</v>
      </c>
      <c r="BU118" s="21">
        <v>0.248</v>
      </c>
      <c r="BV118" s="21">
        <v>0.248</v>
      </c>
      <c r="BW118" s="21">
        <v>0.248</v>
      </c>
      <c r="BX118" s="21">
        <v>0.248</v>
      </c>
      <c r="BY118" s="21">
        <v>0.248</v>
      </c>
      <c r="BZ118" s="21">
        <v>0.248</v>
      </c>
      <c r="CA118" s="21">
        <v>0.248</v>
      </c>
      <c r="CB118" s="21">
        <v>0.248</v>
      </c>
      <c r="CC118" s="21">
        <v>0.248</v>
      </c>
      <c r="CD118" s="21">
        <v>0.248</v>
      </c>
      <c r="CE118" s="21">
        <v>0.248</v>
      </c>
      <c r="CF118" s="8">
        <v>2.976</v>
      </c>
      <c r="CG118" s="8">
        <v>0.248</v>
      </c>
      <c r="CH118" s="8">
        <v>0.248</v>
      </c>
      <c r="CI118" s="8">
        <v>0.248</v>
      </c>
      <c r="CJ118" s="8">
        <v>0.248</v>
      </c>
      <c r="CK118" s="8">
        <v>0.248</v>
      </c>
      <c r="CL118" s="8">
        <v>0.248</v>
      </c>
      <c r="CM118" s="8">
        <v>0.248</v>
      </c>
      <c r="CN118" s="8">
        <v>0.248</v>
      </c>
      <c r="CO118" s="8">
        <v>0.248</v>
      </c>
      <c r="CP118" s="8">
        <v>0.248</v>
      </c>
      <c r="CQ118" s="8">
        <v>0.248</v>
      </c>
      <c r="CR118" s="8">
        <v>0.248</v>
      </c>
      <c r="CS118" t="str">
        <f>IFERROR(INDEX('Initiative Summary'!$C$5:$C$25,MATCH($A118,'Initiative Summary'!$A$5:$A$25,0)),"")</f>
        <v>Northpeak Region</v>
      </c>
    </row>
    <row r="119" spans="1:97" ht="24" x14ac:dyDescent="0.25">
      <c r="A119" s="6" t="s">
        <v>686</v>
      </c>
      <c r="B119" s="10" t="s">
        <v>685</v>
      </c>
      <c r="C119" s="11" t="s">
        <v>206</v>
      </c>
      <c r="D119" s="11" t="s">
        <v>204</v>
      </c>
      <c r="E119" s="11" t="s">
        <v>206</v>
      </c>
      <c r="F119" s="11" t="s">
        <v>197</v>
      </c>
      <c r="G119" s="11"/>
      <c r="H119" s="11"/>
      <c r="I119" s="11"/>
      <c r="J119" s="11"/>
      <c r="K119" s="10"/>
      <c r="L119" s="11" t="s">
        <v>737</v>
      </c>
      <c r="M119" s="11" t="s">
        <v>199</v>
      </c>
      <c r="N119" s="20">
        <v>100</v>
      </c>
      <c r="O119" s="11" t="b">
        <v>0</v>
      </c>
      <c r="P119" s="11" t="s">
        <v>201</v>
      </c>
      <c r="Q119" s="11" t="s">
        <v>210</v>
      </c>
      <c r="R119" s="11" t="s">
        <v>210</v>
      </c>
      <c r="S119" s="11"/>
      <c r="T119" s="11"/>
      <c r="U119" s="11"/>
      <c r="V119" s="11"/>
      <c r="W119" s="11"/>
      <c r="X119" s="11">
        <v>0</v>
      </c>
      <c r="Y119" s="11">
        <v>0</v>
      </c>
      <c r="Z119" s="11">
        <v>0</v>
      </c>
      <c r="AA119" s="11">
        <v>0</v>
      </c>
      <c r="AB119" s="11">
        <v>0</v>
      </c>
      <c r="AC119" s="11">
        <v>0</v>
      </c>
      <c r="AD119" s="11">
        <v>0</v>
      </c>
      <c r="AE119" s="11">
        <v>0</v>
      </c>
      <c r="AF119" s="11">
        <v>0</v>
      </c>
      <c r="AG119" s="11">
        <v>0</v>
      </c>
      <c r="AH119" s="11">
        <v>0</v>
      </c>
      <c r="AI119" s="11">
        <v>0</v>
      </c>
      <c r="AJ119" s="11">
        <v>0</v>
      </c>
      <c r="AK119" s="11">
        <v>0</v>
      </c>
      <c r="AL119" s="11">
        <v>0</v>
      </c>
      <c r="AM119" s="11">
        <v>0</v>
      </c>
      <c r="AN119" s="11">
        <v>0</v>
      </c>
      <c r="AO119" s="11">
        <v>0</v>
      </c>
      <c r="AP119" s="11">
        <v>0</v>
      </c>
      <c r="AQ119" s="11">
        <v>0</v>
      </c>
      <c r="AR119" s="11">
        <v>0</v>
      </c>
      <c r="AS119" s="11">
        <v>0</v>
      </c>
      <c r="AT119" s="11">
        <v>0</v>
      </c>
      <c r="AU119" s="11">
        <v>0</v>
      </c>
      <c r="AV119" s="11">
        <v>0</v>
      </c>
      <c r="AW119" s="11">
        <v>0</v>
      </c>
      <c r="AX119" s="11">
        <v>0</v>
      </c>
      <c r="AY119" s="11">
        <v>0</v>
      </c>
      <c r="AZ119" s="11">
        <v>0</v>
      </c>
      <c r="BA119" s="11">
        <v>0</v>
      </c>
      <c r="BB119" s="11">
        <v>0</v>
      </c>
      <c r="BC119" s="11">
        <v>0</v>
      </c>
      <c r="BD119" s="11">
        <v>0</v>
      </c>
      <c r="BE119" s="11">
        <v>0</v>
      </c>
      <c r="BF119" s="11">
        <v>0</v>
      </c>
      <c r="BG119" s="11">
        <v>0</v>
      </c>
      <c r="BH119" s="11">
        <v>0</v>
      </c>
      <c r="BI119" s="11">
        <v>0</v>
      </c>
      <c r="BJ119" s="11">
        <v>0</v>
      </c>
      <c r="BK119" s="11">
        <v>0</v>
      </c>
      <c r="BL119" s="11">
        <v>0</v>
      </c>
      <c r="BM119" s="11">
        <v>0</v>
      </c>
      <c r="BN119" s="11">
        <v>0</v>
      </c>
      <c r="BO119" s="11">
        <v>0</v>
      </c>
      <c r="BP119" s="11">
        <v>0</v>
      </c>
      <c r="BQ119" s="11">
        <v>0</v>
      </c>
      <c r="BR119" s="11">
        <v>0</v>
      </c>
      <c r="BS119" s="11">
        <v>0</v>
      </c>
      <c r="BT119" s="11">
        <v>0</v>
      </c>
      <c r="BU119" s="11">
        <v>0</v>
      </c>
      <c r="BV119" s="11">
        <v>0</v>
      </c>
      <c r="BW119" s="11">
        <v>0</v>
      </c>
      <c r="BX119" s="11">
        <v>0</v>
      </c>
      <c r="BY119" s="11">
        <v>0</v>
      </c>
      <c r="BZ119" s="11">
        <v>0</v>
      </c>
      <c r="CA119" s="11">
        <v>0</v>
      </c>
      <c r="CB119" s="11">
        <v>0</v>
      </c>
      <c r="CC119" s="11">
        <v>0</v>
      </c>
      <c r="CD119" s="11">
        <v>0</v>
      </c>
      <c r="CE119" s="11">
        <v>0</v>
      </c>
      <c r="CF119" s="11">
        <v>0</v>
      </c>
      <c r="CG119" s="11">
        <v>0</v>
      </c>
      <c r="CH119" s="11">
        <v>0</v>
      </c>
      <c r="CI119" s="11">
        <v>0</v>
      </c>
      <c r="CJ119" s="11">
        <v>0</v>
      </c>
      <c r="CK119" s="11">
        <v>0</v>
      </c>
      <c r="CL119" s="11">
        <v>0</v>
      </c>
      <c r="CM119" s="11">
        <v>0</v>
      </c>
      <c r="CN119" s="11">
        <v>0</v>
      </c>
      <c r="CO119" s="11">
        <v>0</v>
      </c>
      <c r="CP119" s="11">
        <v>0</v>
      </c>
      <c r="CQ119" s="11">
        <v>0</v>
      </c>
      <c r="CR119" s="11">
        <v>0</v>
      </c>
      <c r="CS119" t="str">
        <f>IFERROR(INDEX('Initiative Summary'!$C$5:$C$25,MATCH($A119,'Initiative Summary'!$A$5:$A$25,0)),"")</f>
        <v>Northpeak Region</v>
      </c>
    </row>
    <row r="120" spans="1:97" x14ac:dyDescent="0.25">
      <c r="A120" s="6" t="s">
        <v>689</v>
      </c>
      <c r="B120" s="10" t="s">
        <v>688</v>
      </c>
      <c r="C120" s="11" t="s">
        <v>194</v>
      </c>
      <c r="D120" s="11" t="s">
        <v>195</v>
      </c>
      <c r="E120" s="11" t="s">
        <v>196</v>
      </c>
      <c r="F120" s="11" t="s">
        <v>197</v>
      </c>
      <c r="G120" s="11"/>
      <c r="H120" s="11"/>
      <c r="I120" s="11"/>
      <c r="J120" s="11"/>
      <c r="K120" s="10"/>
      <c r="L120" s="11" t="s">
        <v>738</v>
      </c>
      <c r="M120" s="11" t="s">
        <v>199</v>
      </c>
      <c r="N120" s="20">
        <v>0</v>
      </c>
      <c r="O120" s="11" t="b">
        <v>0</v>
      </c>
      <c r="P120" s="11" t="s">
        <v>201</v>
      </c>
      <c r="Q120" s="11" t="s">
        <v>227</v>
      </c>
      <c r="R120" s="11" t="s">
        <v>227</v>
      </c>
      <c r="S120" s="11">
        <v>0</v>
      </c>
      <c r="T120" s="20">
        <v>0.65600000000000003</v>
      </c>
      <c r="U120" s="20">
        <v>1.968</v>
      </c>
      <c r="V120" s="20">
        <v>1.968</v>
      </c>
      <c r="W120" s="20">
        <v>1.968</v>
      </c>
      <c r="X120" s="11">
        <v>0</v>
      </c>
      <c r="Y120" s="11">
        <v>0</v>
      </c>
      <c r="Z120" s="11">
        <v>0</v>
      </c>
      <c r="AA120" s="11">
        <v>0</v>
      </c>
      <c r="AB120" s="11">
        <v>0</v>
      </c>
      <c r="AC120" s="11">
        <v>0</v>
      </c>
      <c r="AD120" s="11">
        <v>0</v>
      </c>
      <c r="AE120" s="11">
        <v>0</v>
      </c>
      <c r="AF120" s="11">
        <v>0</v>
      </c>
      <c r="AG120" s="11">
        <v>0</v>
      </c>
      <c r="AH120" s="11">
        <v>0</v>
      </c>
      <c r="AI120" s="11">
        <v>0</v>
      </c>
      <c r="AJ120" s="20">
        <v>0</v>
      </c>
      <c r="AK120" s="20">
        <v>0</v>
      </c>
      <c r="AL120" s="20">
        <v>0</v>
      </c>
      <c r="AM120" s="20">
        <v>0</v>
      </c>
      <c r="AN120" s="20">
        <v>0</v>
      </c>
      <c r="AO120" s="20">
        <v>0</v>
      </c>
      <c r="AP120" s="20">
        <v>0</v>
      </c>
      <c r="AQ120" s="20">
        <v>0</v>
      </c>
      <c r="AR120" s="20">
        <v>0</v>
      </c>
      <c r="AS120" s="20">
        <v>0.21866666666666668</v>
      </c>
      <c r="AT120" s="20">
        <v>0.21866666666666668</v>
      </c>
      <c r="AU120" s="20">
        <v>0.21866666666666668</v>
      </c>
      <c r="AV120" s="20">
        <v>0.16400000000000001</v>
      </c>
      <c r="AW120" s="20">
        <v>0.16400000000000001</v>
      </c>
      <c r="AX120" s="20">
        <v>0.16400000000000001</v>
      </c>
      <c r="AY120" s="20">
        <v>0.16400000000000001</v>
      </c>
      <c r="AZ120" s="20">
        <v>0.16400000000000001</v>
      </c>
      <c r="BA120" s="20">
        <v>0.16400000000000001</v>
      </c>
      <c r="BB120" s="20">
        <v>0.16400000000000001</v>
      </c>
      <c r="BC120" s="20">
        <v>0.16400000000000001</v>
      </c>
      <c r="BD120" s="20">
        <v>0.16400000000000001</v>
      </c>
      <c r="BE120" s="20">
        <v>0.16400000000000001</v>
      </c>
      <c r="BF120" s="20">
        <v>0.16400000000000001</v>
      </c>
      <c r="BG120" s="20">
        <v>0.16400000000000001</v>
      </c>
      <c r="BH120" s="20">
        <v>0.16400000000000001</v>
      </c>
      <c r="BI120" s="20">
        <v>0.16400000000000001</v>
      </c>
      <c r="BJ120" s="20">
        <v>0.16400000000000001</v>
      </c>
      <c r="BK120" s="20">
        <v>0.16400000000000001</v>
      </c>
      <c r="BL120" s="20">
        <v>0.16400000000000001</v>
      </c>
      <c r="BM120" s="20">
        <v>0.16400000000000001</v>
      </c>
      <c r="BN120" s="20">
        <v>0.16400000000000001</v>
      </c>
      <c r="BO120" s="20">
        <v>0.16400000000000001</v>
      </c>
      <c r="BP120" s="20">
        <v>0.16400000000000001</v>
      </c>
      <c r="BQ120" s="20">
        <v>0.16400000000000001</v>
      </c>
      <c r="BR120" s="20">
        <v>0.16400000000000001</v>
      </c>
      <c r="BS120" s="20">
        <v>0.16400000000000001</v>
      </c>
      <c r="BT120" s="20">
        <v>0.16400000000000001</v>
      </c>
      <c r="BU120" s="20">
        <v>0.16400000000000001</v>
      </c>
      <c r="BV120" s="20">
        <v>0.16400000000000001</v>
      </c>
      <c r="BW120" s="20">
        <v>0.16400000000000001</v>
      </c>
      <c r="BX120" s="20">
        <v>0.16400000000000001</v>
      </c>
      <c r="BY120" s="20">
        <v>0.16400000000000001</v>
      </c>
      <c r="BZ120" s="20">
        <v>0.16400000000000001</v>
      </c>
      <c r="CA120" s="20">
        <v>0.16400000000000001</v>
      </c>
      <c r="CB120" s="20">
        <v>0.16400000000000001</v>
      </c>
      <c r="CC120" s="20">
        <v>0.16400000000000001</v>
      </c>
      <c r="CD120" s="20">
        <v>0.16400000000000001</v>
      </c>
      <c r="CE120" s="20">
        <v>0.16400000000000001</v>
      </c>
      <c r="CF120" s="11">
        <v>1.968</v>
      </c>
      <c r="CG120" s="11">
        <v>0.16400000000000001</v>
      </c>
      <c r="CH120" s="11">
        <v>0.16400000000000001</v>
      </c>
      <c r="CI120" s="11">
        <v>0.16400000000000001</v>
      </c>
      <c r="CJ120" s="11">
        <v>0.16400000000000001</v>
      </c>
      <c r="CK120" s="11">
        <v>0.16400000000000001</v>
      </c>
      <c r="CL120" s="11">
        <v>0.16400000000000001</v>
      </c>
      <c r="CM120" s="11">
        <v>0.16400000000000001</v>
      </c>
      <c r="CN120" s="11">
        <v>0.16400000000000001</v>
      </c>
      <c r="CO120" s="11">
        <v>0.16400000000000001</v>
      </c>
      <c r="CP120" s="11">
        <v>0.16400000000000001</v>
      </c>
      <c r="CQ120" s="11">
        <v>0.16400000000000001</v>
      </c>
      <c r="CR120" s="11">
        <v>0.16400000000000001</v>
      </c>
      <c r="CS120" t="str">
        <f>IFERROR(INDEX('Initiative Summary'!$C$5:$C$25,MATCH($A120,'Initiative Summary'!$A$5:$A$25,0)),"")</f>
        <v>Northpeak Region</v>
      </c>
    </row>
    <row r="121" spans="1:97" x14ac:dyDescent="0.25">
      <c r="A121" s="6" t="s">
        <v>689</v>
      </c>
      <c r="B121" s="7" t="s">
        <v>688</v>
      </c>
      <c r="C121" s="8" t="s">
        <v>194</v>
      </c>
      <c r="D121" s="8" t="s">
        <v>203</v>
      </c>
      <c r="E121" s="8" t="s">
        <v>196</v>
      </c>
      <c r="F121" s="8" t="s">
        <v>197</v>
      </c>
      <c r="G121" s="8"/>
      <c r="H121" s="8"/>
      <c r="I121" s="8"/>
      <c r="J121" s="8"/>
      <c r="K121" s="7"/>
      <c r="L121" s="8" t="s">
        <v>738</v>
      </c>
      <c r="M121" s="8" t="s">
        <v>199</v>
      </c>
      <c r="N121" s="21">
        <v>0</v>
      </c>
      <c r="O121" s="8" t="b">
        <v>0</v>
      </c>
      <c r="P121" s="8" t="s">
        <v>201</v>
      </c>
      <c r="Q121" s="8" t="s">
        <v>227</v>
      </c>
      <c r="R121" s="8" t="s">
        <v>227</v>
      </c>
      <c r="S121" s="8">
        <v>0</v>
      </c>
      <c r="T121" s="21">
        <v>0.81599999999999995</v>
      </c>
      <c r="U121" s="21">
        <v>2.464</v>
      </c>
      <c r="V121" s="21">
        <v>2.464</v>
      </c>
      <c r="W121" s="21">
        <v>2.464</v>
      </c>
      <c r="X121" s="8">
        <v>0</v>
      </c>
      <c r="Y121" s="8">
        <v>0</v>
      </c>
      <c r="Z121" s="8">
        <v>0</v>
      </c>
      <c r="AA121" s="8">
        <v>0</v>
      </c>
      <c r="AB121" s="8">
        <v>0</v>
      </c>
      <c r="AC121" s="8">
        <v>0</v>
      </c>
      <c r="AD121" s="8">
        <v>0</v>
      </c>
      <c r="AE121" s="8">
        <v>0</v>
      </c>
      <c r="AF121" s="8">
        <v>0</v>
      </c>
      <c r="AG121" s="8">
        <v>0</v>
      </c>
      <c r="AH121" s="8">
        <v>0</v>
      </c>
      <c r="AI121" s="8">
        <v>0</v>
      </c>
      <c r="AJ121" s="21">
        <v>0</v>
      </c>
      <c r="AK121" s="21">
        <v>0</v>
      </c>
      <c r="AL121" s="21">
        <v>0</v>
      </c>
      <c r="AM121" s="21">
        <v>0</v>
      </c>
      <c r="AN121" s="21">
        <v>0</v>
      </c>
      <c r="AO121" s="21">
        <v>0</v>
      </c>
      <c r="AP121" s="21">
        <v>0</v>
      </c>
      <c r="AQ121" s="21">
        <v>0</v>
      </c>
      <c r="AR121" s="21">
        <v>0</v>
      </c>
      <c r="AS121" s="21">
        <v>0.27199999999999996</v>
      </c>
      <c r="AT121" s="21">
        <v>0.27199999999999996</v>
      </c>
      <c r="AU121" s="21">
        <v>0.27199999999999996</v>
      </c>
      <c r="AV121" s="21">
        <v>0.20533333333333334</v>
      </c>
      <c r="AW121" s="21">
        <v>0.20533333333333334</v>
      </c>
      <c r="AX121" s="21">
        <v>0.20533333333333334</v>
      </c>
      <c r="AY121" s="21">
        <v>0.20533333333333334</v>
      </c>
      <c r="AZ121" s="21">
        <v>0.20533333333333334</v>
      </c>
      <c r="BA121" s="21">
        <v>0.20533333333333334</v>
      </c>
      <c r="BB121" s="21">
        <v>0.20533333333333334</v>
      </c>
      <c r="BC121" s="21">
        <v>0.20533333333333334</v>
      </c>
      <c r="BD121" s="21">
        <v>0.20533333333333334</v>
      </c>
      <c r="BE121" s="21">
        <v>0.20533333333333334</v>
      </c>
      <c r="BF121" s="21">
        <v>0.20533333333333334</v>
      </c>
      <c r="BG121" s="21">
        <v>0.20533333333333334</v>
      </c>
      <c r="BH121" s="21">
        <v>0.20533333333333334</v>
      </c>
      <c r="BI121" s="21">
        <v>0.20533333333333334</v>
      </c>
      <c r="BJ121" s="21">
        <v>0.20533333333333334</v>
      </c>
      <c r="BK121" s="21">
        <v>0.20533333333333334</v>
      </c>
      <c r="BL121" s="21">
        <v>0.20533333333333334</v>
      </c>
      <c r="BM121" s="21">
        <v>0.20533333333333334</v>
      </c>
      <c r="BN121" s="21">
        <v>0.20533333333333334</v>
      </c>
      <c r="BO121" s="21">
        <v>0.20533333333333334</v>
      </c>
      <c r="BP121" s="21">
        <v>0.20533333333333334</v>
      </c>
      <c r="BQ121" s="21">
        <v>0.20533333333333334</v>
      </c>
      <c r="BR121" s="21">
        <v>0.20533333333333334</v>
      </c>
      <c r="BS121" s="21">
        <v>0.20533333333333334</v>
      </c>
      <c r="BT121" s="21">
        <v>0.20533333333333334</v>
      </c>
      <c r="BU121" s="21">
        <v>0.20533333333333334</v>
      </c>
      <c r="BV121" s="21">
        <v>0.20533333333333334</v>
      </c>
      <c r="BW121" s="21">
        <v>0.20533333333333334</v>
      </c>
      <c r="BX121" s="21">
        <v>0.20533333333333334</v>
      </c>
      <c r="BY121" s="21">
        <v>0.20533333333333334</v>
      </c>
      <c r="BZ121" s="21">
        <v>0.20533333333333334</v>
      </c>
      <c r="CA121" s="21">
        <v>0.20533333333333334</v>
      </c>
      <c r="CB121" s="21">
        <v>0.20533333333333334</v>
      </c>
      <c r="CC121" s="21">
        <v>0.20533333333333334</v>
      </c>
      <c r="CD121" s="21">
        <v>0.20533333333333334</v>
      </c>
      <c r="CE121" s="21">
        <v>0.20533333333333334</v>
      </c>
      <c r="CF121" s="8">
        <v>2.464</v>
      </c>
      <c r="CG121" s="8">
        <v>0.20533333333333334</v>
      </c>
      <c r="CH121" s="8">
        <v>0.20533333333333334</v>
      </c>
      <c r="CI121" s="8">
        <v>0.20533333333333334</v>
      </c>
      <c r="CJ121" s="8">
        <v>0.20533333333333334</v>
      </c>
      <c r="CK121" s="8">
        <v>0.20533333333333334</v>
      </c>
      <c r="CL121" s="8">
        <v>0.20533333333333334</v>
      </c>
      <c r="CM121" s="8">
        <v>0.20533333333333334</v>
      </c>
      <c r="CN121" s="8">
        <v>0.20533333333333334</v>
      </c>
      <c r="CO121" s="8">
        <v>0.20533333333333334</v>
      </c>
      <c r="CP121" s="8">
        <v>0.20533333333333334</v>
      </c>
      <c r="CQ121" s="8">
        <v>0.20533333333333334</v>
      </c>
      <c r="CR121" s="8">
        <v>0.20533333333333334</v>
      </c>
      <c r="CS121" t="str">
        <f>IFERROR(INDEX('Initiative Summary'!$C$5:$C$25,MATCH($A121,'Initiative Summary'!$A$5:$A$25,0)),"")</f>
        <v>Northpeak Region</v>
      </c>
    </row>
    <row r="122" spans="1:97" x14ac:dyDescent="0.25">
      <c r="A122" s="6" t="s">
        <v>689</v>
      </c>
      <c r="B122" s="10" t="s">
        <v>688</v>
      </c>
      <c r="C122" s="11" t="s">
        <v>194</v>
      </c>
      <c r="D122" s="11" t="s">
        <v>204</v>
      </c>
      <c r="E122" s="11" t="s">
        <v>196</v>
      </c>
      <c r="F122" s="11" t="s">
        <v>197</v>
      </c>
      <c r="G122" s="11"/>
      <c r="H122" s="11"/>
      <c r="I122" s="11"/>
      <c r="J122" s="11"/>
      <c r="K122" s="10"/>
      <c r="L122" s="11" t="s">
        <v>738</v>
      </c>
      <c r="M122" s="11" t="s">
        <v>199</v>
      </c>
      <c r="N122" s="20">
        <v>0</v>
      </c>
      <c r="O122" s="11" t="b">
        <v>0</v>
      </c>
      <c r="P122" s="11" t="s">
        <v>201</v>
      </c>
      <c r="Q122" s="11" t="s">
        <v>227</v>
      </c>
      <c r="R122" s="11" t="s">
        <v>227</v>
      </c>
      <c r="S122" s="11"/>
      <c r="T122" s="11"/>
      <c r="U122" s="11"/>
      <c r="V122" s="11"/>
      <c r="W122" s="11"/>
      <c r="X122" s="11">
        <v>0</v>
      </c>
      <c r="Y122" s="11">
        <v>0</v>
      </c>
      <c r="Z122" s="11">
        <v>0</v>
      </c>
      <c r="AA122" s="11">
        <v>0</v>
      </c>
      <c r="AB122" s="11">
        <v>0</v>
      </c>
      <c r="AC122" s="11">
        <v>0</v>
      </c>
      <c r="AD122" s="11">
        <v>0</v>
      </c>
      <c r="AE122" s="11">
        <v>0</v>
      </c>
      <c r="AF122" s="11">
        <v>0</v>
      </c>
      <c r="AG122" s="11">
        <v>0</v>
      </c>
      <c r="AH122" s="11">
        <v>0</v>
      </c>
      <c r="AI122" s="11">
        <v>0</v>
      </c>
      <c r="AJ122" s="11">
        <v>0</v>
      </c>
      <c r="AK122" s="11">
        <v>0</v>
      </c>
      <c r="AL122" s="11">
        <v>0</v>
      </c>
      <c r="AM122" s="11">
        <v>0</v>
      </c>
      <c r="AN122" s="11">
        <v>0</v>
      </c>
      <c r="AO122" s="11">
        <v>0</v>
      </c>
      <c r="AP122" s="11">
        <v>0</v>
      </c>
      <c r="AQ122" s="11">
        <v>0</v>
      </c>
      <c r="AR122" s="11">
        <v>0</v>
      </c>
      <c r="AS122" s="11">
        <v>0</v>
      </c>
      <c r="AT122" s="11">
        <v>0</v>
      </c>
      <c r="AU122" s="11">
        <v>0</v>
      </c>
      <c r="AV122" s="11">
        <v>0</v>
      </c>
      <c r="AW122" s="11">
        <v>0</v>
      </c>
      <c r="AX122" s="11">
        <v>0</v>
      </c>
      <c r="AY122" s="11">
        <v>0</v>
      </c>
      <c r="AZ122" s="11">
        <v>0</v>
      </c>
      <c r="BA122" s="11">
        <v>0</v>
      </c>
      <c r="BB122" s="11">
        <v>0</v>
      </c>
      <c r="BC122" s="11">
        <v>0</v>
      </c>
      <c r="BD122" s="11">
        <v>0</v>
      </c>
      <c r="BE122" s="11">
        <v>0</v>
      </c>
      <c r="BF122" s="11">
        <v>0</v>
      </c>
      <c r="BG122" s="11">
        <v>0</v>
      </c>
      <c r="BH122" s="11">
        <v>0</v>
      </c>
      <c r="BI122" s="11">
        <v>0</v>
      </c>
      <c r="BJ122" s="11">
        <v>0</v>
      </c>
      <c r="BK122" s="11">
        <v>0</v>
      </c>
      <c r="BL122" s="11">
        <v>0</v>
      </c>
      <c r="BM122" s="11">
        <v>0</v>
      </c>
      <c r="BN122" s="11">
        <v>0</v>
      </c>
      <c r="BO122" s="11">
        <v>0</v>
      </c>
      <c r="BP122" s="11">
        <v>0</v>
      </c>
      <c r="BQ122" s="11">
        <v>0</v>
      </c>
      <c r="BR122" s="11">
        <v>0</v>
      </c>
      <c r="BS122" s="11">
        <v>0</v>
      </c>
      <c r="BT122" s="11">
        <v>0</v>
      </c>
      <c r="BU122" s="11">
        <v>0</v>
      </c>
      <c r="BV122" s="11">
        <v>0</v>
      </c>
      <c r="BW122" s="11">
        <v>0</v>
      </c>
      <c r="BX122" s="11">
        <v>0</v>
      </c>
      <c r="BY122" s="11">
        <v>0</v>
      </c>
      <c r="BZ122" s="11">
        <v>0</v>
      </c>
      <c r="CA122" s="11">
        <v>0</v>
      </c>
      <c r="CB122" s="11">
        <v>0</v>
      </c>
      <c r="CC122" s="11">
        <v>0</v>
      </c>
      <c r="CD122" s="11">
        <v>0</v>
      </c>
      <c r="CE122" s="11">
        <v>0</v>
      </c>
      <c r="CF122" s="11">
        <v>0</v>
      </c>
      <c r="CG122" s="11">
        <v>0</v>
      </c>
      <c r="CH122" s="11">
        <v>0</v>
      </c>
      <c r="CI122" s="11">
        <v>0</v>
      </c>
      <c r="CJ122" s="11">
        <v>0</v>
      </c>
      <c r="CK122" s="11">
        <v>0</v>
      </c>
      <c r="CL122" s="11">
        <v>0</v>
      </c>
      <c r="CM122" s="11">
        <v>0</v>
      </c>
      <c r="CN122" s="11">
        <v>0</v>
      </c>
      <c r="CO122" s="11">
        <v>0</v>
      </c>
      <c r="CP122" s="11">
        <v>0</v>
      </c>
      <c r="CQ122" s="11">
        <v>0</v>
      </c>
      <c r="CR122" s="11">
        <v>0</v>
      </c>
      <c r="CS122" t="str">
        <f>IFERROR(INDEX('Initiative Summary'!$C$5:$C$25,MATCH($A122,'Initiative Summary'!$A$5:$A$25,0)),"")</f>
        <v>Northpeak Region</v>
      </c>
    </row>
    <row r="123" spans="1:97" x14ac:dyDescent="0.25">
      <c r="A123" s="6" t="s">
        <v>689</v>
      </c>
      <c r="B123" s="7" t="s">
        <v>688</v>
      </c>
      <c r="C123" s="8" t="s">
        <v>205</v>
      </c>
      <c r="D123" s="8" t="s">
        <v>195</v>
      </c>
      <c r="E123" s="8" t="s">
        <v>206</v>
      </c>
      <c r="F123" s="8" t="s">
        <v>207</v>
      </c>
      <c r="G123" s="8"/>
      <c r="H123" s="8" t="s">
        <v>215</v>
      </c>
      <c r="I123" s="8" t="s">
        <v>216</v>
      </c>
      <c r="J123" s="8"/>
      <c r="K123" s="7"/>
      <c r="L123" s="8" t="s">
        <v>739</v>
      </c>
      <c r="M123" s="8" t="s">
        <v>199</v>
      </c>
      <c r="N123" s="21">
        <v>3</v>
      </c>
      <c r="O123" s="8" t="b">
        <v>0</v>
      </c>
      <c r="P123" s="8" t="s">
        <v>218</v>
      </c>
      <c r="Q123" s="8" t="s">
        <v>227</v>
      </c>
      <c r="R123" s="8" t="s">
        <v>227</v>
      </c>
      <c r="S123" s="8"/>
      <c r="T123" s="8"/>
      <c r="U123" s="8"/>
      <c r="V123" s="8"/>
      <c r="W123" s="8"/>
      <c r="X123" s="8">
        <v>0</v>
      </c>
      <c r="Y123" s="8">
        <v>0</v>
      </c>
      <c r="Z123" s="8">
        <v>0</v>
      </c>
      <c r="AA123" s="8">
        <v>0</v>
      </c>
      <c r="AB123" s="8">
        <v>0</v>
      </c>
      <c r="AC123" s="8">
        <v>0</v>
      </c>
      <c r="AD123" s="8">
        <v>0</v>
      </c>
      <c r="AE123" s="8">
        <v>0</v>
      </c>
      <c r="AF123" s="8">
        <v>0</v>
      </c>
      <c r="AG123" s="8">
        <v>0</v>
      </c>
      <c r="AH123" s="8">
        <v>0</v>
      </c>
      <c r="AI123" s="8">
        <v>0</v>
      </c>
      <c r="AJ123" s="8">
        <v>0</v>
      </c>
      <c r="AK123" s="8">
        <v>0</v>
      </c>
      <c r="AL123" s="8">
        <v>0</v>
      </c>
      <c r="AM123" s="8">
        <v>0</v>
      </c>
      <c r="AN123" s="8">
        <v>0</v>
      </c>
      <c r="AO123" s="8">
        <v>0</v>
      </c>
      <c r="AP123" s="8">
        <v>0</v>
      </c>
      <c r="AQ123" s="8">
        <v>0</v>
      </c>
      <c r="AR123" s="8">
        <v>0</v>
      </c>
      <c r="AS123" s="8">
        <v>0</v>
      </c>
      <c r="AT123" s="8">
        <v>0</v>
      </c>
      <c r="AU123" s="8">
        <v>0</v>
      </c>
      <c r="AV123" s="8">
        <v>0</v>
      </c>
      <c r="AW123" s="8">
        <v>0</v>
      </c>
      <c r="AX123" s="8">
        <v>0</v>
      </c>
      <c r="AY123" s="8">
        <v>0</v>
      </c>
      <c r="AZ123" s="8">
        <v>0</v>
      </c>
      <c r="BA123" s="8">
        <v>0</v>
      </c>
      <c r="BB123" s="8">
        <v>0</v>
      </c>
      <c r="BC123" s="8">
        <v>0</v>
      </c>
      <c r="BD123" s="8">
        <v>0</v>
      </c>
      <c r="BE123" s="8">
        <v>0</v>
      </c>
      <c r="BF123" s="8">
        <v>0</v>
      </c>
      <c r="BG123" s="8">
        <v>0</v>
      </c>
      <c r="BH123" s="8">
        <v>0</v>
      </c>
      <c r="BI123" s="8">
        <v>0</v>
      </c>
      <c r="BJ123" s="8">
        <v>0</v>
      </c>
      <c r="BK123" s="8">
        <v>0</v>
      </c>
      <c r="BL123" s="8">
        <v>0</v>
      </c>
      <c r="BM123" s="8">
        <v>0</v>
      </c>
      <c r="BN123" s="8">
        <v>0</v>
      </c>
      <c r="BO123" s="8">
        <v>0</v>
      </c>
      <c r="BP123" s="8">
        <v>0</v>
      </c>
      <c r="BQ123" s="8">
        <v>0</v>
      </c>
      <c r="BR123" s="8">
        <v>0</v>
      </c>
      <c r="BS123" s="8">
        <v>0</v>
      </c>
      <c r="BT123" s="8">
        <v>0</v>
      </c>
      <c r="BU123" s="8">
        <v>0</v>
      </c>
      <c r="BV123" s="8">
        <v>0</v>
      </c>
      <c r="BW123" s="8">
        <v>0</v>
      </c>
      <c r="BX123" s="8">
        <v>0</v>
      </c>
      <c r="BY123" s="8">
        <v>0</v>
      </c>
      <c r="BZ123" s="8">
        <v>0</v>
      </c>
      <c r="CA123" s="8">
        <v>0</v>
      </c>
      <c r="CB123" s="8">
        <v>0</v>
      </c>
      <c r="CC123" s="8">
        <v>0</v>
      </c>
      <c r="CD123" s="8">
        <v>0</v>
      </c>
      <c r="CE123" s="8">
        <v>0</v>
      </c>
      <c r="CF123" s="8">
        <v>0</v>
      </c>
      <c r="CG123" s="8">
        <v>0</v>
      </c>
      <c r="CH123" s="8">
        <v>0</v>
      </c>
      <c r="CI123" s="8">
        <v>0</v>
      </c>
      <c r="CJ123" s="8">
        <v>0</v>
      </c>
      <c r="CK123" s="8">
        <v>0</v>
      </c>
      <c r="CL123" s="8">
        <v>0</v>
      </c>
      <c r="CM123" s="8">
        <v>0</v>
      </c>
      <c r="CN123" s="8">
        <v>0</v>
      </c>
      <c r="CO123" s="8">
        <v>0</v>
      </c>
      <c r="CP123" s="8">
        <v>0</v>
      </c>
      <c r="CQ123" s="8">
        <v>0</v>
      </c>
      <c r="CR123" s="8">
        <v>0</v>
      </c>
      <c r="CS123" t="str">
        <f>IFERROR(INDEX('Initiative Summary'!$C$5:$C$25,MATCH($A123,'Initiative Summary'!$A$5:$A$25,0)),"")</f>
        <v>Northpeak Region</v>
      </c>
    </row>
    <row r="124" spans="1:97" x14ac:dyDescent="0.25">
      <c r="A124" s="6" t="s">
        <v>689</v>
      </c>
      <c r="B124" s="10" t="s">
        <v>688</v>
      </c>
      <c r="C124" s="11" t="s">
        <v>205</v>
      </c>
      <c r="D124" s="11" t="s">
        <v>203</v>
      </c>
      <c r="E124" s="11" t="s">
        <v>206</v>
      </c>
      <c r="F124" s="11" t="s">
        <v>207</v>
      </c>
      <c r="G124" s="11"/>
      <c r="H124" s="11" t="s">
        <v>215</v>
      </c>
      <c r="I124" s="11" t="s">
        <v>216</v>
      </c>
      <c r="J124" s="11"/>
      <c r="K124" s="10"/>
      <c r="L124" s="11" t="s">
        <v>739</v>
      </c>
      <c r="M124" s="11" t="s">
        <v>199</v>
      </c>
      <c r="N124" s="20">
        <v>3</v>
      </c>
      <c r="O124" s="11" t="b">
        <v>0</v>
      </c>
      <c r="P124" s="11" t="s">
        <v>218</v>
      </c>
      <c r="Q124" s="11" t="s">
        <v>227</v>
      </c>
      <c r="R124" s="11" t="s">
        <v>227</v>
      </c>
      <c r="S124" s="11"/>
      <c r="T124" s="11"/>
      <c r="U124" s="11"/>
      <c r="V124" s="11"/>
      <c r="W124" s="11"/>
      <c r="X124" s="11">
        <v>0</v>
      </c>
      <c r="Y124" s="11">
        <v>0</v>
      </c>
      <c r="Z124" s="11">
        <v>0</v>
      </c>
      <c r="AA124" s="11">
        <v>0</v>
      </c>
      <c r="AB124" s="11">
        <v>0</v>
      </c>
      <c r="AC124" s="11">
        <v>0</v>
      </c>
      <c r="AD124" s="11">
        <v>0</v>
      </c>
      <c r="AE124" s="11">
        <v>0</v>
      </c>
      <c r="AF124" s="11">
        <v>0</v>
      </c>
      <c r="AG124" s="11">
        <v>0</v>
      </c>
      <c r="AH124" s="11">
        <v>0</v>
      </c>
      <c r="AI124" s="11">
        <v>0</v>
      </c>
      <c r="AJ124" s="11">
        <v>0</v>
      </c>
      <c r="AK124" s="11">
        <v>0</v>
      </c>
      <c r="AL124" s="11">
        <v>0</v>
      </c>
      <c r="AM124" s="11">
        <v>0</v>
      </c>
      <c r="AN124" s="11">
        <v>0</v>
      </c>
      <c r="AO124" s="11">
        <v>0</v>
      </c>
      <c r="AP124" s="11">
        <v>0</v>
      </c>
      <c r="AQ124" s="11">
        <v>0</v>
      </c>
      <c r="AR124" s="11">
        <v>0</v>
      </c>
      <c r="AS124" s="11">
        <v>0</v>
      </c>
      <c r="AT124" s="11">
        <v>0</v>
      </c>
      <c r="AU124" s="11">
        <v>0</v>
      </c>
      <c r="AV124" s="11">
        <v>0</v>
      </c>
      <c r="AW124" s="11">
        <v>0</v>
      </c>
      <c r="AX124" s="11">
        <v>0</v>
      </c>
      <c r="AY124" s="11">
        <v>0</v>
      </c>
      <c r="AZ124" s="11">
        <v>0</v>
      </c>
      <c r="BA124" s="11">
        <v>0</v>
      </c>
      <c r="BB124" s="11">
        <v>0</v>
      </c>
      <c r="BC124" s="11">
        <v>0</v>
      </c>
      <c r="BD124" s="11">
        <v>0</v>
      </c>
      <c r="BE124" s="11">
        <v>0</v>
      </c>
      <c r="BF124" s="11">
        <v>0</v>
      </c>
      <c r="BG124" s="11">
        <v>0</v>
      </c>
      <c r="BH124" s="11">
        <v>0</v>
      </c>
      <c r="BI124" s="11">
        <v>0</v>
      </c>
      <c r="BJ124" s="11">
        <v>0</v>
      </c>
      <c r="BK124" s="11">
        <v>0</v>
      </c>
      <c r="BL124" s="11">
        <v>0</v>
      </c>
      <c r="BM124" s="11">
        <v>0</v>
      </c>
      <c r="BN124" s="11">
        <v>0</v>
      </c>
      <c r="BO124" s="11">
        <v>0</v>
      </c>
      <c r="BP124" s="11">
        <v>0</v>
      </c>
      <c r="BQ124" s="11">
        <v>0</v>
      </c>
      <c r="BR124" s="11">
        <v>0</v>
      </c>
      <c r="BS124" s="11">
        <v>0</v>
      </c>
      <c r="BT124" s="11">
        <v>0</v>
      </c>
      <c r="BU124" s="11">
        <v>0</v>
      </c>
      <c r="BV124" s="11">
        <v>0</v>
      </c>
      <c r="BW124" s="11">
        <v>0</v>
      </c>
      <c r="BX124" s="11">
        <v>0</v>
      </c>
      <c r="BY124" s="11">
        <v>0</v>
      </c>
      <c r="BZ124" s="11">
        <v>0</v>
      </c>
      <c r="CA124" s="11">
        <v>0</v>
      </c>
      <c r="CB124" s="11">
        <v>0</v>
      </c>
      <c r="CC124" s="11">
        <v>0</v>
      </c>
      <c r="CD124" s="11">
        <v>0</v>
      </c>
      <c r="CE124" s="11">
        <v>0</v>
      </c>
      <c r="CF124" s="11">
        <v>0</v>
      </c>
      <c r="CG124" s="11">
        <v>0</v>
      </c>
      <c r="CH124" s="11">
        <v>0</v>
      </c>
      <c r="CI124" s="11">
        <v>0</v>
      </c>
      <c r="CJ124" s="11">
        <v>0</v>
      </c>
      <c r="CK124" s="11">
        <v>0</v>
      </c>
      <c r="CL124" s="11">
        <v>0</v>
      </c>
      <c r="CM124" s="11">
        <v>0</v>
      </c>
      <c r="CN124" s="11">
        <v>0</v>
      </c>
      <c r="CO124" s="11">
        <v>0</v>
      </c>
      <c r="CP124" s="11">
        <v>0</v>
      </c>
      <c r="CQ124" s="11">
        <v>0</v>
      </c>
      <c r="CR124" s="11">
        <v>0</v>
      </c>
      <c r="CS124" t="str">
        <f>IFERROR(INDEX('Initiative Summary'!$C$5:$C$25,MATCH($A124,'Initiative Summary'!$A$5:$A$25,0)),"")</f>
        <v>Northpeak Region</v>
      </c>
    </row>
    <row r="125" spans="1:97" x14ac:dyDescent="0.25">
      <c r="A125" s="6" t="s">
        <v>689</v>
      </c>
      <c r="B125" s="7" t="s">
        <v>688</v>
      </c>
      <c r="C125" s="8" t="s">
        <v>205</v>
      </c>
      <c r="D125" s="8" t="s">
        <v>204</v>
      </c>
      <c r="E125" s="8" t="s">
        <v>206</v>
      </c>
      <c r="F125" s="8" t="s">
        <v>207</v>
      </c>
      <c r="G125" s="8"/>
      <c r="H125" s="8" t="s">
        <v>215</v>
      </c>
      <c r="I125" s="8" t="s">
        <v>216</v>
      </c>
      <c r="J125" s="8"/>
      <c r="K125" s="7"/>
      <c r="L125" s="8" t="s">
        <v>739</v>
      </c>
      <c r="M125" s="8" t="s">
        <v>199</v>
      </c>
      <c r="N125" s="21">
        <v>3</v>
      </c>
      <c r="O125" s="8" t="b">
        <v>0</v>
      </c>
      <c r="P125" s="8" t="s">
        <v>218</v>
      </c>
      <c r="Q125" s="8" t="s">
        <v>227</v>
      </c>
      <c r="R125" s="8" t="s">
        <v>227</v>
      </c>
      <c r="S125" s="8"/>
      <c r="T125" s="8"/>
      <c r="U125" s="8"/>
      <c r="V125" s="8"/>
      <c r="W125" s="8"/>
      <c r="X125" s="8">
        <v>0</v>
      </c>
      <c r="Y125" s="8">
        <v>0</v>
      </c>
      <c r="Z125" s="8">
        <v>0</v>
      </c>
      <c r="AA125" s="8">
        <v>0</v>
      </c>
      <c r="AB125" s="8">
        <v>0</v>
      </c>
      <c r="AC125" s="8">
        <v>0</v>
      </c>
      <c r="AD125" s="8">
        <v>0</v>
      </c>
      <c r="AE125" s="8">
        <v>0</v>
      </c>
      <c r="AF125" s="8">
        <v>0</v>
      </c>
      <c r="AG125" s="8">
        <v>0</v>
      </c>
      <c r="AH125" s="8">
        <v>0</v>
      </c>
      <c r="AI125" s="8">
        <v>0</v>
      </c>
      <c r="AJ125" s="8">
        <v>0</v>
      </c>
      <c r="AK125" s="8">
        <v>0</v>
      </c>
      <c r="AL125" s="8">
        <v>0</v>
      </c>
      <c r="AM125" s="8">
        <v>0</v>
      </c>
      <c r="AN125" s="8">
        <v>0</v>
      </c>
      <c r="AO125" s="8">
        <v>0</v>
      </c>
      <c r="AP125" s="8">
        <v>0</v>
      </c>
      <c r="AQ125" s="8">
        <v>0</v>
      </c>
      <c r="AR125" s="8">
        <v>0</v>
      </c>
      <c r="AS125" s="8">
        <v>0</v>
      </c>
      <c r="AT125" s="8">
        <v>0</v>
      </c>
      <c r="AU125" s="8">
        <v>0</v>
      </c>
      <c r="AV125" s="8">
        <v>0</v>
      </c>
      <c r="AW125" s="8">
        <v>0</v>
      </c>
      <c r="AX125" s="8">
        <v>0</v>
      </c>
      <c r="AY125" s="8">
        <v>0</v>
      </c>
      <c r="AZ125" s="8">
        <v>0</v>
      </c>
      <c r="BA125" s="8">
        <v>0</v>
      </c>
      <c r="BB125" s="8">
        <v>0</v>
      </c>
      <c r="BC125" s="8">
        <v>0</v>
      </c>
      <c r="BD125" s="8">
        <v>0</v>
      </c>
      <c r="BE125" s="8">
        <v>0</v>
      </c>
      <c r="BF125" s="8">
        <v>0</v>
      </c>
      <c r="BG125" s="8">
        <v>0</v>
      </c>
      <c r="BH125" s="8">
        <v>0</v>
      </c>
      <c r="BI125" s="8">
        <v>0</v>
      </c>
      <c r="BJ125" s="8">
        <v>0</v>
      </c>
      <c r="BK125" s="8">
        <v>0</v>
      </c>
      <c r="BL125" s="8">
        <v>0</v>
      </c>
      <c r="BM125" s="8">
        <v>0</v>
      </c>
      <c r="BN125" s="8">
        <v>0</v>
      </c>
      <c r="BO125" s="8">
        <v>0</v>
      </c>
      <c r="BP125" s="8">
        <v>0</v>
      </c>
      <c r="BQ125" s="8">
        <v>0</v>
      </c>
      <c r="BR125" s="8">
        <v>0</v>
      </c>
      <c r="BS125" s="8">
        <v>0</v>
      </c>
      <c r="BT125" s="8">
        <v>0</v>
      </c>
      <c r="BU125" s="8">
        <v>0</v>
      </c>
      <c r="BV125" s="8">
        <v>0</v>
      </c>
      <c r="BW125" s="8">
        <v>0</v>
      </c>
      <c r="BX125" s="8">
        <v>0</v>
      </c>
      <c r="BY125" s="8">
        <v>0</v>
      </c>
      <c r="BZ125" s="8">
        <v>0</v>
      </c>
      <c r="CA125" s="8">
        <v>0</v>
      </c>
      <c r="CB125" s="8">
        <v>0</v>
      </c>
      <c r="CC125" s="8">
        <v>0</v>
      </c>
      <c r="CD125" s="8">
        <v>0</v>
      </c>
      <c r="CE125" s="8">
        <v>0</v>
      </c>
      <c r="CF125" s="8">
        <v>0</v>
      </c>
      <c r="CG125" s="8">
        <v>0</v>
      </c>
      <c r="CH125" s="8">
        <v>0</v>
      </c>
      <c r="CI125" s="8">
        <v>0</v>
      </c>
      <c r="CJ125" s="8">
        <v>0</v>
      </c>
      <c r="CK125" s="8">
        <v>0</v>
      </c>
      <c r="CL125" s="8">
        <v>0</v>
      </c>
      <c r="CM125" s="8">
        <v>0</v>
      </c>
      <c r="CN125" s="8">
        <v>0</v>
      </c>
      <c r="CO125" s="8">
        <v>0</v>
      </c>
      <c r="CP125" s="8">
        <v>0</v>
      </c>
      <c r="CQ125" s="8">
        <v>0</v>
      </c>
      <c r="CR125" s="8">
        <v>0</v>
      </c>
      <c r="CS125" t="str">
        <f>IFERROR(INDEX('Initiative Summary'!$C$5:$C$25,MATCH($A125,'Initiative Summary'!$A$5:$A$25,0)),"")</f>
        <v>Northpeak Region</v>
      </c>
    </row>
    <row r="126" spans="1:97" x14ac:dyDescent="0.25">
      <c r="A126" s="6" t="s">
        <v>689</v>
      </c>
      <c r="B126" s="10" t="s">
        <v>688</v>
      </c>
      <c r="C126" s="11" t="s">
        <v>206</v>
      </c>
      <c r="D126" s="11" t="s">
        <v>195</v>
      </c>
      <c r="E126" s="11" t="s">
        <v>206</v>
      </c>
      <c r="F126" s="11" t="s">
        <v>197</v>
      </c>
      <c r="G126" s="11"/>
      <c r="H126" s="11"/>
      <c r="I126" s="11"/>
      <c r="J126" s="11"/>
      <c r="K126" s="10"/>
      <c r="L126" s="11" t="s">
        <v>740</v>
      </c>
      <c r="M126" s="11" t="s">
        <v>199</v>
      </c>
      <c r="N126" s="20">
        <v>100</v>
      </c>
      <c r="O126" s="11" t="b">
        <v>0</v>
      </c>
      <c r="P126" s="11" t="s">
        <v>201</v>
      </c>
      <c r="Q126" s="11" t="s">
        <v>210</v>
      </c>
      <c r="R126" s="11" t="s">
        <v>210</v>
      </c>
      <c r="S126" s="11">
        <v>0</v>
      </c>
      <c r="T126" s="20">
        <v>0.38400000000000001</v>
      </c>
      <c r="U126" s="20">
        <v>1.1359999999999999</v>
      </c>
      <c r="V126" s="20">
        <v>1.1359999999999999</v>
      </c>
      <c r="W126" s="20">
        <v>1.1359999999999999</v>
      </c>
      <c r="X126" s="11">
        <v>0</v>
      </c>
      <c r="Y126" s="11">
        <v>0</v>
      </c>
      <c r="Z126" s="11">
        <v>0</v>
      </c>
      <c r="AA126" s="11">
        <v>0</v>
      </c>
      <c r="AB126" s="11">
        <v>0</v>
      </c>
      <c r="AC126" s="11">
        <v>0</v>
      </c>
      <c r="AD126" s="11">
        <v>0</v>
      </c>
      <c r="AE126" s="11">
        <v>0</v>
      </c>
      <c r="AF126" s="11">
        <v>0</v>
      </c>
      <c r="AG126" s="11">
        <v>0</v>
      </c>
      <c r="AH126" s="11">
        <v>0</v>
      </c>
      <c r="AI126" s="11">
        <v>0</v>
      </c>
      <c r="AJ126" s="20">
        <v>0</v>
      </c>
      <c r="AK126" s="20">
        <v>0</v>
      </c>
      <c r="AL126" s="20">
        <v>0</v>
      </c>
      <c r="AM126" s="20">
        <v>0</v>
      </c>
      <c r="AN126" s="20">
        <v>0</v>
      </c>
      <c r="AO126" s="20">
        <v>0</v>
      </c>
      <c r="AP126" s="20">
        <v>0</v>
      </c>
      <c r="AQ126" s="20">
        <v>0</v>
      </c>
      <c r="AR126" s="20">
        <v>0</v>
      </c>
      <c r="AS126" s="20">
        <v>0.128</v>
      </c>
      <c r="AT126" s="20">
        <v>0.128</v>
      </c>
      <c r="AU126" s="20">
        <v>0.128</v>
      </c>
      <c r="AV126" s="20">
        <v>9.4666666666666663E-2</v>
      </c>
      <c r="AW126" s="20">
        <v>9.4666666666666663E-2</v>
      </c>
      <c r="AX126" s="20">
        <v>9.4666666666666663E-2</v>
      </c>
      <c r="AY126" s="20">
        <v>9.4666666666666663E-2</v>
      </c>
      <c r="AZ126" s="20">
        <v>9.4666666666666663E-2</v>
      </c>
      <c r="BA126" s="20">
        <v>9.4666666666666663E-2</v>
      </c>
      <c r="BB126" s="20">
        <v>9.4666666666666663E-2</v>
      </c>
      <c r="BC126" s="20">
        <v>9.4666666666666663E-2</v>
      </c>
      <c r="BD126" s="20">
        <v>9.4666666666666663E-2</v>
      </c>
      <c r="BE126" s="20">
        <v>9.4666666666666663E-2</v>
      </c>
      <c r="BF126" s="20">
        <v>9.4666666666666663E-2</v>
      </c>
      <c r="BG126" s="20">
        <v>9.4666666666666663E-2</v>
      </c>
      <c r="BH126" s="20">
        <v>9.4666666666666663E-2</v>
      </c>
      <c r="BI126" s="20">
        <v>9.4666666666666663E-2</v>
      </c>
      <c r="BJ126" s="20">
        <v>9.4666666666666663E-2</v>
      </c>
      <c r="BK126" s="20">
        <v>9.4666666666666663E-2</v>
      </c>
      <c r="BL126" s="20">
        <v>9.4666666666666663E-2</v>
      </c>
      <c r="BM126" s="20">
        <v>9.4666666666666663E-2</v>
      </c>
      <c r="BN126" s="20">
        <v>9.4666666666666663E-2</v>
      </c>
      <c r="BO126" s="20">
        <v>9.4666666666666663E-2</v>
      </c>
      <c r="BP126" s="20">
        <v>9.4666666666666663E-2</v>
      </c>
      <c r="BQ126" s="20">
        <v>9.4666666666666663E-2</v>
      </c>
      <c r="BR126" s="20">
        <v>9.4666666666666663E-2</v>
      </c>
      <c r="BS126" s="20">
        <v>9.4666666666666663E-2</v>
      </c>
      <c r="BT126" s="20">
        <v>9.4666666666666663E-2</v>
      </c>
      <c r="BU126" s="20">
        <v>9.4666666666666663E-2</v>
      </c>
      <c r="BV126" s="20">
        <v>9.4666666666666663E-2</v>
      </c>
      <c r="BW126" s="20">
        <v>9.4666666666666663E-2</v>
      </c>
      <c r="BX126" s="20">
        <v>9.4666666666666663E-2</v>
      </c>
      <c r="BY126" s="20">
        <v>9.4666666666666663E-2</v>
      </c>
      <c r="BZ126" s="20">
        <v>9.4666666666666663E-2</v>
      </c>
      <c r="CA126" s="20">
        <v>9.4666666666666663E-2</v>
      </c>
      <c r="CB126" s="20">
        <v>9.4666666666666663E-2</v>
      </c>
      <c r="CC126" s="20">
        <v>9.4666666666666663E-2</v>
      </c>
      <c r="CD126" s="20">
        <v>9.4666666666666663E-2</v>
      </c>
      <c r="CE126" s="20">
        <v>9.4666666666666663E-2</v>
      </c>
      <c r="CF126" s="11">
        <v>1.1359999999999999</v>
      </c>
      <c r="CG126" s="11">
        <v>9.4666666666666663E-2</v>
      </c>
      <c r="CH126" s="11">
        <v>9.4666666666666663E-2</v>
      </c>
      <c r="CI126" s="11">
        <v>9.4666666666666663E-2</v>
      </c>
      <c r="CJ126" s="11">
        <v>9.4666666666666663E-2</v>
      </c>
      <c r="CK126" s="11">
        <v>9.4666666666666663E-2</v>
      </c>
      <c r="CL126" s="11">
        <v>9.4666666666666663E-2</v>
      </c>
      <c r="CM126" s="11">
        <v>9.4666666666666663E-2</v>
      </c>
      <c r="CN126" s="11">
        <v>9.4666666666666663E-2</v>
      </c>
      <c r="CO126" s="11">
        <v>9.4666666666666663E-2</v>
      </c>
      <c r="CP126" s="11">
        <v>9.4666666666666663E-2</v>
      </c>
      <c r="CQ126" s="11">
        <v>9.4666666666666663E-2</v>
      </c>
      <c r="CR126" s="11">
        <v>9.4666666666666663E-2</v>
      </c>
      <c r="CS126" t="str">
        <f>IFERROR(INDEX('Initiative Summary'!$C$5:$C$25,MATCH($A126,'Initiative Summary'!$A$5:$A$25,0)),"")</f>
        <v>Northpeak Region</v>
      </c>
    </row>
    <row r="127" spans="1:97" x14ac:dyDescent="0.25">
      <c r="A127" s="6" t="s">
        <v>689</v>
      </c>
      <c r="B127" s="7" t="s">
        <v>688</v>
      </c>
      <c r="C127" s="8" t="s">
        <v>206</v>
      </c>
      <c r="D127" s="8" t="s">
        <v>203</v>
      </c>
      <c r="E127" s="8" t="s">
        <v>206</v>
      </c>
      <c r="F127" s="8" t="s">
        <v>197</v>
      </c>
      <c r="G127" s="8"/>
      <c r="H127" s="8"/>
      <c r="I127" s="8"/>
      <c r="J127" s="8"/>
      <c r="K127" s="7"/>
      <c r="L127" s="8" t="s">
        <v>740</v>
      </c>
      <c r="M127" s="8" t="s">
        <v>199</v>
      </c>
      <c r="N127" s="21">
        <v>100</v>
      </c>
      <c r="O127" s="8" t="b">
        <v>0</v>
      </c>
      <c r="P127" s="8" t="s">
        <v>201</v>
      </c>
      <c r="Q127" s="8" t="s">
        <v>210</v>
      </c>
      <c r="R127" s="8" t="s">
        <v>210</v>
      </c>
      <c r="S127" s="8">
        <v>0</v>
      </c>
      <c r="T127" s="21">
        <v>0.51200000000000001</v>
      </c>
      <c r="U127" s="21">
        <v>1.536</v>
      </c>
      <c r="V127" s="21">
        <v>1.536</v>
      </c>
      <c r="W127" s="21">
        <v>1.536</v>
      </c>
      <c r="X127" s="8">
        <v>0</v>
      </c>
      <c r="Y127" s="8">
        <v>0</v>
      </c>
      <c r="Z127" s="8">
        <v>0</v>
      </c>
      <c r="AA127" s="8">
        <v>0</v>
      </c>
      <c r="AB127" s="8">
        <v>0</v>
      </c>
      <c r="AC127" s="8">
        <v>0</v>
      </c>
      <c r="AD127" s="8">
        <v>0</v>
      </c>
      <c r="AE127" s="8">
        <v>0</v>
      </c>
      <c r="AF127" s="8">
        <v>0</v>
      </c>
      <c r="AG127" s="8">
        <v>0</v>
      </c>
      <c r="AH127" s="8">
        <v>0</v>
      </c>
      <c r="AI127" s="8">
        <v>0</v>
      </c>
      <c r="AJ127" s="21">
        <v>0</v>
      </c>
      <c r="AK127" s="21">
        <v>0</v>
      </c>
      <c r="AL127" s="21">
        <v>0</v>
      </c>
      <c r="AM127" s="21">
        <v>0</v>
      </c>
      <c r="AN127" s="21">
        <v>0</v>
      </c>
      <c r="AO127" s="21">
        <v>0</v>
      </c>
      <c r="AP127" s="21">
        <v>0</v>
      </c>
      <c r="AQ127" s="21">
        <v>0</v>
      </c>
      <c r="AR127" s="21">
        <v>0</v>
      </c>
      <c r="AS127" s="21">
        <v>0.17066666666666666</v>
      </c>
      <c r="AT127" s="21">
        <v>0.17066666666666666</v>
      </c>
      <c r="AU127" s="21">
        <v>0.17066666666666666</v>
      </c>
      <c r="AV127" s="21">
        <v>0.128</v>
      </c>
      <c r="AW127" s="21">
        <v>0.128</v>
      </c>
      <c r="AX127" s="21">
        <v>0.128</v>
      </c>
      <c r="AY127" s="21">
        <v>0.128</v>
      </c>
      <c r="AZ127" s="21">
        <v>0.128</v>
      </c>
      <c r="BA127" s="21">
        <v>0.128</v>
      </c>
      <c r="BB127" s="21">
        <v>0.128</v>
      </c>
      <c r="BC127" s="21">
        <v>0.128</v>
      </c>
      <c r="BD127" s="21">
        <v>0.128</v>
      </c>
      <c r="BE127" s="21">
        <v>0.128</v>
      </c>
      <c r="BF127" s="21">
        <v>0.128</v>
      </c>
      <c r="BG127" s="21">
        <v>0.128</v>
      </c>
      <c r="BH127" s="21">
        <v>0.128</v>
      </c>
      <c r="BI127" s="21">
        <v>0.128</v>
      </c>
      <c r="BJ127" s="21">
        <v>0.128</v>
      </c>
      <c r="BK127" s="21">
        <v>0.128</v>
      </c>
      <c r="BL127" s="21">
        <v>0.128</v>
      </c>
      <c r="BM127" s="21">
        <v>0.128</v>
      </c>
      <c r="BN127" s="21">
        <v>0.128</v>
      </c>
      <c r="BO127" s="21">
        <v>0.128</v>
      </c>
      <c r="BP127" s="21">
        <v>0.128</v>
      </c>
      <c r="BQ127" s="21">
        <v>0.128</v>
      </c>
      <c r="BR127" s="21">
        <v>0.128</v>
      </c>
      <c r="BS127" s="21">
        <v>0.128</v>
      </c>
      <c r="BT127" s="21">
        <v>0.128</v>
      </c>
      <c r="BU127" s="21">
        <v>0.128</v>
      </c>
      <c r="BV127" s="21">
        <v>0.128</v>
      </c>
      <c r="BW127" s="21">
        <v>0.128</v>
      </c>
      <c r="BX127" s="21">
        <v>0.128</v>
      </c>
      <c r="BY127" s="21">
        <v>0.128</v>
      </c>
      <c r="BZ127" s="21">
        <v>0.128</v>
      </c>
      <c r="CA127" s="21">
        <v>0.128</v>
      </c>
      <c r="CB127" s="21">
        <v>0.128</v>
      </c>
      <c r="CC127" s="21">
        <v>0.128</v>
      </c>
      <c r="CD127" s="21">
        <v>0.128</v>
      </c>
      <c r="CE127" s="21">
        <v>0.128</v>
      </c>
      <c r="CF127" s="8">
        <v>1.536</v>
      </c>
      <c r="CG127" s="8">
        <v>0.128</v>
      </c>
      <c r="CH127" s="8">
        <v>0.128</v>
      </c>
      <c r="CI127" s="8">
        <v>0.128</v>
      </c>
      <c r="CJ127" s="8">
        <v>0.128</v>
      </c>
      <c r="CK127" s="8">
        <v>0.128</v>
      </c>
      <c r="CL127" s="8">
        <v>0.128</v>
      </c>
      <c r="CM127" s="8">
        <v>0.128</v>
      </c>
      <c r="CN127" s="8">
        <v>0.128</v>
      </c>
      <c r="CO127" s="8">
        <v>0.128</v>
      </c>
      <c r="CP127" s="8">
        <v>0.128</v>
      </c>
      <c r="CQ127" s="8">
        <v>0.128</v>
      </c>
      <c r="CR127" s="8">
        <v>0.128</v>
      </c>
      <c r="CS127" t="str">
        <f>IFERROR(INDEX('Initiative Summary'!$C$5:$C$25,MATCH($A127,'Initiative Summary'!$A$5:$A$25,0)),"")</f>
        <v>Northpeak Region</v>
      </c>
    </row>
    <row r="128" spans="1:97" x14ac:dyDescent="0.25">
      <c r="A128" s="6" t="s">
        <v>689</v>
      </c>
      <c r="B128" s="10" t="s">
        <v>688</v>
      </c>
      <c r="C128" s="11" t="s">
        <v>206</v>
      </c>
      <c r="D128" s="11" t="s">
        <v>204</v>
      </c>
      <c r="E128" s="11" t="s">
        <v>206</v>
      </c>
      <c r="F128" s="11" t="s">
        <v>197</v>
      </c>
      <c r="G128" s="11"/>
      <c r="H128" s="11"/>
      <c r="I128" s="11"/>
      <c r="J128" s="11"/>
      <c r="K128" s="10"/>
      <c r="L128" s="11" t="s">
        <v>740</v>
      </c>
      <c r="M128" s="11" t="s">
        <v>199</v>
      </c>
      <c r="N128" s="20">
        <v>100</v>
      </c>
      <c r="O128" s="11" t="b">
        <v>0</v>
      </c>
      <c r="P128" s="11" t="s">
        <v>201</v>
      </c>
      <c r="Q128" s="11" t="s">
        <v>210</v>
      </c>
      <c r="R128" s="11" t="s">
        <v>210</v>
      </c>
      <c r="S128" s="11"/>
      <c r="T128" s="11"/>
      <c r="U128" s="11"/>
      <c r="V128" s="11"/>
      <c r="W128" s="11"/>
      <c r="X128" s="11">
        <v>0</v>
      </c>
      <c r="Y128" s="11">
        <v>0</v>
      </c>
      <c r="Z128" s="11">
        <v>0</v>
      </c>
      <c r="AA128" s="11">
        <v>0</v>
      </c>
      <c r="AB128" s="11">
        <v>0</v>
      </c>
      <c r="AC128" s="11">
        <v>0</v>
      </c>
      <c r="AD128" s="11">
        <v>0</v>
      </c>
      <c r="AE128" s="11">
        <v>0</v>
      </c>
      <c r="AF128" s="11">
        <v>0</v>
      </c>
      <c r="AG128" s="11">
        <v>0</v>
      </c>
      <c r="AH128" s="11">
        <v>0</v>
      </c>
      <c r="AI128" s="11">
        <v>0</v>
      </c>
      <c r="AJ128" s="11">
        <v>0</v>
      </c>
      <c r="AK128" s="11">
        <v>0</v>
      </c>
      <c r="AL128" s="11">
        <v>0</v>
      </c>
      <c r="AM128" s="11">
        <v>0</v>
      </c>
      <c r="AN128" s="11">
        <v>0</v>
      </c>
      <c r="AO128" s="11">
        <v>0</v>
      </c>
      <c r="AP128" s="11">
        <v>0</v>
      </c>
      <c r="AQ128" s="11">
        <v>0</v>
      </c>
      <c r="AR128" s="11">
        <v>0</v>
      </c>
      <c r="AS128" s="11">
        <v>0</v>
      </c>
      <c r="AT128" s="11">
        <v>0</v>
      </c>
      <c r="AU128" s="11">
        <v>0</v>
      </c>
      <c r="AV128" s="11">
        <v>0</v>
      </c>
      <c r="AW128" s="11">
        <v>0</v>
      </c>
      <c r="AX128" s="11">
        <v>0</v>
      </c>
      <c r="AY128" s="11">
        <v>0</v>
      </c>
      <c r="AZ128" s="11">
        <v>0</v>
      </c>
      <c r="BA128" s="11">
        <v>0</v>
      </c>
      <c r="BB128" s="11">
        <v>0</v>
      </c>
      <c r="BC128" s="11">
        <v>0</v>
      </c>
      <c r="BD128" s="11">
        <v>0</v>
      </c>
      <c r="BE128" s="11">
        <v>0</v>
      </c>
      <c r="BF128" s="11">
        <v>0</v>
      </c>
      <c r="BG128" s="11">
        <v>0</v>
      </c>
      <c r="BH128" s="11">
        <v>0</v>
      </c>
      <c r="BI128" s="11">
        <v>0</v>
      </c>
      <c r="BJ128" s="11">
        <v>0</v>
      </c>
      <c r="BK128" s="11">
        <v>0</v>
      </c>
      <c r="BL128" s="11">
        <v>0</v>
      </c>
      <c r="BM128" s="11">
        <v>0</v>
      </c>
      <c r="BN128" s="11">
        <v>0</v>
      </c>
      <c r="BO128" s="11">
        <v>0</v>
      </c>
      <c r="BP128" s="11">
        <v>0</v>
      </c>
      <c r="BQ128" s="11">
        <v>0</v>
      </c>
      <c r="BR128" s="11">
        <v>0</v>
      </c>
      <c r="BS128" s="11">
        <v>0</v>
      </c>
      <c r="BT128" s="11">
        <v>0</v>
      </c>
      <c r="BU128" s="11">
        <v>0</v>
      </c>
      <c r="BV128" s="11">
        <v>0</v>
      </c>
      <c r="BW128" s="11">
        <v>0</v>
      </c>
      <c r="BX128" s="11">
        <v>0</v>
      </c>
      <c r="BY128" s="11">
        <v>0</v>
      </c>
      <c r="BZ128" s="11">
        <v>0</v>
      </c>
      <c r="CA128" s="11">
        <v>0</v>
      </c>
      <c r="CB128" s="11">
        <v>0</v>
      </c>
      <c r="CC128" s="11">
        <v>0</v>
      </c>
      <c r="CD128" s="11">
        <v>0</v>
      </c>
      <c r="CE128" s="11">
        <v>0</v>
      </c>
      <c r="CF128" s="11">
        <v>0</v>
      </c>
      <c r="CG128" s="11">
        <v>0</v>
      </c>
      <c r="CH128" s="11">
        <v>0</v>
      </c>
      <c r="CI128" s="11">
        <v>0</v>
      </c>
      <c r="CJ128" s="11">
        <v>0</v>
      </c>
      <c r="CK128" s="11">
        <v>0</v>
      </c>
      <c r="CL128" s="11">
        <v>0</v>
      </c>
      <c r="CM128" s="11">
        <v>0</v>
      </c>
      <c r="CN128" s="11">
        <v>0</v>
      </c>
      <c r="CO128" s="11">
        <v>0</v>
      </c>
      <c r="CP128" s="11">
        <v>0</v>
      </c>
      <c r="CQ128" s="11">
        <v>0</v>
      </c>
      <c r="CR128" s="11">
        <v>0</v>
      </c>
      <c r="CS128" t="str">
        <f>IFERROR(INDEX('Initiative Summary'!$C$5:$C$25,MATCH($A128,'Initiative Summary'!$A$5:$A$25,0)),"")</f>
        <v>Northpeak Region</v>
      </c>
    </row>
    <row r="129" spans="1:97" x14ac:dyDescent="0.25">
      <c r="A129" s="6" t="s">
        <v>693</v>
      </c>
      <c r="B129" s="7" t="s">
        <v>692</v>
      </c>
      <c r="C129" s="8" t="s">
        <v>194</v>
      </c>
      <c r="D129" s="8" t="s">
        <v>195</v>
      </c>
      <c r="E129" s="8" t="s">
        <v>196</v>
      </c>
      <c r="F129" s="8" t="s">
        <v>197</v>
      </c>
      <c r="G129" s="8"/>
      <c r="H129" s="8"/>
      <c r="I129" s="8"/>
      <c r="J129" s="8"/>
      <c r="K129" s="7"/>
      <c r="L129" s="8" t="s">
        <v>741</v>
      </c>
      <c r="M129" s="8" t="s">
        <v>199</v>
      </c>
      <c r="N129" s="21">
        <v>0</v>
      </c>
      <c r="O129" s="8" t="b">
        <v>0</v>
      </c>
      <c r="P129" s="8" t="s">
        <v>201</v>
      </c>
      <c r="Q129" s="8" t="s">
        <v>223</v>
      </c>
      <c r="R129" s="8" t="s">
        <v>223</v>
      </c>
      <c r="S129" s="8">
        <v>0.57199999999999995</v>
      </c>
      <c r="T129" s="21">
        <v>1.21</v>
      </c>
      <c r="U129" s="21">
        <v>1.21</v>
      </c>
      <c r="V129" s="21">
        <v>1.21</v>
      </c>
      <c r="W129" s="21">
        <v>1.21</v>
      </c>
      <c r="X129" s="8">
        <v>0</v>
      </c>
      <c r="Y129" s="8">
        <v>0</v>
      </c>
      <c r="Z129" s="8">
        <v>0</v>
      </c>
      <c r="AA129" s="8">
        <v>0</v>
      </c>
      <c r="AB129" s="8">
        <v>0</v>
      </c>
      <c r="AC129" s="8">
        <v>0</v>
      </c>
      <c r="AD129" s="8">
        <v>0</v>
      </c>
      <c r="AE129" s="8">
        <v>0</v>
      </c>
      <c r="AF129" s="8">
        <v>0</v>
      </c>
      <c r="AG129" s="8">
        <v>0</v>
      </c>
      <c r="AH129" s="8">
        <v>0</v>
      </c>
      <c r="AI129" s="8">
        <v>0.57199999999999995</v>
      </c>
      <c r="AJ129" s="21">
        <v>0.10083333333333333</v>
      </c>
      <c r="AK129" s="21">
        <v>0.10083333333333333</v>
      </c>
      <c r="AL129" s="21">
        <v>0.10083333333333333</v>
      </c>
      <c r="AM129" s="21">
        <v>0.10083333333333333</v>
      </c>
      <c r="AN129" s="21">
        <v>0.10083333333333333</v>
      </c>
      <c r="AO129" s="21">
        <v>0.10083333333333333</v>
      </c>
      <c r="AP129" s="21">
        <v>0.10083333333333333</v>
      </c>
      <c r="AQ129" s="21">
        <v>0.10083333333333333</v>
      </c>
      <c r="AR129" s="21">
        <v>0.10083333333333333</v>
      </c>
      <c r="AS129" s="21">
        <v>0.10083333333333333</v>
      </c>
      <c r="AT129" s="21">
        <v>0.10083333333333333</v>
      </c>
      <c r="AU129" s="21">
        <v>0.10083333333333333</v>
      </c>
      <c r="AV129" s="21">
        <v>0.10083333333333333</v>
      </c>
      <c r="AW129" s="21">
        <v>0.10083333333333333</v>
      </c>
      <c r="AX129" s="21">
        <v>0.10083333333333333</v>
      </c>
      <c r="AY129" s="21">
        <v>0.10083333333333333</v>
      </c>
      <c r="AZ129" s="21">
        <v>0.10083333333333333</v>
      </c>
      <c r="BA129" s="21">
        <v>0.10083333333333333</v>
      </c>
      <c r="BB129" s="21">
        <v>0.10083333333333333</v>
      </c>
      <c r="BC129" s="21">
        <v>0.10083333333333333</v>
      </c>
      <c r="BD129" s="21">
        <v>0.10083333333333333</v>
      </c>
      <c r="BE129" s="21">
        <v>0.10083333333333333</v>
      </c>
      <c r="BF129" s="21">
        <v>0.10083333333333333</v>
      </c>
      <c r="BG129" s="21">
        <v>0.10083333333333333</v>
      </c>
      <c r="BH129" s="21">
        <v>0.10083333333333333</v>
      </c>
      <c r="BI129" s="21">
        <v>0.10083333333333333</v>
      </c>
      <c r="BJ129" s="21">
        <v>0.10083333333333333</v>
      </c>
      <c r="BK129" s="21">
        <v>0.10083333333333333</v>
      </c>
      <c r="BL129" s="21">
        <v>0.10083333333333333</v>
      </c>
      <c r="BM129" s="21">
        <v>0.10083333333333333</v>
      </c>
      <c r="BN129" s="21">
        <v>0.10083333333333333</v>
      </c>
      <c r="BO129" s="21">
        <v>0.10083333333333333</v>
      </c>
      <c r="BP129" s="21">
        <v>0.10083333333333333</v>
      </c>
      <c r="BQ129" s="21">
        <v>0.10083333333333333</v>
      </c>
      <c r="BR129" s="21">
        <v>0.10083333333333333</v>
      </c>
      <c r="BS129" s="21">
        <v>0.10083333333333333</v>
      </c>
      <c r="BT129" s="21">
        <v>0.10083333333333333</v>
      </c>
      <c r="BU129" s="21">
        <v>0.10083333333333333</v>
      </c>
      <c r="BV129" s="21">
        <v>0.10083333333333333</v>
      </c>
      <c r="BW129" s="21">
        <v>0.10083333333333333</v>
      </c>
      <c r="BX129" s="21">
        <v>0.10083333333333333</v>
      </c>
      <c r="BY129" s="21">
        <v>0.10083333333333333</v>
      </c>
      <c r="BZ129" s="21">
        <v>0.10083333333333333</v>
      </c>
      <c r="CA129" s="21">
        <v>0.10083333333333333</v>
      </c>
      <c r="CB129" s="21">
        <v>0.10083333333333333</v>
      </c>
      <c r="CC129" s="21">
        <v>0.10083333333333333</v>
      </c>
      <c r="CD129" s="21">
        <v>0.10083333333333333</v>
      </c>
      <c r="CE129" s="21">
        <v>0.10083333333333333</v>
      </c>
      <c r="CF129" s="8">
        <v>1.21</v>
      </c>
      <c r="CG129" s="8">
        <v>0.10083333333333333</v>
      </c>
      <c r="CH129" s="8">
        <v>0.10083333333333333</v>
      </c>
      <c r="CI129" s="8">
        <v>0.10083333333333333</v>
      </c>
      <c r="CJ129" s="8">
        <v>0.10083333333333333</v>
      </c>
      <c r="CK129" s="8">
        <v>0.10083333333333333</v>
      </c>
      <c r="CL129" s="8">
        <v>0.10083333333333333</v>
      </c>
      <c r="CM129" s="8">
        <v>0.10083333333333333</v>
      </c>
      <c r="CN129" s="8">
        <v>0.10083333333333333</v>
      </c>
      <c r="CO129" s="8">
        <v>0.10083333333333333</v>
      </c>
      <c r="CP129" s="8">
        <v>0.10083333333333333</v>
      </c>
      <c r="CQ129" s="8">
        <v>0.10083333333333333</v>
      </c>
      <c r="CR129" s="8">
        <v>0.10083333333333333</v>
      </c>
      <c r="CS129" t="str">
        <f>IFERROR(INDEX('Initiative Summary'!$C$5:$C$25,MATCH($A129,'Initiative Summary'!$A$5:$A$25,0)),"")</f>
        <v>Northpeak Region</v>
      </c>
    </row>
    <row r="130" spans="1:97" x14ac:dyDescent="0.25">
      <c r="A130" s="6" t="s">
        <v>693</v>
      </c>
      <c r="B130" s="10" t="s">
        <v>692</v>
      </c>
      <c r="C130" s="11" t="s">
        <v>194</v>
      </c>
      <c r="D130" s="11" t="s">
        <v>203</v>
      </c>
      <c r="E130" s="11" t="s">
        <v>196</v>
      </c>
      <c r="F130" s="11" t="s">
        <v>197</v>
      </c>
      <c r="G130" s="11"/>
      <c r="H130" s="11"/>
      <c r="I130" s="11"/>
      <c r="J130" s="11"/>
      <c r="K130" s="10"/>
      <c r="L130" s="11" t="s">
        <v>741</v>
      </c>
      <c r="M130" s="11" t="s">
        <v>199</v>
      </c>
      <c r="N130" s="20">
        <v>0</v>
      </c>
      <c r="O130" s="11" t="b">
        <v>0</v>
      </c>
      <c r="P130" s="11" t="s">
        <v>201</v>
      </c>
      <c r="Q130" s="11" t="s">
        <v>223</v>
      </c>
      <c r="R130" s="11" t="s">
        <v>223</v>
      </c>
      <c r="S130" s="11">
        <v>0.85799999999999998</v>
      </c>
      <c r="T130" s="20">
        <v>1.716</v>
      </c>
      <c r="U130" s="20">
        <v>1.716</v>
      </c>
      <c r="V130" s="20">
        <v>1.716</v>
      </c>
      <c r="W130" s="20">
        <v>1.716</v>
      </c>
      <c r="X130" s="11">
        <v>0</v>
      </c>
      <c r="Y130" s="11">
        <v>0</v>
      </c>
      <c r="Z130" s="11">
        <v>0</v>
      </c>
      <c r="AA130" s="11">
        <v>0</v>
      </c>
      <c r="AB130" s="11">
        <v>0</v>
      </c>
      <c r="AC130" s="11">
        <v>0</v>
      </c>
      <c r="AD130" s="11">
        <v>0</v>
      </c>
      <c r="AE130" s="11">
        <v>0</v>
      </c>
      <c r="AF130" s="11">
        <v>0</v>
      </c>
      <c r="AG130" s="11">
        <v>0</v>
      </c>
      <c r="AH130" s="11">
        <v>0</v>
      </c>
      <c r="AI130" s="11">
        <v>0.85799999999999998</v>
      </c>
      <c r="AJ130" s="20">
        <v>0.14299999999999999</v>
      </c>
      <c r="AK130" s="20">
        <v>0.14299999999999999</v>
      </c>
      <c r="AL130" s="20">
        <v>0.14299999999999999</v>
      </c>
      <c r="AM130" s="20">
        <v>0.14299999999999999</v>
      </c>
      <c r="AN130" s="20">
        <v>0.14299999999999999</v>
      </c>
      <c r="AO130" s="20">
        <v>0.14299999999999999</v>
      </c>
      <c r="AP130" s="20">
        <v>0.14299999999999999</v>
      </c>
      <c r="AQ130" s="20">
        <v>0.14299999999999999</v>
      </c>
      <c r="AR130" s="20">
        <v>0.14299999999999999</v>
      </c>
      <c r="AS130" s="20">
        <v>0.14299999999999999</v>
      </c>
      <c r="AT130" s="20">
        <v>0.14299999999999999</v>
      </c>
      <c r="AU130" s="20">
        <v>0.14299999999999999</v>
      </c>
      <c r="AV130" s="20">
        <v>0.14299999999999999</v>
      </c>
      <c r="AW130" s="20">
        <v>0.14299999999999999</v>
      </c>
      <c r="AX130" s="20">
        <v>0.14299999999999999</v>
      </c>
      <c r="AY130" s="20">
        <v>0.14299999999999999</v>
      </c>
      <c r="AZ130" s="20">
        <v>0.14299999999999999</v>
      </c>
      <c r="BA130" s="20">
        <v>0.14299999999999999</v>
      </c>
      <c r="BB130" s="20">
        <v>0.14299999999999999</v>
      </c>
      <c r="BC130" s="20">
        <v>0.14299999999999999</v>
      </c>
      <c r="BD130" s="20">
        <v>0.14299999999999999</v>
      </c>
      <c r="BE130" s="20">
        <v>0.14299999999999999</v>
      </c>
      <c r="BF130" s="20">
        <v>0.14299999999999999</v>
      </c>
      <c r="BG130" s="20">
        <v>0.14299999999999999</v>
      </c>
      <c r="BH130" s="20">
        <v>0.14299999999999999</v>
      </c>
      <c r="BI130" s="20">
        <v>0.14299999999999999</v>
      </c>
      <c r="BJ130" s="20">
        <v>0.14299999999999999</v>
      </c>
      <c r="BK130" s="20">
        <v>0.14299999999999999</v>
      </c>
      <c r="BL130" s="20">
        <v>0.14299999999999999</v>
      </c>
      <c r="BM130" s="20">
        <v>0.14299999999999999</v>
      </c>
      <c r="BN130" s="20">
        <v>0.14299999999999999</v>
      </c>
      <c r="BO130" s="20">
        <v>0.14299999999999999</v>
      </c>
      <c r="BP130" s="20">
        <v>0.14299999999999999</v>
      </c>
      <c r="BQ130" s="20">
        <v>0.14299999999999999</v>
      </c>
      <c r="BR130" s="20">
        <v>0.14299999999999999</v>
      </c>
      <c r="BS130" s="20">
        <v>0.14299999999999999</v>
      </c>
      <c r="BT130" s="20">
        <v>0.14299999999999999</v>
      </c>
      <c r="BU130" s="20">
        <v>0.14299999999999999</v>
      </c>
      <c r="BV130" s="20">
        <v>0.14299999999999999</v>
      </c>
      <c r="BW130" s="20">
        <v>0.14299999999999999</v>
      </c>
      <c r="BX130" s="20">
        <v>0.14299999999999999</v>
      </c>
      <c r="BY130" s="20">
        <v>0.14299999999999999</v>
      </c>
      <c r="BZ130" s="20">
        <v>0.14299999999999999</v>
      </c>
      <c r="CA130" s="20">
        <v>0.14299999999999999</v>
      </c>
      <c r="CB130" s="20">
        <v>0.14299999999999999</v>
      </c>
      <c r="CC130" s="20">
        <v>0.14299999999999999</v>
      </c>
      <c r="CD130" s="20">
        <v>0.14299999999999999</v>
      </c>
      <c r="CE130" s="20">
        <v>0.14299999999999999</v>
      </c>
      <c r="CF130" s="11">
        <v>1.716</v>
      </c>
      <c r="CG130" s="11">
        <v>0.14299999999999999</v>
      </c>
      <c r="CH130" s="11">
        <v>0.14299999999999999</v>
      </c>
      <c r="CI130" s="11">
        <v>0.14299999999999999</v>
      </c>
      <c r="CJ130" s="11">
        <v>0.14299999999999999</v>
      </c>
      <c r="CK130" s="11">
        <v>0.14299999999999999</v>
      </c>
      <c r="CL130" s="11">
        <v>0.14299999999999999</v>
      </c>
      <c r="CM130" s="11">
        <v>0.14299999999999999</v>
      </c>
      <c r="CN130" s="11">
        <v>0.14299999999999999</v>
      </c>
      <c r="CO130" s="11">
        <v>0.14299999999999999</v>
      </c>
      <c r="CP130" s="11">
        <v>0.14299999999999999</v>
      </c>
      <c r="CQ130" s="11">
        <v>0.14299999999999999</v>
      </c>
      <c r="CR130" s="11">
        <v>0.14299999999999999</v>
      </c>
      <c r="CS130" t="str">
        <f>IFERROR(INDEX('Initiative Summary'!$C$5:$C$25,MATCH($A130,'Initiative Summary'!$A$5:$A$25,0)),"")</f>
        <v>Northpeak Region</v>
      </c>
    </row>
    <row r="131" spans="1:97" x14ac:dyDescent="0.25">
      <c r="A131" s="6" t="s">
        <v>693</v>
      </c>
      <c r="B131" s="7" t="s">
        <v>692</v>
      </c>
      <c r="C131" s="8" t="s">
        <v>194</v>
      </c>
      <c r="D131" s="8" t="s">
        <v>204</v>
      </c>
      <c r="E131" s="8" t="s">
        <v>196</v>
      </c>
      <c r="F131" s="8" t="s">
        <v>197</v>
      </c>
      <c r="G131" s="8"/>
      <c r="H131" s="8"/>
      <c r="I131" s="8"/>
      <c r="J131" s="8"/>
      <c r="K131" s="7"/>
      <c r="L131" s="8" t="s">
        <v>741</v>
      </c>
      <c r="M131" s="8" t="s">
        <v>199</v>
      </c>
      <c r="N131" s="21">
        <v>0</v>
      </c>
      <c r="O131" s="8" t="b">
        <v>0</v>
      </c>
      <c r="P131" s="8" t="s">
        <v>201</v>
      </c>
      <c r="Q131" s="8" t="s">
        <v>223</v>
      </c>
      <c r="R131" s="8" t="s">
        <v>223</v>
      </c>
      <c r="S131" s="8"/>
      <c r="T131" s="8"/>
      <c r="U131" s="8"/>
      <c r="V131" s="8"/>
      <c r="W131" s="8"/>
      <c r="X131" s="8">
        <v>0</v>
      </c>
      <c r="Y131" s="8">
        <v>0</v>
      </c>
      <c r="Z131" s="8">
        <v>0</v>
      </c>
      <c r="AA131" s="8">
        <v>0</v>
      </c>
      <c r="AB131" s="8">
        <v>0</v>
      </c>
      <c r="AC131" s="8">
        <v>0</v>
      </c>
      <c r="AD131" s="8">
        <v>0</v>
      </c>
      <c r="AE131" s="8">
        <v>0</v>
      </c>
      <c r="AF131" s="8">
        <v>0</v>
      </c>
      <c r="AG131" s="8">
        <v>0</v>
      </c>
      <c r="AH131" s="8">
        <v>0</v>
      </c>
      <c r="AI131" s="8">
        <v>0</v>
      </c>
      <c r="AJ131" s="8">
        <v>0</v>
      </c>
      <c r="AK131" s="8">
        <v>0</v>
      </c>
      <c r="AL131" s="8">
        <v>0</v>
      </c>
      <c r="AM131" s="8">
        <v>0</v>
      </c>
      <c r="AN131" s="8">
        <v>0</v>
      </c>
      <c r="AO131" s="8">
        <v>0</v>
      </c>
      <c r="AP131" s="8">
        <v>0</v>
      </c>
      <c r="AQ131" s="8">
        <v>0</v>
      </c>
      <c r="AR131" s="8">
        <v>0</v>
      </c>
      <c r="AS131" s="8">
        <v>0</v>
      </c>
      <c r="AT131" s="8">
        <v>0</v>
      </c>
      <c r="AU131" s="8">
        <v>0</v>
      </c>
      <c r="AV131" s="8">
        <v>0</v>
      </c>
      <c r="AW131" s="8">
        <v>0</v>
      </c>
      <c r="AX131" s="8">
        <v>0</v>
      </c>
      <c r="AY131" s="8">
        <v>0</v>
      </c>
      <c r="AZ131" s="8">
        <v>0</v>
      </c>
      <c r="BA131" s="8">
        <v>0</v>
      </c>
      <c r="BB131" s="8">
        <v>0</v>
      </c>
      <c r="BC131" s="8">
        <v>0</v>
      </c>
      <c r="BD131" s="8">
        <v>0</v>
      </c>
      <c r="BE131" s="8">
        <v>0</v>
      </c>
      <c r="BF131" s="8">
        <v>0</v>
      </c>
      <c r="BG131" s="8">
        <v>0</v>
      </c>
      <c r="BH131" s="8">
        <v>0</v>
      </c>
      <c r="BI131" s="8">
        <v>0</v>
      </c>
      <c r="BJ131" s="8">
        <v>0</v>
      </c>
      <c r="BK131" s="8">
        <v>0</v>
      </c>
      <c r="BL131" s="8">
        <v>0</v>
      </c>
      <c r="BM131" s="8">
        <v>0</v>
      </c>
      <c r="BN131" s="8">
        <v>0</v>
      </c>
      <c r="BO131" s="8">
        <v>0</v>
      </c>
      <c r="BP131" s="8">
        <v>0</v>
      </c>
      <c r="BQ131" s="8">
        <v>0</v>
      </c>
      <c r="BR131" s="8">
        <v>0</v>
      </c>
      <c r="BS131" s="8">
        <v>0</v>
      </c>
      <c r="BT131" s="8">
        <v>0</v>
      </c>
      <c r="BU131" s="8">
        <v>0</v>
      </c>
      <c r="BV131" s="8">
        <v>0</v>
      </c>
      <c r="BW131" s="8">
        <v>0</v>
      </c>
      <c r="BX131" s="8">
        <v>0</v>
      </c>
      <c r="BY131" s="8">
        <v>0</v>
      </c>
      <c r="BZ131" s="8">
        <v>0</v>
      </c>
      <c r="CA131" s="8">
        <v>0</v>
      </c>
      <c r="CB131" s="8">
        <v>0</v>
      </c>
      <c r="CC131" s="8">
        <v>0</v>
      </c>
      <c r="CD131" s="8">
        <v>0</v>
      </c>
      <c r="CE131" s="8">
        <v>0</v>
      </c>
      <c r="CF131" s="8">
        <v>0</v>
      </c>
      <c r="CG131" s="8">
        <v>0</v>
      </c>
      <c r="CH131" s="8">
        <v>0</v>
      </c>
      <c r="CI131" s="8">
        <v>0</v>
      </c>
      <c r="CJ131" s="8">
        <v>0</v>
      </c>
      <c r="CK131" s="8">
        <v>0</v>
      </c>
      <c r="CL131" s="8">
        <v>0</v>
      </c>
      <c r="CM131" s="8">
        <v>0</v>
      </c>
      <c r="CN131" s="8">
        <v>0</v>
      </c>
      <c r="CO131" s="8">
        <v>0</v>
      </c>
      <c r="CP131" s="8">
        <v>0</v>
      </c>
      <c r="CQ131" s="8">
        <v>0</v>
      </c>
      <c r="CR131" s="8">
        <v>0</v>
      </c>
      <c r="CS131" t="str">
        <f>IFERROR(INDEX('Initiative Summary'!$C$5:$C$25,MATCH($A131,'Initiative Summary'!$A$5:$A$25,0)),"")</f>
        <v>Northpeak Region</v>
      </c>
    </row>
    <row r="132" spans="1:97" x14ac:dyDescent="0.25">
      <c r="A132" s="6" t="s">
        <v>693</v>
      </c>
      <c r="B132" s="10" t="s">
        <v>692</v>
      </c>
      <c r="C132" s="11" t="s">
        <v>205</v>
      </c>
      <c r="D132" s="11" t="s">
        <v>195</v>
      </c>
      <c r="E132" s="11" t="s">
        <v>206</v>
      </c>
      <c r="F132" s="11" t="s">
        <v>207</v>
      </c>
      <c r="G132" s="11"/>
      <c r="H132" s="11" t="s">
        <v>215</v>
      </c>
      <c r="I132" s="11" t="s">
        <v>216</v>
      </c>
      <c r="J132" s="11"/>
      <c r="K132" s="10"/>
      <c r="L132" s="11" t="s">
        <v>742</v>
      </c>
      <c r="M132" s="11" t="s">
        <v>199</v>
      </c>
      <c r="N132" s="20">
        <v>3</v>
      </c>
      <c r="O132" s="11" t="b">
        <v>0</v>
      </c>
      <c r="P132" s="11" t="s">
        <v>218</v>
      </c>
      <c r="Q132" s="11" t="s">
        <v>223</v>
      </c>
      <c r="R132" s="11" t="s">
        <v>223</v>
      </c>
      <c r="S132" s="11"/>
      <c r="T132" s="11"/>
      <c r="U132" s="11"/>
      <c r="V132" s="11"/>
      <c r="W132" s="11"/>
      <c r="X132" s="11">
        <v>0</v>
      </c>
      <c r="Y132" s="11">
        <v>0</v>
      </c>
      <c r="Z132" s="11">
        <v>0</v>
      </c>
      <c r="AA132" s="11">
        <v>0</v>
      </c>
      <c r="AB132" s="11">
        <v>0</v>
      </c>
      <c r="AC132" s="11">
        <v>0</v>
      </c>
      <c r="AD132" s="11">
        <v>0</v>
      </c>
      <c r="AE132" s="11">
        <v>0</v>
      </c>
      <c r="AF132" s="11">
        <v>0</v>
      </c>
      <c r="AG132" s="11">
        <v>0</v>
      </c>
      <c r="AH132" s="11">
        <v>0</v>
      </c>
      <c r="AI132" s="11">
        <v>0</v>
      </c>
      <c r="AJ132" s="11">
        <v>0</v>
      </c>
      <c r="AK132" s="11">
        <v>0</v>
      </c>
      <c r="AL132" s="11">
        <v>0</v>
      </c>
      <c r="AM132" s="11">
        <v>0</v>
      </c>
      <c r="AN132" s="11">
        <v>0</v>
      </c>
      <c r="AO132" s="11">
        <v>0</v>
      </c>
      <c r="AP132" s="11">
        <v>0</v>
      </c>
      <c r="AQ132" s="11">
        <v>0</v>
      </c>
      <c r="AR132" s="11">
        <v>0</v>
      </c>
      <c r="AS132" s="11">
        <v>0</v>
      </c>
      <c r="AT132" s="11">
        <v>0</v>
      </c>
      <c r="AU132" s="11">
        <v>0</v>
      </c>
      <c r="AV132" s="11">
        <v>0</v>
      </c>
      <c r="AW132" s="11">
        <v>0</v>
      </c>
      <c r="AX132" s="11">
        <v>0</v>
      </c>
      <c r="AY132" s="11">
        <v>0</v>
      </c>
      <c r="AZ132" s="11">
        <v>0</v>
      </c>
      <c r="BA132" s="11">
        <v>0</v>
      </c>
      <c r="BB132" s="11">
        <v>0</v>
      </c>
      <c r="BC132" s="11">
        <v>0</v>
      </c>
      <c r="BD132" s="11">
        <v>0</v>
      </c>
      <c r="BE132" s="11">
        <v>0</v>
      </c>
      <c r="BF132" s="11">
        <v>0</v>
      </c>
      <c r="BG132" s="11">
        <v>0</v>
      </c>
      <c r="BH132" s="11">
        <v>0</v>
      </c>
      <c r="BI132" s="11">
        <v>0</v>
      </c>
      <c r="BJ132" s="11">
        <v>0</v>
      </c>
      <c r="BK132" s="11">
        <v>0</v>
      </c>
      <c r="BL132" s="11">
        <v>0</v>
      </c>
      <c r="BM132" s="11">
        <v>0</v>
      </c>
      <c r="BN132" s="11">
        <v>0</v>
      </c>
      <c r="BO132" s="11">
        <v>0</v>
      </c>
      <c r="BP132" s="11">
        <v>0</v>
      </c>
      <c r="BQ132" s="11">
        <v>0</v>
      </c>
      <c r="BR132" s="11">
        <v>0</v>
      </c>
      <c r="BS132" s="11">
        <v>0</v>
      </c>
      <c r="BT132" s="11">
        <v>0</v>
      </c>
      <c r="BU132" s="11">
        <v>0</v>
      </c>
      <c r="BV132" s="11">
        <v>0</v>
      </c>
      <c r="BW132" s="11">
        <v>0</v>
      </c>
      <c r="BX132" s="11">
        <v>0</v>
      </c>
      <c r="BY132" s="11">
        <v>0</v>
      </c>
      <c r="BZ132" s="11">
        <v>0</v>
      </c>
      <c r="CA132" s="11">
        <v>0</v>
      </c>
      <c r="CB132" s="11">
        <v>0</v>
      </c>
      <c r="CC132" s="11">
        <v>0</v>
      </c>
      <c r="CD132" s="11">
        <v>0</v>
      </c>
      <c r="CE132" s="11">
        <v>0</v>
      </c>
      <c r="CF132" s="11">
        <v>0</v>
      </c>
      <c r="CG132" s="11">
        <v>0</v>
      </c>
      <c r="CH132" s="11">
        <v>0</v>
      </c>
      <c r="CI132" s="11">
        <v>0</v>
      </c>
      <c r="CJ132" s="11">
        <v>0</v>
      </c>
      <c r="CK132" s="11">
        <v>0</v>
      </c>
      <c r="CL132" s="11">
        <v>0</v>
      </c>
      <c r="CM132" s="11">
        <v>0</v>
      </c>
      <c r="CN132" s="11">
        <v>0</v>
      </c>
      <c r="CO132" s="11">
        <v>0</v>
      </c>
      <c r="CP132" s="11">
        <v>0</v>
      </c>
      <c r="CQ132" s="11">
        <v>0</v>
      </c>
      <c r="CR132" s="11">
        <v>0</v>
      </c>
      <c r="CS132" t="str">
        <f>IFERROR(INDEX('Initiative Summary'!$C$5:$C$25,MATCH($A132,'Initiative Summary'!$A$5:$A$25,0)),"")</f>
        <v>Northpeak Region</v>
      </c>
    </row>
    <row r="133" spans="1:97" x14ac:dyDescent="0.25">
      <c r="A133" s="6" t="s">
        <v>693</v>
      </c>
      <c r="B133" s="7" t="s">
        <v>692</v>
      </c>
      <c r="C133" s="8" t="s">
        <v>205</v>
      </c>
      <c r="D133" s="8" t="s">
        <v>203</v>
      </c>
      <c r="E133" s="8" t="s">
        <v>206</v>
      </c>
      <c r="F133" s="8" t="s">
        <v>207</v>
      </c>
      <c r="G133" s="8"/>
      <c r="H133" s="8" t="s">
        <v>215</v>
      </c>
      <c r="I133" s="8" t="s">
        <v>216</v>
      </c>
      <c r="J133" s="8"/>
      <c r="K133" s="7"/>
      <c r="L133" s="8" t="s">
        <v>742</v>
      </c>
      <c r="M133" s="8" t="s">
        <v>199</v>
      </c>
      <c r="N133" s="21">
        <v>3</v>
      </c>
      <c r="O133" s="8" t="b">
        <v>0</v>
      </c>
      <c r="P133" s="8" t="s">
        <v>218</v>
      </c>
      <c r="Q133" s="8" t="s">
        <v>223</v>
      </c>
      <c r="R133" s="8" t="s">
        <v>223</v>
      </c>
      <c r="S133" s="8"/>
      <c r="T133" s="8"/>
      <c r="U133" s="8"/>
      <c r="V133" s="8"/>
      <c r="W133" s="8"/>
      <c r="X133" s="8">
        <v>0</v>
      </c>
      <c r="Y133" s="8">
        <v>0</v>
      </c>
      <c r="Z133" s="8">
        <v>0</v>
      </c>
      <c r="AA133" s="8">
        <v>0</v>
      </c>
      <c r="AB133" s="8">
        <v>0</v>
      </c>
      <c r="AC133" s="8">
        <v>0</v>
      </c>
      <c r="AD133" s="8">
        <v>0</v>
      </c>
      <c r="AE133" s="8">
        <v>0</v>
      </c>
      <c r="AF133" s="8">
        <v>0</v>
      </c>
      <c r="AG133" s="8">
        <v>0</v>
      </c>
      <c r="AH133" s="8">
        <v>0</v>
      </c>
      <c r="AI133" s="8">
        <v>0</v>
      </c>
      <c r="AJ133" s="8">
        <v>0</v>
      </c>
      <c r="AK133" s="8">
        <v>0</v>
      </c>
      <c r="AL133" s="8">
        <v>0</v>
      </c>
      <c r="AM133" s="8">
        <v>0</v>
      </c>
      <c r="AN133" s="8">
        <v>0</v>
      </c>
      <c r="AO133" s="8">
        <v>0</v>
      </c>
      <c r="AP133" s="8">
        <v>0</v>
      </c>
      <c r="AQ133" s="8">
        <v>0</v>
      </c>
      <c r="AR133" s="8">
        <v>0</v>
      </c>
      <c r="AS133" s="8">
        <v>0</v>
      </c>
      <c r="AT133" s="8">
        <v>0</v>
      </c>
      <c r="AU133" s="8">
        <v>0</v>
      </c>
      <c r="AV133" s="8">
        <v>0</v>
      </c>
      <c r="AW133" s="8">
        <v>0</v>
      </c>
      <c r="AX133" s="8">
        <v>0</v>
      </c>
      <c r="AY133" s="8">
        <v>0</v>
      </c>
      <c r="AZ133" s="8">
        <v>0</v>
      </c>
      <c r="BA133" s="8">
        <v>0</v>
      </c>
      <c r="BB133" s="8">
        <v>0</v>
      </c>
      <c r="BC133" s="8">
        <v>0</v>
      </c>
      <c r="BD133" s="8">
        <v>0</v>
      </c>
      <c r="BE133" s="8">
        <v>0</v>
      </c>
      <c r="BF133" s="8">
        <v>0</v>
      </c>
      <c r="BG133" s="8">
        <v>0</v>
      </c>
      <c r="BH133" s="8">
        <v>0</v>
      </c>
      <c r="BI133" s="8">
        <v>0</v>
      </c>
      <c r="BJ133" s="8">
        <v>0</v>
      </c>
      <c r="BK133" s="8">
        <v>0</v>
      </c>
      <c r="BL133" s="8">
        <v>0</v>
      </c>
      <c r="BM133" s="8">
        <v>0</v>
      </c>
      <c r="BN133" s="8">
        <v>0</v>
      </c>
      <c r="BO133" s="8">
        <v>0</v>
      </c>
      <c r="BP133" s="8">
        <v>0</v>
      </c>
      <c r="BQ133" s="8">
        <v>0</v>
      </c>
      <c r="BR133" s="8">
        <v>0</v>
      </c>
      <c r="BS133" s="8">
        <v>0</v>
      </c>
      <c r="BT133" s="8">
        <v>0</v>
      </c>
      <c r="BU133" s="8">
        <v>0</v>
      </c>
      <c r="BV133" s="8">
        <v>0</v>
      </c>
      <c r="BW133" s="8">
        <v>0</v>
      </c>
      <c r="BX133" s="8">
        <v>0</v>
      </c>
      <c r="BY133" s="8">
        <v>0</v>
      </c>
      <c r="BZ133" s="8">
        <v>0</v>
      </c>
      <c r="CA133" s="8">
        <v>0</v>
      </c>
      <c r="CB133" s="8">
        <v>0</v>
      </c>
      <c r="CC133" s="8">
        <v>0</v>
      </c>
      <c r="CD133" s="8">
        <v>0</v>
      </c>
      <c r="CE133" s="8">
        <v>0</v>
      </c>
      <c r="CF133" s="8">
        <v>0</v>
      </c>
      <c r="CG133" s="8">
        <v>0</v>
      </c>
      <c r="CH133" s="8">
        <v>0</v>
      </c>
      <c r="CI133" s="8">
        <v>0</v>
      </c>
      <c r="CJ133" s="8">
        <v>0</v>
      </c>
      <c r="CK133" s="8">
        <v>0</v>
      </c>
      <c r="CL133" s="8">
        <v>0</v>
      </c>
      <c r="CM133" s="8">
        <v>0</v>
      </c>
      <c r="CN133" s="8">
        <v>0</v>
      </c>
      <c r="CO133" s="8">
        <v>0</v>
      </c>
      <c r="CP133" s="8">
        <v>0</v>
      </c>
      <c r="CQ133" s="8">
        <v>0</v>
      </c>
      <c r="CR133" s="8">
        <v>0</v>
      </c>
      <c r="CS133" t="str">
        <f>IFERROR(INDEX('Initiative Summary'!$C$5:$C$25,MATCH($A133,'Initiative Summary'!$A$5:$A$25,0)),"")</f>
        <v>Northpeak Region</v>
      </c>
    </row>
    <row r="134" spans="1:97" x14ac:dyDescent="0.25">
      <c r="A134" s="6" t="s">
        <v>693</v>
      </c>
      <c r="B134" s="10" t="s">
        <v>692</v>
      </c>
      <c r="C134" s="11" t="s">
        <v>205</v>
      </c>
      <c r="D134" s="11" t="s">
        <v>204</v>
      </c>
      <c r="E134" s="11" t="s">
        <v>206</v>
      </c>
      <c r="F134" s="11" t="s">
        <v>207</v>
      </c>
      <c r="G134" s="11"/>
      <c r="H134" s="11" t="s">
        <v>215</v>
      </c>
      <c r="I134" s="11" t="s">
        <v>216</v>
      </c>
      <c r="J134" s="11"/>
      <c r="K134" s="10"/>
      <c r="L134" s="11" t="s">
        <v>742</v>
      </c>
      <c r="M134" s="11" t="s">
        <v>199</v>
      </c>
      <c r="N134" s="20">
        <v>3</v>
      </c>
      <c r="O134" s="11" t="b">
        <v>0</v>
      </c>
      <c r="P134" s="11" t="s">
        <v>218</v>
      </c>
      <c r="Q134" s="11" t="s">
        <v>223</v>
      </c>
      <c r="R134" s="11" t="s">
        <v>223</v>
      </c>
      <c r="S134" s="11"/>
      <c r="T134" s="11"/>
      <c r="U134" s="11"/>
      <c r="V134" s="11"/>
      <c r="W134" s="11"/>
      <c r="X134" s="11">
        <v>0</v>
      </c>
      <c r="Y134" s="11">
        <v>0</v>
      </c>
      <c r="Z134" s="11">
        <v>0</v>
      </c>
      <c r="AA134" s="11">
        <v>0</v>
      </c>
      <c r="AB134" s="11">
        <v>0</v>
      </c>
      <c r="AC134" s="11">
        <v>0</v>
      </c>
      <c r="AD134" s="11">
        <v>0</v>
      </c>
      <c r="AE134" s="11">
        <v>0</v>
      </c>
      <c r="AF134" s="11">
        <v>0</v>
      </c>
      <c r="AG134" s="11">
        <v>0</v>
      </c>
      <c r="AH134" s="11">
        <v>0</v>
      </c>
      <c r="AI134" s="11">
        <v>0</v>
      </c>
      <c r="AJ134" s="11">
        <v>0</v>
      </c>
      <c r="AK134" s="11">
        <v>0</v>
      </c>
      <c r="AL134" s="11">
        <v>0</v>
      </c>
      <c r="AM134" s="11">
        <v>0</v>
      </c>
      <c r="AN134" s="11">
        <v>0</v>
      </c>
      <c r="AO134" s="11">
        <v>0</v>
      </c>
      <c r="AP134" s="11">
        <v>0</v>
      </c>
      <c r="AQ134" s="11">
        <v>0</v>
      </c>
      <c r="AR134" s="11">
        <v>0</v>
      </c>
      <c r="AS134" s="11">
        <v>0</v>
      </c>
      <c r="AT134" s="11">
        <v>0</v>
      </c>
      <c r="AU134" s="11">
        <v>0</v>
      </c>
      <c r="AV134" s="11">
        <v>0</v>
      </c>
      <c r="AW134" s="11">
        <v>0</v>
      </c>
      <c r="AX134" s="11">
        <v>0</v>
      </c>
      <c r="AY134" s="11">
        <v>0</v>
      </c>
      <c r="AZ134" s="11">
        <v>0</v>
      </c>
      <c r="BA134" s="11">
        <v>0</v>
      </c>
      <c r="BB134" s="11">
        <v>0</v>
      </c>
      <c r="BC134" s="11">
        <v>0</v>
      </c>
      <c r="BD134" s="11">
        <v>0</v>
      </c>
      <c r="BE134" s="11">
        <v>0</v>
      </c>
      <c r="BF134" s="11">
        <v>0</v>
      </c>
      <c r="BG134" s="11">
        <v>0</v>
      </c>
      <c r="BH134" s="11">
        <v>0</v>
      </c>
      <c r="BI134" s="11">
        <v>0</v>
      </c>
      <c r="BJ134" s="11">
        <v>0</v>
      </c>
      <c r="BK134" s="11">
        <v>0</v>
      </c>
      <c r="BL134" s="11">
        <v>0</v>
      </c>
      <c r="BM134" s="11">
        <v>0</v>
      </c>
      <c r="BN134" s="11">
        <v>0</v>
      </c>
      <c r="BO134" s="11">
        <v>0</v>
      </c>
      <c r="BP134" s="11">
        <v>0</v>
      </c>
      <c r="BQ134" s="11">
        <v>0</v>
      </c>
      <c r="BR134" s="11">
        <v>0</v>
      </c>
      <c r="BS134" s="11">
        <v>0</v>
      </c>
      <c r="BT134" s="11">
        <v>0</v>
      </c>
      <c r="BU134" s="11">
        <v>0</v>
      </c>
      <c r="BV134" s="11">
        <v>0</v>
      </c>
      <c r="BW134" s="11">
        <v>0</v>
      </c>
      <c r="BX134" s="11">
        <v>0</v>
      </c>
      <c r="BY134" s="11">
        <v>0</v>
      </c>
      <c r="BZ134" s="11">
        <v>0</v>
      </c>
      <c r="CA134" s="11">
        <v>0</v>
      </c>
      <c r="CB134" s="11">
        <v>0</v>
      </c>
      <c r="CC134" s="11">
        <v>0</v>
      </c>
      <c r="CD134" s="11">
        <v>0</v>
      </c>
      <c r="CE134" s="11">
        <v>0</v>
      </c>
      <c r="CF134" s="11">
        <v>0</v>
      </c>
      <c r="CG134" s="11">
        <v>0</v>
      </c>
      <c r="CH134" s="11">
        <v>0</v>
      </c>
      <c r="CI134" s="11">
        <v>0</v>
      </c>
      <c r="CJ134" s="11">
        <v>0</v>
      </c>
      <c r="CK134" s="11">
        <v>0</v>
      </c>
      <c r="CL134" s="11">
        <v>0</v>
      </c>
      <c r="CM134" s="11">
        <v>0</v>
      </c>
      <c r="CN134" s="11">
        <v>0</v>
      </c>
      <c r="CO134" s="11">
        <v>0</v>
      </c>
      <c r="CP134" s="11">
        <v>0</v>
      </c>
      <c r="CQ134" s="11">
        <v>0</v>
      </c>
      <c r="CR134" s="11">
        <v>0</v>
      </c>
      <c r="CS134" t="str">
        <f>IFERROR(INDEX('Initiative Summary'!$C$5:$C$25,MATCH($A134,'Initiative Summary'!$A$5:$A$25,0)),"")</f>
        <v>Northpeak Region</v>
      </c>
    </row>
    <row r="135" spans="1:97" x14ac:dyDescent="0.25">
      <c r="A135" s="6" t="s">
        <v>693</v>
      </c>
      <c r="B135" s="7" t="s">
        <v>692</v>
      </c>
      <c r="C135" s="8" t="s">
        <v>206</v>
      </c>
      <c r="D135" s="8" t="s">
        <v>195</v>
      </c>
      <c r="E135" s="8" t="s">
        <v>206</v>
      </c>
      <c r="F135" s="8" t="s">
        <v>197</v>
      </c>
      <c r="G135" s="8"/>
      <c r="H135" s="8"/>
      <c r="I135" s="8"/>
      <c r="J135" s="8"/>
      <c r="K135" s="7"/>
      <c r="L135" s="8" t="s">
        <v>743</v>
      </c>
      <c r="M135" s="8" t="s">
        <v>199</v>
      </c>
      <c r="N135" s="21">
        <v>100</v>
      </c>
      <c r="O135" s="8" t="b">
        <v>0</v>
      </c>
      <c r="P135" s="8" t="s">
        <v>201</v>
      </c>
      <c r="Q135" s="8" t="s">
        <v>210</v>
      </c>
      <c r="R135" s="8" t="s">
        <v>210</v>
      </c>
      <c r="S135" s="8">
        <v>0.308</v>
      </c>
      <c r="T135" s="21">
        <v>0.79200000000000004</v>
      </c>
      <c r="U135" s="21">
        <v>0.79200000000000004</v>
      </c>
      <c r="V135" s="21">
        <v>0.79200000000000004</v>
      </c>
      <c r="W135" s="21">
        <v>0.79200000000000004</v>
      </c>
      <c r="X135" s="8">
        <v>0</v>
      </c>
      <c r="Y135" s="8">
        <v>0</v>
      </c>
      <c r="Z135" s="8">
        <v>0</v>
      </c>
      <c r="AA135" s="8">
        <v>0</v>
      </c>
      <c r="AB135" s="8">
        <v>0</v>
      </c>
      <c r="AC135" s="8">
        <v>0</v>
      </c>
      <c r="AD135" s="8">
        <v>0</v>
      </c>
      <c r="AE135" s="8">
        <v>0</v>
      </c>
      <c r="AF135" s="8">
        <v>0</v>
      </c>
      <c r="AG135" s="8">
        <v>0</v>
      </c>
      <c r="AH135" s="8">
        <v>0</v>
      </c>
      <c r="AI135" s="8">
        <v>0.308</v>
      </c>
      <c r="AJ135" s="21">
        <v>6.6000000000000003E-2</v>
      </c>
      <c r="AK135" s="21">
        <v>6.6000000000000003E-2</v>
      </c>
      <c r="AL135" s="21">
        <v>6.6000000000000003E-2</v>
      </c>
      <c r="AM135" s="21">
        <v>6.6000000000000003E-2</v>
      </c>
      <c r="AN135" s="21">
        <v>6.6000000000000003E-2</v>
      </c>
      <c r="AO135" s="21">
        <v>6.6000000000000003E-2</v>
      </c>
      <c r="AP135" s="21">
        <v>6.6000000000000003E-2</v>
      </c>
      <c r="AQ135" s="21">
        <v>6.6000000000000003E-2</v>
      </c>
      <c r="AR135" s="21">
        <v>6.6000000000000003E-2</v>
      </c>
      <c r="AS135" s="21">
        <v>6.6000000000000003E-2</v>
      </c>
      <c r="AT135" s="21">
        <v>6.6000000000000003E-2</v>
      </c>
      <c r="AU135" s="21">
        <v>6.6000000000000003E-2</v>
      </c>
      <c r="AV135" s="21">
        <v>6.6000000000000003E-2</v>
      </c>
      <c r="AW135" s="21">
        <v>6.6000000000000003E-2</v>
      </c>
      <c r="AX135" s="21">
        <v>6.6000000000000003E-2</v>
      </c>
      <c r="AY135" s="21">
        <v>6.6000000000000003E-2</v>
      </c>
      <c r="AZ135" s="21">
        <v>6.6000000000000003E-2</v>
      </c>
      <c r="BA135" s="21">
        <v>6.6000000000000003E-2</v>
      </c>
      <c r="BB135" s="21">
        <v>6.6000000000000003E-2</v>
      </c>
      <c r="BC135" s="21">
        <v>6.6000000000000003E-2</v>
      </c>
      <c r="BD135" s="21">
        <v>6.6000000000000003E-2</v>
      </c>
      <c r="BE135" s="21">
        <v>6.6000000000000003E-2</v>
      </c>
      <c r="BF135" s="21">
        <v>6.6000000000000003E-2</v>
      </c>
      <c r="BG135" s="21">
        <v>6.6000000000000003E-2</v>
      </c>
      <c r="BH135" s="21">
        <v>6.6000000000000003E-2</v>
      </c>
      <c r="BI135" s="21">
        <v>6.6000000000000003E-2</v>
      </c>
      <c r="BJ135" s="21">
        <v>6.6000000000000003E-2</v>
      </c>
      <c r="BK135" s="21">
        <v>6.6000000000000003E-2</v>
      </c>
      <c r="BL135" s="21">
        <v>6.6000000000000003E-2</v>
      </c>
      <c r="BM135" s="21">
        <v>6.6000000000000003E-2</v>
      </c>
      <c r="BN135" s="21">
        <v>6.6000000000000003E-2</v>
      </c>
      <c r="BO135" s="21">
        <v>6.6000000000000003E-2</v>
      </c>
      <c r="BP135" s="21">
        <v>6.6000000000000003E-2</v>
      </c>
      <c r="BQ135" s="21">
        <v>6.6000000000000003E-2</v>
      </c>
      <c r="BR135" s="21">
        <v>6.6000000000000003E-2</v>
      </c>
      <c r="BS135" s="21">
        <v>6.6000000000000003E-2</v>
      </c>
      <c r="BT135" s="21">
        <v>6.6000000000000003E-2</v>
      </c>
      <c r="BU135" s="21">
        <v>6.6000000000000003E-2</v>
      </c>
      <c r="BV135" s="21">
        <v>6.6000000000000003E-2</v>
      </c>
      <c r="BW135" s="21">
        <v>6.6000000000000003E-2</v>
      </c>
      <c r="BX135" s="21">
        <v>6.6000000000000003E-2</v>
      </c>
      <c r="BY135" s="21">
        <v>6.6000000000000003E-2</v>
      </c>
      <c r="BZ135" s="21">
        <v>6.6000000000000003E-2</v>
      </c>
      <c r="CA135" s="21">
        <v>6.6000000000000003E-2</v>
      </c>
      <c r="CB135" s="21">
        <v>6.6000000000000003E-2</v>
      </c>
      <c r="CC135" s="21">
        <v>6.6000000000000003E-2</v>
      </c>
      <c r="CD135" s="21">
        <v>6.6000000000000003E-2</v>
      </c>
      <c r="CE135" s="21">
        <v>6.6000000000000003E-2</v>
      </c>
      <c r="CF135" s="8">
        <v>0.79200000000000004</v>
      </c>
      <c r="CG135" s="8">
        <v>6.6000000000000003E-2</v>
      </c>
      <c r="CH135" s="8">
        <v>6.6000000000000003E-2</v>
      </c>
      <c r="CI135" s="8">
        <v>6.6000000000000003E-2</v>
      </c>
      <c r="CJ135" s="8">
        <v>6.6000000000000003E-2</v>
      </c>
      <c r="CK135" s="8">
        <v>6.6000000000000003E-2</v>
      </c>
      <c r="CL135" s="8">
        <v>6.6000000000000003E-2</v>
      </c>
      <c r="CM135" s="8">
        <v>6.6000000000000003E-2</v>
      </c>
      <c r="CN135" s="8">
        <v>6.6000000000000003E-2</v>
      </c>
      <c r="CO135" s="8">
        <v>6.6000000000000003E-2</v>
      </c>
      <c r="CP135" s="8">
        <v>6.6000000000000003E-2</v>
      </c>
      <c r="CQ135" s="8">
        <v>6.6000000000000003E-2</v>
      </c>
      <c r="CR135" s="8">
        <v>6.6000000000000003E-2</v>
      </c>
      <c r="CS135" t="str">
        <f>IFERROR(INDEX('Initiative Summary'!$C$5:$C$25,MATCH($A135,'Initiative Summary'!$A$5:$A$25,0)),"")</f>
        <v>Northpeak Region</v>
      </c>
    </row>
    <row r="136" spans="1:97" x14ac:dyDescent="0.25">
      <c r="A136" s="6" t="s">
        <v>693</v>
      </c>
      <c r="B136" s="10" t="s">
        <v>692</v>
      </c>
      <c r="C136" s="11" t="s">
        <v>206</v>
      </c>
      <c r="D136" s="11" t="s">
        <v>203</v>
      </c>
      <c r="E136" s="11" t="s">
        <v>206</v>
      </c>
      <c r="F136" s="11" t="s">
        <v>197</v>
      </c>
      <c r="G136" s="11"/>
      <c r="H136" s="11"/>
      <c r="I136" s="11"/>
      <c r="J136" s="11"/>
      <c r="K136" s="10"/>
      <c r="L136" s="11" t="s">
        <v>743</v>
      </c>
      <c r="M136" s="11" t="s">
        <v>199</v>
      </c>
      <c r="N136" s="20">
        <v>100</v>
      </c>
      <c r="O136" s="11" t="b">
        <v>0</v>
      </c>
      <c r="P136" s="11" t="s">
        <v>201</v>
      </c>
      <c r="Q136" s="11" t="s">
        <v>210</v>
      </c>
      <c r="R136" s="11" t="s">
        <v>210</v>
      </c>
      <c r="S136" s="11">
        <v>0.39600000000000002</v>
      </c>
      <c r="T136" s="20">
        <v>1.1220000000000001</v>
      </c>
      <c r="U136" s="20">
        <v>1.1220000000000001</v>
      </c>
      <c r="V136" s="20">
        <v>1.1220000000000001</v>
      </c>
      <c r="W136" s="20">
        <v>1.1220000000000001</v>
      </c>
      <c r="X136" s="11">
        <v>0</v>
      </c>
      <c r="Y136" s="11">
        <v>0</v>
      </c>
      <c r="Z136" s="11">
        <v>0</v>
      </c>
      <c r="AA136" s="11">
        <v>0</v>
      </c>
      <c r="AB136" s="11">
        <v>0</v>
      </c>
      <c r="AC136" s="11">
        <v>0</v>
      </c>
      <c r="AD136" s="11">
        <v>0</v>
      </c>
      <c r="AE136" s="11">
        <v>0</v>
      </c>
      <c r="AF136" s="11">
        <v>0</v>
      </c>
      <c r="AG136" s="11">
        <v>0</v>
      </c>
      <c r="AH136" s="11">
        <v>0</v>
      </c>
      <c r="AI136" s="11">
        <v>0.39600000000000002</v>
      </c>
      <c r="AJ136" s="20">
        <v>9.3500000000000014E-2</v>
      </c>
      <c r="AK136" s="20">
        <v>9.3500000000000014E-2</v>
      </c>
      <c r="AL136" s="20">
        <v>9.3500000000000014E-2</v>
      </c>
      <c r="AM136" s="20">
        <v>9.3500000000000014E-2</v>
      </c>
      <c r="AN136" s="20">
        <v>9.3500000000000014E-2</v>
      </c>
      <c r="AO136" s="20">
        <v>9.3500000000000014E-2</v>
      </c>
      <c r="AP136" s="20">
        <v>9.3500000000000014E-2</v>
      </c>
      <c r="AQ136" s="20">
        <v>9.3500000000000014E-2</v>
      </c>
      <c r="AR136" s="20">
        <v>9.3500000000000014E-2</v>
      </c>
      <c r="AS136" s="20">
        <v>9.3500000000000014E-2</v>
      </c>
      <c r="AT136" s="20">
        <v>9.3500000000000014E-2</v>
      </c>
      <c r="AU136" s="20">
        <v>9.3500000000000014E-2</v>
      </c>
      <c r="AV136" s="20">
        <v>9.3500000000000014E-2</v>
      </c>
      <c r="AW136" s="20">
        <v>9.3500000000000014E-2</v>
      </c>
      <c r="AX136" s="20">
        <v>9.3500000000000014E-2</v>
      </c>
      <c r="AY136" s="20">
        <v>9.3500000000000014E-2</v>
      </c>
      <c r="AZ136" s="20">
        <v>9.3500000000000014E-2</v>
      </c>
      <c r="BA136" s="20">
        <v>9.3500000000000014E-2</v>
      </c>
      <c r="BB136" s="20">
        <v>9.3500000000000014E-2</v>
      </c>
      <c r="BC136" s="20">
        <v>9.3500000000000014E-2</v>
      </c>
      <c r="BD136" s="20">
        <v>9.3500000000000014E-2</v>
      </c>
      <c r="BE136" s="20">
        <v>9.3500000000000014E-2</v>
      </c>
      <c r="BF136" s="20">
        <v>9.3500000000000014E-2</v>
      </c>
      <c r="BG136" s="20">
        <v>9.3500000000000014E-2</v>
      </c>
      <c r="BH136" s="20">
        <v>9.3500000000000014E-2</v>
      </c>
      <c r="BI136" s="20">
        <v>9.3500000000000014E-2</v>
      </c>
      <c r="BJ136" s="20">
        <v>9.3500000000000014E-2</v>
      </c>
      <c r="BK136" s="20">
        <v>9.3500000000000014E-2</v>
      </c>
      <c r="BL136" s="20">
        <v>9.3500000000000014E-2</v>
      </c>
      <c r="BM136" s="20">
        <v>9.3500000000000014E-2</v>
      </c>
      <c r="BN136" s="20">
        <v>9.3500000000000014E-2</v>
      </c>
      <c r="BO136" s="20">
        <v>9.3500000000000014E-2</v>
      </c>
      <c r="BP136" s="20">
        <v>9.3500000000000014E-2</v>
      </c>
      <c r="BQ136" s="20">
        <v>9.3500000000000014E-2</v>
      </c>
      <c r="BR136" s="20">
        <v>9.3500000000000014E-2</v>
      </c>
      <c r="BS136" s="20">
        <v>9.3500000000000014E-2</v>
      </c>
      <c r="BT136" s="20">
        <v>9.3500000000000014E-2</v>
      </c>
      <c r="BU136" s="20">
        <v>9.3500000000000014E-2</v>
      </c>
      <c r="BV136" s="20">
        <v>9.3500000000000014E-2</v>
      </c>
      <c r="BW136" s="20">
        <v>9.3500000000000014E-2</v>
      </c>
      <c r="BX136" s="20">
        <v>9.3500000000000014E-2</v>
      </c>
      <c r="BY136" s="20">
        <v>9.3500000000000014E-2</v>
      </c>
      <c r="BZ136" s="20">
        <v>9.3500000000000014E-2</v>
      </c>
      <c r="CA136" s="20">
        <v>9.3500000000000014E-2</v>
      </c>
      <c r="CB136" s="20">
        <v>9.3500000000000014E-2</v>
      </c>
      <c r="CC136" s="20">
        <v>9.3500000000000014E-2</v>
      </c>
      <c r="CD136" s="20">
        <v>9.3500000000000014E-2</v>
      </c>
      <c r="CE136" s="20">
        <v>9.3500000000000014E-2</v>
      </c>
      <c r="CF136" s="11">
        <v>1.1220000000000001</v>
      </c>
      <c r="CG136" s="11">
        <v>9.3500000000000014E-2</v>
      </c>
      <c r="CH136" s="11">
        <v>9.3500000000000014E-2</v>
      </c>
      <c r="CI136" s="11">
        <v>9.3500000000000014E-2</v>
      </c>
      <c r="CJ136" s="11">
        <v>9.3500000000000014E-2</v>
      </c>
      <c r="CK136" s="11">
        <v>9.3500000000000014E-2</v>
      </c>
      <c r="CL136" s="11">
        <v>9.3500000000000014E-2</v>
      </c>
      <c r="CM136" s="11">
        <v>9.3500000000000014E-2</v>
      </c>
      <c r="CN136" s="11">
        <v>9.3500000000000014E-2</v>
      </c>
      <c r="CO136" s="11">
        <v>9.3500000000000014E-2</v>
      </c>
      <c r="CP136" s="11">
        <v>9.3500000000000014E-2</v>
      </c>
      <c r="CQ136" s="11">
        <v>9.3500000000000014E-2</v>
      </c>
      <c r="CR136" s="11">
        <v>9.3500000000000014E-2</v>
      </c>
      <c r="CS136" t="str">
        <f>IFERROR(INDEX('Initiative Summary'!$C$5:$C$25,MATCH($A136,'Initiative Summary'!$A$5:$A$25,0)),"")</f>
        <v>Northpeak Region</v>
      </c>
    </row>
    <row r="137" spans="1:97" x14ac:dyDescent="0.25">
      <c r="A137" s="6" t="s">
        <v>693</v>
      </c>
      <c r="B137" s="7" t="s">
        <v>692</v>
      </c>
      <c r="C137" s="8" t="s">
        <v>206</v>
      </c>
      <c r="D137" s="8" t="s">
        <v>204</v>
      </c>
      <c r="E137" s="8" t="s">
        <v>206</v>
      </c>
      <c r="F137" s="8" t="s">
        <v>197</v>
      </c>
      <c r="G137" s="8"/>
      <c r="H137" s="8"/>
      <c r="I137" s="8"/>
      <c r="J137" s="8"/>
      <c r="K137" s="7"/>
      <c r="L137" s="8" t="s">
        <v>743</v>
      </c>
      <c r="M137" s="8" t="s">
        <v>199</v>
      </c>
      <c r="N137" s="21">
        <v>100</v>
      </c>
      <c r="O137" s="8" t="b">
        <v>0</v>
      </c>
      <c r="P137" s="8" t="s">
        <v>201</v>
      </c>
      <c r="Q137" s="8" t="s">
        <v>210</v>
      </c>
      <c r="R137" s="8" t="s">
        <v>210</v>
      </c>
      <c r="S137" s="8"/>
      <c r="T137" s="8"/>
      <c r="U137" s="8"/>
      <c r="V137" s="8"/>
      <c r="W137" s="8"/>
      <c r="X137" s="8">
        <v>0</v>
      </c>
      <c r="Y137" s="8">
        <v>0</v>
      </c>
      <c r="Z137" s="8">
        <v>0</v>
      </c>
      <c r="AA137" s="8">
        <v>0</v>
      </c>
      <c r="AB137" s="8">
        <v>0</v>
      </c>
      <c r="AC137" s="8">
        <v>0</v>
      </c>
      <c r="AD137" s="8">
        <v>0</v>
      </c>
      <c r="AE137" s="8">
        <v>0</v>
      </c>
      <c r="AF137" s="8">
        <v>0</v>
      </c>
      <c r="AG137" s="8">
        <v>0</v>
      </c>
      <c r="AH137" s="8">
        <v>0</v>
      </c>
      <c r="AI137" s="8">
        <v>0</v>
      </c>
      <c r="AJ137" s="8">
        <v>0</v>
      </c>
      <c r="AK137" s="8">
        <v>0</v>
      </c>
      <c r="AL137" s="8">
        <v>0</v>
      </c>
      <c r="AM137" s="8">
        <v>0</v>
      </c>
      <c r="AN137" s="8">
        <v>0</v>
      </c>
      <c r="AO137" s="8">
        <v>0</v>
      </c>
      <c r="AP137" s="8">
        <v>0</v>
      </c>
      <c r="AQ137" s="8">
        <v>0</v>
      </c>
      <c r="AR137" s="8">
        <v>0</v>
      </c>
      <c r="AS137" s="8">
        <v>0</v>
      </c>
      <c r="AT137" s="8">
        <v>0</v>
      </c>
      <c r="AU137" s="8">
        <v>0</v>
      </c>
      <c r="AV137" s="8">
        <v>0</v>
      </c>
      <c r="AW137" s="8">
        <v>0</v>
      </c>
      <c r="AX137" s="8">
        <v>0</v>
      </c>
      <c r="AY137" s="8">
        <v>0</v>
      </c>
      <c r="AZ137" s="8">
        <v>0</v>
      </c>
      <c r="BA137" s="8">
        <v>0</v>
      </c>
      <c r="BB137" s="8">
        <v>0</v>
      </c>
      <c r="BC137" s="8">
        <v>0</v>
      </c>
      <c r="BD137" s="8">
        <v>0</v>
      </c>
      <c r="BE137" s="8">
        <v>0</v>
      </c>
      <c r="BF137" s="8">
        <v>0</v>
      </c>
      <c r="BG137" s="8">
        <v>0</v>
      </c>
      <c r="BH137" s="8">
        <v>0</v>
      </c>
      <c r="BI137" s="8">
        <v>0</v>
      </c>
      <c r="BJ137" s="8">
        <v>0</v>
      </c>
      <c r="BK137" s="8">
        <v>0</v>
      </c>
      <c r="BL137" s="8">
        <v>0</v>
      </c>
      <c r="BM137" s="8">
        <v>0</v>
      </c>
      <c r="BN137" s="8">
        <v>0</v>
      </c>
      <c r="BO137" s="8">
        <v>0</v>
      </c>
      <c r="BP137" s="8">
        <v>0</v>
      </c>
      <c r="BQ137" s="8">
        <v>0</v>
      </c>
      <c r="BR137" s="8">
        <v>0</v>
      </c>
      <c r="BS137" s="8">
        <v>0</v>
      </c>
      <c r="BT137" s="8">
        <v>0</v>
      </c>
      <c r="BU137" s="8">
        <v>0</v>
      </c>
      <c r="BV137" s="8">
        <v>0</v>
      </c>
      <c r="BW137" s="8">
        <v>0</v>
      </c>
      <c r="BX137" s="8">
        <v>0</v>
      </c>
      <c r="BY137" s="8">
        <v>0</v>
      </c>
      <c r="BZ137" s="8">
        <v>0</v>
      </c>
      <c r="CA137" s="8">
        <v>0</v>
      </c>
      <c r="CB137" s="8">
        <v>0</v>
      </c>
      <c r="CC137" s="8">
        <v>0</v>
      </c>
      <c r="CD137" s="8">
        <v>0</v>
      </c>
      <c r="CE137" s="8">
        <v>0</v>
      </c>
      <c r="CF137" s="8">
        <v>0</v>
      </c>
      <c r="CG137" s="8">
        <v>0</v>
      </c>
      <c r="CH137" s="8">
        <v>0</v>
      </c>
      <c r="CI137" s="8">
        <v>0</v>
      </c>
      <c r="CJ137" s="8">
        <v>0</v>
      </c>
      <c r="CK137" s="8">
        <v>0</v>
      </c>
      <c r="CL137" s="8">
        <v>0</v>
      </c>
      <c r="CM137" s="8">
        <v>0</v>
      </c>
      <c r="CN137" s="8">
        <v>0</v>
      </c>
      <c r="CO137" s="8">
        <v>0</v>
      </c>
      <c r="CP137" s="8">
        <v>0</v>
      </c>
      <c r="CQ137" s="8">
        <v>0</v>
      </c>
      <c r="CR137" s="8">
        <v>0</v>
      </c>
      <c r="CS137" t="str">
        <f>IFERROR(INDEX('Initiative Summary'!$C$5:$C$25,MATCH($A137,'Initiative Summary'!$A$5:$A$25,0)),"")</f>
        <v>Northpeak Region</v>
      </c>
    </row>
    <row r="138" spans="1:97" x14ac:dyDescent="0.25">
      <c r="A138" s="6" t="s">
        <v>696</v>
      </c>
      <c r="B138" s="7" t="s">
        <v>695</v>
      </c>
      <c r="C138" s="8" t="s">
        <v>194</v>
      </c>
      <c r="D138" s="8" t="s">
        <v>195</v>
      </c>
      <c r="E138" s="8" t="s">
        <v>196</v>
      </c>
      <c r="F138" s="8" t="s">
        <v>197</v>
      </c>
      <c r="G138" s="8"/>
      <c r="H138" s="8"/>
      <c r="I138" s="8"/>
      <c r="J138" s="8"/>
      <c r="K138" s="7"/>
      <c r="L138" s="8" t="s">
        <v>744</v>
      </c>
      <c r="M138" s="8" t="s">
        <v>199</v>
      </c>
      <c r="N138" s="21">
        <v>0</v>
      </c>
      <c r="O138" s="8" t="b">
        <v>0</v>
      </c>
      <c r="P138" s="8" t="s">
        <v>201</v>
      </c>
      <c r="Q138" s="8" t="s">
        <v>212</v>
      </c>
      <c r="R138" s="8" t="s">
        <v>212</v>
      </c>
      <c r="S138" s="8">
        <v>0</v>
      </c>
      <c r="T138" s="21">
        <v>0</v>
      </c>
      <c r="U138" s="21">
        <v>0</v>
      </c>
      <c r="V138" s="21">
        <v>0</v>
      </c>
      <c r="W138" s="21">
        <v>0</v>
      </c>
      <c r="X138" s="8">
        <v>0</v>
      </c>
      <c r="Y138" s="8">
        <v>0</v>
      </c>
      <c r="Z138" s="8">
        <v>0</v>
      </c>
      <c r="AA138" s="8">
        <v>0</v>
      </c>
      <c r="AB138" s="8">
        <v>0</v>
      </c>
      <c r="AC138" s="8">
        <v>0</v>
      </c>
      <c r="AD138" s="8">
        <v>0</v>
      </c>
      <c r="AE138" s="8">
        <v>0</v>
      </c>
      <c r="AF138" s="8">
        <v>0</v>
      </c>
      <c r="AG138" s="8">
        <v>0</v>
      </c>
      <c r="AH138" s="8">
        <v>0</v>
      </c>
      <c r="AI138" s="8">
        <v>0</v>
      </c>
      <c r="AJ138" s="21">
        <v>0</v>
      </c>
      <c r="AK138" s="21">
        <v>0</v>
      </c>
      <c r="AL138" s="21">
        <v>0</v>
      </c>
      <c r="AM138" s="21">
        <v>0</v>
      </c>
      <c r="AN138" s="21">
        <v>0</v>
      </c>
      <c r="AO138" s="21">
        <v>0</v>
      </c>
      <c r="AP138" s="21">
        <v>0</v>
      </c>
      <c r="AQ138" s="21">
        <v>0</v>
      </c>
      <c r="AR138" s="21">
        <v>0</v>
      </c>
      <c r="AS138" s="21">
        <v>0</v>
      </c>
      <c r="AT138" s="21">
        <v>0</v>
      </c>
      <c r="AU138" s="21">
        <v>0</v>
      </c>
      <c r="AV138" s="21">
        <v>0</v>
      </c>
      <c r="AW138" s="21">
        <v>0</v>
      </c>
      <c r="AX138" s="21">
        <v>0</v>
      </c>
      <c r="AY138" s="21">
        <v>0</v>
      </c>
      <c r="AZ138" s="21">
        <v>0</v>
      </c>
      <c r="BA138" s="21">
        <v>0</v>
      </c>
      <c r="BB138" s="21">
        <v>0</v>
      </c>
      <c r="BC138" s="21">
        <v>0</v>
      </c>
      <c r="BD138" s="21">
        <v>0</v>
      </c>
      <c r="BE138" s="21">
        <v>0</v>
      </c>
      <c r="BF138" s="21">
        <v>0</v>
      </c>
      <c r="BG138" s="21">
        <v>0</v>
      </c>
      <c r="BH138" s="21">
        <v>0</v>
      </c>
      <c r="BI138" s="21">
        <v>0</v>
      </c>
      <c r="BJ138" s="21">
        <v>0</v>
      </c>
      <c r="BK138" s="21">
        <v>0</v>
      </c>
      <c r="BL138" s="21">
        <v>0</v>
      </c>
      <c r="BM138" s="21">
        <v>0</v>
      </c>
      <c r="BN138" s="21">
        <v>0</v>
      </c>
      <c r="BO138" s="21">
        <v>0</v>
      </c>
      <c r="BP138" s="21">
        <v>0</v>
      </c>
      <c r="BQ138" s="21">
        <v>0</v>
      </c>
      <c r="BR138" s="21">
        <v>0</v>
      </c>
      <c r="BS138" s="21">
        <v>0</v>
      </c>
      <c r="BT138" s="21">
        <v>0</v>
      </c>
      <c r="BU138" s="21">
        <v>0</v>
      </c>
      <c r="BV138" s="21">
        <v>0</v>
      </c>
      <c r="BW138" s="21">
        <v>0</v>
      </c>
      <c r="BX138" s="21">
        <v>0</v>
      </c>
      <c r="BY138" s="21">
        <v>0</v>
      </c>
      <c r="BZ138" s="21">
        <v>0</v>
      </c>
      <c r="CA138" s="21">
        <v>0</v>
      </c>
      <c r="CB138" s="21">
        <v>0</v>
      </c>
      <c r="CC138" s="21">
        <v>0</v>
      </c>
      <c r="CD138" s="21">
        <v>0</v>
      </c>
      <c r="CE138" s="21">
        <v>0</v>
      </c>
      <c r="CF138" s="8">
        <v>0</v>
      </c>
      <c r="CG138" s="8">
        <v>0</v>
      </c>
      <c r="CH138" s="8">
        <v>0</v>
      </c>
      <c r="CI138" s="8">
        <v>0</v>
      </c>
      <c r="CJ138" s="8">
        <v>0</v>
      </c>
      <c r="CK138" s="8">
        <v>0</v>
      </c>
      <c r="CL138" s="8">
        <v>0</v>
      </c>
      <c r="CM138" s="8">
        <v>0</v>
      </c>
      <c r="CN138" s="8">
        <v>0</v>
      </c>
      <c r="CO138" s="8">
        <v>0</v>
      </c>
      <c r="CP138" s="8">
        <v>0</v>
      </c>
      <c r="CQ138" s="8">
        <v>0</v>
      </c>
      <c r="CR138" s="8">
        <v>0</v>
      </c>
      <c r="CS138" t="str">
        <f>IFERROR(INDEX('Initiative Summary'!$C$5:$C$25,MATCH($A138,'Initiative Summary'!$A$5:$A$25,0)),"")</f>
        <v>Northpeak Region</v>
      </c>
    </row>
    <row r="139" spans="1:97" x14ac:dyDescent="0.25">
      <c r="A139" s="6" t="s">
        <v>696</v>
      </c>
      <c r="B139" s="10" t="s">
        <v>695</v>
      </c>
      <c r="C139" s="11" t="s">
        <v>194</v>
      </c>
      <c r="D139" s="11" t="s">
        <v>203</v>
      </c>
      <c r="E139" s="11" t="s">
        <v>196</v>
      </c>
      <c r="F139" s="11" t="s">
        <v>197</v>
      </c>
      <c r="G139" s="11"/>
      <c r="H139" s="11"/>
      <c r="I139" s="11"/>
      <c r="J139" s="11"/>
      <c r="K139" s="10"/>
      <c r="L139" s="11" t="s">
        <v>744</v>
      </c>
      <c r="M139" s="11" t="s">
        <v>199</v>
      </c>
      <c r="N139" s="20">
        <v>0</v>
      </c>
      <c r="O139" s="11" t="b">
        <v>0</v>
      </c>
      <c r="P139" s="11" t="s">
        <v>201</v>
      </c>
      <c r="Q139" s="11" t="s">
        <v>212</v>
      </c>
      <c r="R139" s="11" t="s">
        <v>212</v>
      </c>
      <c r="S139" s="11">
        <v>0</v>
      </c>
      <c r="T139" s="20">
        <v>0</v>
      </c>
      <c r="U139" s="20">
        <v>0</v>
      </c>
      <c r="V139" s="20">
        <v>0</v>
      </c>
      <c r="W139" s="20">
        <v>0</v>
      </c>
      <c r="X139" s="11">
        <v>0</v>
      </c>
      <c r="Y139" s="11">
        <v>0</v>
      </c>
      <c r="Z139" s="11">
        <v>0</v>
      </c>
      <c r="AA139" s="11">
        <v>0</v>
      </c>
      <c r="AB139" s="11">
        <v>0</v>
      </c>
      <c r="AC139" s="11">
        <v>0</v>
      </c>
      <c r="AD139" s="11">
        <v>0</v>
      </c>
      <c r="AE139" s="11">
        <v>0</v>
      </c>
      <c r="AF139" s="11">
        <v>0</v>
      </c>
      <c r="AG139" s="11">
        <v>0</v>
      </c>
      <c r="AH139" s="11">
        <v>0</v>
      </c>
      <c r="AI139" s="11">
        <v>0</v>
      </c>
      <c r="AJ139" s="20">
        <v>0</v>
      </c>
      <c r="AK139" s="20">
        <v>0</v>
      </c>
      <c r="AL139" s="20">
        <v>0</v>
      </c>
      <c r="AM139" s="20">
        <v>0</v>
      </c>
      <c r="AN139" s="20">
        <v>0</v>
      </c>
      <c r="AO139" s="20">
        <v>0</v>
      </c>
      <c r="AP139" s="20">
        <v>0</v>
      </c>
      <c r="AQ139" s="20">
        <v>0</v>
      </c>
      <c r="AR139" s="20">
        <v>0</v>
      </c>
      <c r="AS139" s="20">
        <v>0</v>
      </c>
      <c r="AT139" s="20">
        <v>0</v>
      </c>
      <c r="AU139" s="20">
        <v>0</v>
      </c>
      <c r="AV139" s="20">
        <v>0</v>
      </c>
      <c r="AW139" s="20">
        <v>0</v>
      </c>
      <c r="AX139" s="20">
        <v>0</v>
      </c>
      <c r="AY139" s="20">
        <v>0</v>
      </c>
      <c r="AZ139" s="20">
        <v>0</v>
      </c>
      <c r="BA139" s="20">
        <v>0</v>
      </c>
      <c r="BB139" s="20">
        <v>0</v>
      </c>
      <c r="BC139" s="20">
        <v>0</v>
      </c>
      <c r="BD139" s="20">
        <v>0</v>
      </c>
      <c r="BE139" s="20">
        <v>0</v>
      </c>
      <c r="BF139" s="20">
        <v>0</v>
      </c>
      <c r="BG139" s="20">
        <v>0</v>
      </c>
      <c r="BH139" s="20">
        <v>0</v>
      </c>
      <c r="BI139" s="20">
        <v>0</v>
      </c>
      <c r="BJ139" s="20">
        <v>0</v>
      </c>
      <c r="BK139" s="20">
        <v>0</v>
      </c>
      <c r="BL139" s="20">
        <v>0</v>
      </c>
      <c r="BM139" s="20">
        <v>0</v>
      </c>
      <c r="BN139" s="20">
        <v>0</v>
      </c>
      <c r="BO139" s="20">
        <v>0</v>
      </c>
      <c r="BP139" s="20">
        <v>0</v>
      </c>
      <c r="BQ139" s="20">
        <v>0</v>
      </c>
      <c r="BR139" s="20">
        <v>0</v>
      </c>
      <c r="BS139" s="20">
        <v>0</v>
      </c>
      <c r="BT139" s="20">
        <v>0</v>
      </c>
      <c r="BU139" s="20">
        <v>0</v>
      </c>
      <c r="BV139" s="20">
        <v>0</v>
      </c>
      <c r="BW139" s="20">
        <v>0</v>
      </c>
      <c r="BX139" s="20">
        <v>0</v>
      </c>
      <c r="BY139" s="20">
        <v>0</v>
      </c>
      <c r="BZ139" s="20">
        <v>0</v>
      </c>
      <c r="CA139" s="20">
        <v>0</v>
      </c>
      <c r="CB139" s="20">
        <v>0</v>
      </c>
      <c r="CC139" s="20">
        <v>0</v>
      </c>
      <c r="CD139" s="20">
        <v>0</v>
      </c>
      <c r="CE139" s="20">
        <v>0</v>
      </c>
      <c r="CF139" s="11">
        <v>0</v>
      </c>
      <c r="CG139" s="11">
        <v>0</v>
      </c>
      <c r="CH139" s="11">
        <v>0</v>
      </c>
      <c r="CI139" s="11">
        <v>0</v>
      </c>
      <c r="CJ139" s="11">
        <v>0</v>
      </c>
      <c r="CK139" s="11">
        <v>0</v>
      </c>
      <c r="CL139" s="11">
        <v>0</v>
      </c>
      <c r="CM139" s="11">
        <v>0</v>
      </c>
      <c r="CN139" s="11">
        <v>0</v>
      </c>
      <c r="CO139" s="11">
        <v>0</v>
      </c>
      <c r="CP139" s="11">
        <v>0</v>
      </c>
      <c r="CQ139" s="11">
        <v>0</v>
      </c>
      <c r="CR139" s="11">
        <v>0</v>
      </c>
      <c r="CS139" t="str">
        <f>IFERROR(INDEX('Initiative Summary'!$C$5:$C$25,MATCH($A139,'Initiative Summary'!$A$5:$A$25,0)),"")</f>
        <v>Northpeak Region</v>
      </c>
    </row>
    <row r="140" spans="1:97" x14ac:dyDescent="0.25">
      <c r="A140" s="6" t="s">
        <v>696</v>
      </c>
      <c r="B140" s="7" t="s">
        <v>695</v>
      </c>
      <c r="C140" s="8" t="s">
        <v>194</v>
      </c>
      <c r="D140" s="8" t="s">
        <v>204</v>
      </c>
      <c r="E140" s="8" t="s">
        <v>196</v>
      </c>
      <c r="F140" s="8" t="s">
        <v>197</v>
      </c>
      <c r="G140" s="8"/>
      <c r="H140" s="8"/>
      <c r="I140" s="8"/>
      <c r="J140" s="8"/>
      <c r="K140" s="7"/>
      <c r="L140" s="8" t="s">
        <v>744</v>
      </c>
      <c r="M140" s="8" t="s">
        <v>199</v>
      </c>
      <c r="N140" s="21">
        <v>0</v>
      </c>
      <c r="O140" s="8" t="b">
        <v>0</v>
      </c>
      <c r="P140" s="8" t="s">
        <v>201</v>
      </c>
      <c r="Q140" s="8" t="s">
        <v>212</v>
      </c>
      <c r="R140" s="8" t="s">
        <v>212</v>
      </c>
      <c r="S140" s="8">
        <v>0</v>
      </c>
      <c r="T140" s="8">
        <v>0</v>
      </c>
      <c r="U140" s="8">
        <v>0</v>
      </c>
      <c r="V140" s="8">
        <v>0</v>
      </c>
      <c r="W140" s="8">
        <v>0</v>
      </c>
      <c r="X140" s="8">
        <v>0</v>
      </c>
      <c r="Y140" s="8">
        <v>0</v>
      </c>
      <c r="Z140" s="8">
        <v>0</v>
      </c>
      <c r="AA140" s="8">
        <v>0</v>
      </c>
      <c r="AB140" s="8">
        <v>0</v>
      </c>
      <c r="AC140" s="8">
        <v>0</v>
      </c>
      <c r="AD140" s="8">
        <v>0</v>
      </c>
      <c r="AE140" s="8">
        <v>0</v>
      </c>
      <c r="AF140" s="8">
        <v>0</v>
      </c>
      <c r="AG140" s="8">
        <v>0</v>
      </c>
      <c r="AH140" s="8">
        <v>0</v>
      </c>
      <c r="AI140" s="8">
        <v>0</v>
      </c>
      <c r="AJ140" s="8">
        <v>0</v>
      </c>
      <c r="AK140" s="8">
        <v>0</v>
      </c>
      <c r="AL140" s="8">
        <v>0</v>
      </c>
      <c r="AM140" s="8">
        <v>0</v>
      </c>
      <c r="AN140" s="8">
        <v>0</v>
      </c>
      <c r="AO140" s="8">
        <v>0</v>
      </c>
      <c r="AP140" s="8">
        <v>0</v>
      </c>
      <c r="AQ140" s="8">
        <v>0</v>
      </c>
      <c r="AR140" s="8">
        <v>0</v>
      </c>
      <c r="AS140" s="8">
        <v>0</v>
      </c>
      <c r="AT140" s="8">
        <v>0</v>
      </c>
      <c r="AU140" s="8">
        <v>0</v>
      </c>
      <c r="AV140" s="8">
        <v>0</v>
      </c>
      <c r="AW140" s="8">
        <v>0</v>
      </c>
      <c r="AX140" s="8">
        <v>0</v>
      </c>
      <c r="AY140" s="8">
        <v>0</v>
      </c>
      <c r="AZ140" s="8">
        <v>0</v>
      </c>
      <c r="BA140" s="8">
        <v>0</v>
      </c>
      <c r="BB140" s="8">
        <v>0</v>
      </c>
      <c r="BC140" s="8">
        <v>0</v>
      </c>
      <c r="BD140" s="8">
        <v>0</v>
      </c>
      <c r="BE140" s="8">
        <v>0</v>
      </c>
      <c r="BF140" s="8">
        <v>0</v>
      </c>
      <c r="BG140" s="8">
        <v>0</v>
      </c>
      <c r="BH140" s="8">
        <v>0</v>
      </c>
      <c r="BI140" s="8">
        <v>0</v>
      </c>
      <c r="BJ140" s="8">
        <v>0</v>
      </c>
      <c r="BK140" s="8">
        <v>0</v>
      </c>
      <c r="BL140" s="8">
        <v>0</v>
      </c>
      <c r="BM140" s="8">
        <v>0</v>
      </c>
      <c r="BN140" s="8">
        <v>0</v>
      </c>
      <c r="BO140" s="8">
        <v>0</v>
      </c>
      <c r="BP140" s="8">
        <v>0</v>
      </c>
      <c r="BQ140" s="8">
        <v>0</v>
      </c>
      <c r="BR140" s="8">
        <v>0</v>
      </c>
      <c r="BS140" s="8">
        <v>0</v>
      </c>
      <c r="BT140" s="8">
        <v>0</v>
      </c>
      <c r="BU140" s="8">
        <v>0</v>
      </c>
      <c r="BV140" s="8">
        <v>0</v>
      </c>
      <c r="BW140" s="8">
        <v>0</v>
      </c>
      <c r="BX140" s="8">
        <v>0</v>
      </c>
      <c r="BY140" s="8">
        <v>0</v>
      </c>
      <c r="BZ140" s="8">
        <v>0</v>
      </c>
      <c r="CA140" s="8">
        <v>0</v>
      </c>
      <c r="CB140" s="8">
        <v>0</v>
      </c>
      <c r="CC140" s="8">
        <v>0</v>
      </c>
      <c r="CD140" s="8">
        <v>0</v>
      </c>
      <c r="CE140" s="8">
        <v>0</v>
      </c>
      <c r="CF140" s="8">
        <v>0</v>
      </c>
      <c r="CG140" s="8">
        <v>0</v>
      </c>
      <c r="CH140" s="8">
        <v>0</v>
      </c>
      <c r="CI140" s="8">
        <v>0</v>
      </c>
      <c r="CJ140" s="8">
        <v>0</v>
      </c>
      <c r="CK140" s="8">
        <v>0</v>
      </c>
      <c r="CL140" s="8">
        <v>0</v>
      </c>
      <c r="CM140" s="8">
        <v>0</v>
      </c>
      <c r="CN140" s="8">
        <v>0</v>
      </c>
      <c r="CO140" s="8">
        <v>0</v>
      </c>
      <c r="CP140" s="8">
        <v>0</v>
      </c>
      <c r="CQ140" s="8">
        <v>0</v>
      </c>
      <c r="CR140" s="8">
        <v>0</v>
      </c>
      <c r="CS140" t="str">
        <f>IFERROR(INDEX('Initiative Summary'!$C$5:$C$25,MATCH($A140,'Initiative Summary'!$A$5:$A$25,0)),"")</f>
        <v>Northpeak Region</v>
      </c>
    </row>
    <row r="141" spans="1:97" x14ac:dyDescent="0.25">
      <c r="A141" s="6" t="s">
        <v>696</v>
      </c>
      <c r="B141" s="10" t="s">
        <v>695</v>
      </c>
      <c r="C141" s="11" t="s">
        <v>205</v>
      </c>
      <c r="D141" s="11" t="s">
        <v>195</v>
      </c>
      <c r="E141" s="11" t="s">
        <v>206</v>
      </c>
      <c r="F141" s="11" t="s">
        <v>207</v>
      </c>
      <c r="G141" s="11"/>
      <c r="H141" s="11"/>
      <c r="I141" s="11"/>
      <c r="J141" s="11"/>
      <c r="K141" s="10"/>
      <c r="L141" s="11" t="s">
        <v>745</v>
      </c>
      <c r="M141" s="11" t="s">
        <v>199</v>
      </c>
      <c r="N141" s="20">
        <v>3</v>
      </c>
      <c r="O141" s="11" t="b">
        <v>0</v>
      </c>
      <c r="P141" s="11" t="s">
        <v>201</v>
      </c>
      <c r="Q141" s="11" t="s">
        <v>212</v>
      </c>
      <c r="R141" s="11" t="s">
        <v>212</v>
      </c>
      <c r="S141" s="11"/>
      <c r="T141" s="20">
        <v>7.38</v>
      </c>
      <c r="U141" s="20">
        <v>11.124000000000001</v>
      </c>
      <c r="V141" s="20">
        <v>11.124000000000001</v>
      </c>
      <c r="W141" s="20">
        <v>11.124000000000001</v>
      </c>
      <c r="X141" s="11">
        <v>0</v>
      </c>
      <c r="Y141" s="11">
        <v>0</v>
      </c>
      <c r="Z141" s="11">
        <v>0</v>
      </c>
      <c r="AA141" s="11">
        <v>0</v>
      </c>
      <c r="AB141" s="11">
        <v>0</v>
      </c>
      <c r="AC141" s="11">
        <v>0</v>
      </c>
      <c r="AD141" s="11">
        <v>0</v>
      </c>
      <c r="AE141" s="11">
        <v>0</v>
      </c>
      <c r="AF141" s="11">
        <v>0</v>
      </c>
      <c r="AG141" s="11">
        <v>0</v>
      </c>
      <c r="AH141" s="11">
        <v>0</v>
      </c>
      <c r="AI141" s="11">
        <v>0</v>
      </c>
      <c r="AJ141" s="20">
        <v>0</v>
      </c>
      <c r="AK141" s="20">
        <v>0</v>
      </c>
      <c r="AL141" s="20">
        <v>0</v>
      </c>
      <c r="AM141" s="20">
        <v>0</v>
      </c>
      <c r="AN141" s="20">
        <v>0</v>
      </c>
      <c r="AO141" s="20">
        <v>7.38</v>
      </c>
      <c r="AP141" s="20">
        <v>7.38</v>
      </c>
      <c r="AQ141" s="20">
        <v>7.38</v>
      </c>
      <c r="AR141" s="20">
        <v>7.38</v>
      </c>
      <c r="AS141" s="20">
        <v>7.38</v>
      </c>
      <c r="AT141" s="20">
        <v>7.38</v>
      </c>
      <c r="AU141" s="20">
        <v>7.38</v>
      </c>
      <c r="AV141" s="20">
        <v>11.124000000000001</v>
      </c>
      <c r="AW141" s="20">
        <v>11.124000000000001</v>
      </c>
      <c r="AX141" s="20">
        <v>11.124000000000001</v>
      </c>
      <c r="AY141" s="20">
        <v>11.124000000000001</v>
      </c>
      <c r="AZ141" s="20">
        <v>11.124000000000001</v>
      </c>
      <c r="BA141" s="20">
        <v>11.124000000000001</v>
      </c>
      <c r="BB141" s="20">
        <v>11.124000000000001</v>
      </c>
      <c r="BC141" s="20">
        <v>11.124000000000001</v>
      </c>
      <c r="BD141" s="20">
        <v>11.124000000000001</v>
      </c>
      <c r="BE141" s="20">
        <v>11.124000000000001</v>
      </c>
      <c r="BF141" s="20">
        <v>11.124000000000001</v>
      </c>
      <c r="BG141" s="20">
        <v>11.124000000000001</v>
      </c>
      <c r="BH141" s="20">
        <v>11.124000000000001</v>
      </c>
      <c r="BI141" s="20">
        <v>11.124000000000001</v>
      </c>
      <c r="BJ141" s="20">
        <v>11.124000000000001</v>
      </c>
      <c r="BK141" s="20">
        <v>11.124000000000001</v>
      </c>
      <c r="BL141" s="20">
        <v>11.124000000000001</v>
      </c>
      <c r="BM141" s="20">
        <v>11.124000000000001</v>
      </c>
      <c r="BN141" s="20">
        <v>11.124000000000001</v>
      </c>
      <c r="BO141" s="20">
        <v>11.124000000000001</v>
      </c>
      <c r="BP141" s="20">
        <v>11.124000000000001</v>
      </c>
      <c r="BQ141" s="20">
        <v>11.124000000000001</v>
      </c>
      <c r="BR141" s="20">
        <v>11.124000000000001</v>
      </c>
      <c r="BS141" s="20">
        <v>11.124000000000001</v>
      </c>
      <c r="BT141" s="20">
        <v>11.124000000000001</v>
      </c>
      <c r="BU141" s="20">
        <v>11.124000000000001</v>
      </c>
      <c r="BV141" s="20">
        <v>11.124000000000001</v>
      </c>
      <c r="BW141" s="20">
        <v>11.124000000000001</v>
      </c>
      <c r="BX141" s="20">
        <v>11.124000000000001</v>
      </c>
      <c r="BY141" s="20">
        <v>11.124000000000001</v>
      </c>
      <c r="BZ141" s="20">
        <v>11.124000000000001</v>
      </c>
      <c r="CA141" s="20">
        <v>11.124000000000001</v>
      </c>
      <c r="CB141" s="20">
        <v>11.124000000000001</v>
      </c>
      <c r="CC141" s="20">
        <v>11.124000000000001</v>
      </c>
      <c r="CD141" s="20">
        <v>11.124000000000001</v>
      </c>
      <c r="CE141" s="20">
        <v>11.124000000000001</v>
      </c>
      <c r="CF141" s="11">
        <v>11.124000000000001</v>
      </c>
      <c r="CG141" s="11">
        <v>11.124000000000001</v>
      </c>
      <c r="CH141" s="11">
        <v>11.124000000000001</v>
      </c>
      <c r="CI141" s="11">
        <v>11.124000000000001</v>
      </c>
      <c r="CJ141" s="11">
        <v>11.124000000000001</v>
      </c>
      <c r="CK141" s="11">
        <v>11.124000000000001</v>
      </c>
      <c r="CL141" s="11">
        <v>11.124000000000001</v>
      </c>
      <c r="CM141" s="11">
        <v>11.124000000000001</v>
      </c>
      <c r="CN141" s="11">
        <v>11.124000000000001</v>
      </c>
      <c r="CO141" s="11">
        <v>11.124000000000001</v>
      </c>
      <c r="CP141" s="11">
        <v>11.124000000000001</v>
      </c>
      <c r="CQ141" s="11">
        <v>11.124000000000001</v>
      </c>
      <c r="CR141" s="11">
        <v>11.124000000000001</v>
      </c>
      <c r="CS141" t="str">
        <f>IFERROR(INDEX('Initiative Summary'!$C$5:$C$25,MATCH($A141,'Initiative Summary'!$A$5:$A$25,0)),"")</f>
        <v>Northpeak Region</v>
      </c>
    </row>
    <row r="142" spans="1:97" x14ac:dyDescent="0.25">
      <c r="A142" s="6" t="s">
        <v>696</v>
      </c>
      <c r="B142" s="7" t="s">
        <v>695</v>
      </c>
      <c r="C142" s="8" t="s">
        <v>205</v>
      </c>
      <c r="D142" s="8" t="s">
        <v>203</v>
      </c>
      <c r="E142" s="8" t="s">
        <v>206</v>
      </c>
      <c r="F142" s="8" t="s">
        <v>207</v>
      </c>
      <c r="G142" s="8"/>
      <c r="H142" s="8"/>
      <c r="I142" s="8"/>
      <c r="J142" s="8"/>
      <c r="K142" s="7"/>
      <c r="L142" s="8" t="s">
        <v>745</v>
      </c>
      <c r="M142" s="8" t="s">
        <v>199</v>
      </c>
      <c r="N142" s="21">
        <v>3</v>
      </c>
      <c r="O142" s="8" t="b">
        <v>0</v>
      </c>
      <c r="P142" s="8" t="s">
        <v>201</v>
      </c>
      <c r="Q142" s="8" t="s">
        <v>212</v>
      </c>
      <c r="R142" s="8" t="s">
        <v>212</v>
      </c>
      <c r="S142" s="8"/>
      <c r="T142" s="21">
        <v>10.026000000000002</v>
      </c>
      <c r="U142" s="21">
        <v>14.832000000000001</v>
      </c>
      <c r="V142" s="21">
        <v>14.832000000000001</v>
      </c>
      <c r="W142" s="21">
        <v>14.832000000000001</v>
      </c>
      <c r="X142" s="8">
        <v>0</v>
      </c>
      <c r="Y142" s="8">
        <v>0</v>
      </c>
      <c r="Z142" s="8">
        <v>0</v>
      </c>
      <c r="AA142" s="8">
        <v>0</v>
      </c>
      <c r="AB142" s="8">
        <v>0</v>
      </c>
      <c r="AC142" s="8">
        <v>0</v>
      </c>
      <c r="AD142" s="8">
        <v>0</v>
      </c>
      <c r="AE142" s="8">
        <v>0</v>
      </c>
      <c r="AF142" s="8">
        <v>0</v>
      </c>
      <c r="AG142" s="8">
        <v>0</v>
      </c>
      <c r="AH142" s="8">
        <v>0</v>
      </c>
      <c r="AI142" s="8">
        <v>0</v>
      </c>
      <c r="AJ142" s="21">
        <v>0</v>
      </c>
      <c r="AK142" s="21">
        <v>0</v>
      </c>
      <c r="AL142" s="21">
        <v>0</v>
      </c>
      <c r="AM142" s="21">
        <v>0</v>
      </c>
      <c r="AN142" s="21">
        <v>0</v>
      </c>
      <c r="AO142" s="21">
        <v>10.026</v>
      </c>
      <c r="AP142" s="21">
        <v>10.026</v>
      </c>
      <c r="AQ142" s="21">
        <v>10.026</v>
      </c>
      <c r="AR142" s="21">
        <v>10.026</v>
      </c>
      <c r="AS142" s="21">
        <v>10.026</v>
      </c>
      <c r="AT142" s="21">
        <v>10.026</v>
      </c>
      <c r="AU142" s="21">
        <v>10.026</v>
      </c>
      <c r="AV142" s="21">
        <v>14.832000000000001</v>
      </c>
      <c r="AW142" s="21">
        <v>14.832000000000001</v>
      </c>
      <c r="AX142" s="21">
        <v>14.832000000000001</v>
      </c>
      <c r="AY142" s="21">
        <v>14.832000000000001</v>
      </c>
      <c r="AZ142" s="21">
        <v>14.832000000000001</v>
      </c>
      <c r="BA142" s="21">
        <v>14.832000000000001</v>
      </c>
      <c r="BB142" s="21">
        <v>14.832000000000001</v>
      </c>
      <c r="BC142" s="21">
        <v>14.832000000000001</v>
      </c>
      <c r="BD142" s="21">
        <v>14.832000000000001</v>
      </c>
      <c r="BE142" s="21">
        <v>14.832000000000001</v>
      </c>
      <c r="BF142" s="21">
        <v>14.832000000000001</v>
      </c>
      <c r="BG142" s="21">
        <v>14.832000000000001</v>
      </c>
      <c r="BH142" s="21">
        <v>14.832000000000001</v>
      </c>
      <c r="BI142" s="21">
        <v>14.832000000000001</v>
      </c>
      <c r="BJ142" s="21">
        <v>14.832000000000001</v>
      </c>
      <c r="BK142" s="21">
        <v>14.832000000000001</v>
      </c>
      <c r="BL142" s="21">
        <v>14.832000000000001</v>
      </c>
      <c r="BM142" s="21">
        <v>14.832000000000001</v>
      </c>
      <c r="BN142" s="21">
        <v>14.832000000000001</v>
      </c>
      <c r="BO142" s="21">
        <v>14.832000000000001</v>
      </c>
      <c r="BP142" s="21">
        <v>14.832000000000001</v>
      </c>
      <c r="BQ142" s="21">
        <v>14.832000000000001</v>
      </c>
      <c r="BR142" s="21">
        <v>14.832000000000001</v>
      </c>
      <c r="BS142" s="21">
        <v>14.832000000000001</v>
      </c>
      <c r="BT142" s="21">
        <v>14.832000000000001</v>
      </c>
      <c r="BU142" s="21">
        <v>14.832000000000001</v>
      </c>
      <c r="BV142" s="21">
        <v>14.832000000000001</v>
      </c>
      <c r="BW142" s="21">
        <v>14.832000000000001</v>
      </c>
      <c r="BX142" s="21">
        <v>14.832000000000001</v>
      </c>
      <c r="BY142" s="21">
        <v>14.832000000000001</v>
      </c>
      <c r="BZ142" s="21">
        <v>14.832000000000001</v>
      </c>
      <c r="CA142" s="21">
        <v>14.832000000000001</v>
      </c>
      <c r="CB142" s="21">
        <v>14.832000000000001</v>
      </c>
      <c r="CC142" s="21">
        <v>14.832000000000001</v>
      </c>
      <c r="CD142" s="21">
        <v>14.832000000000001</v>
      </c>
      <c r="CE142" s="21">
        <v>14.832000000000001</v>
      </c>
      <c r="CF142" s="8">
        <v>14.832000000000001</v>
      </c>
      <c r="CG142" s="8">
        <v>14.832000000000001</v>
      </c>
      <c r="CH142" s="8">
        <v>14.832000000000001</v>
      </c>
      <c r="CI142" s="8">
        <v>14.832000000000001</v>
      </c>
      <c r="CJ142" s="8">
        <v>14.832000000000001</v>
      </c>
      <c r="CK142" s="8">
        <v>14.832000000000001</v>
      </c>
      <c r="CL142" s="8">
        <v>14.832000000000001</v>
      </c>
      <c r="CM142" s="8">
        <v>14.832000000000001</v>
      </c>
      <c r="CN142" s="8">
        <v>14.832000000000001</v>
      </c>
      <c r="CO142" s="8">
        <v>14.832000000000001</v>
      </c>
      <c r="CP142" s="8">
        <v>14.832000000000001</v>
      </c>
      <c r="CQ142" s="8">
        <v>14.832000000000001</v>
      </c>
      <c r="CR142" s="8">
        <v>14.832000000000001</v>
      </c>
      <c r="CS142" t="str">
        <f>IFERROR(INDEX('Initiative Summary'!$C$5:$C$25,MATCH($A142,'Initiative Summary'!$A$5:$A$25,0)),"")</f>
        <v>Northpeak Region</v>
      </c>
    </row>
    <row r="143" spans="1:97" x14ac:dyDescent="0.25">
      <c r="A143" s="6" t="s">
        <v>696</v>
      </c>
      <c r="B143" s="10" t="s">
        <v>695</v>
      </c>
      <c r="C143" s="11" t="s">
        <v>205</v>
      </c>
      <c r="D143" s="11" t="s">
        <v>204</v>
      </c>
      <c r="E143" s="11" t="s">
        <v>206</v>
      </c>
      <c r="F143" s="11" t="s">
        <v>207</v>
      </c>
      <c r="G143" s="11"/>
      <c r="H143" s="11"/>
      <c r="I143" s="11"/>
      <c r="J143" s="11"/>
      <c r="K143" s="10"/>
      <c r="L143" s="11" t="s">
        <v>745</v>
      </c>
      <c r="M143" s="11" t="s">
        <v>199</v>
      </c>
      <c r="N143" s="20">
        <v>3</v>
      </c>
      <c r="O143" s="11" t="b">
        <v>0</v>
      </c>
      <c r="P143" s="11" t="s">
        <v>201</v>
      </c>
      <c r="Q143" s="11" t="s">
        <v>212</v>
      </c>
      <c r="R143" s="11" t="s">
        <v>212</v>
      </c>
      <c r="S143" s="11"/>
      <c r="T143" s="11"/>
      <c r="U143" s="11"/>
      <c r="V143" s="11"/>
      <c r="W143" s="11"/>
      <c r="X143" s="11">
        <v>0</v>
      </c>
      <c r="Y143" s="11">
        <v>0</v>
      </c>
      <c r="Z143" s="11">
        <v>0</v>
      </c>
      <c r="AA143" s="11">
        <v>0</v>
      </c>
      <c r="AB143" s="11">
        <v>0</v>
      </c>
      <c r="AC143" s="11">
        <v>0</v>
      </c>
      <c r="AD143" s="11">
        <v>0</v>
      </c>
      <c r="AE143" s="11">
        <v>0</v>
      </c>
      <c r="AF143" s="11">
        <v>0</v>
      </c>
      <c r="AG143" s="11">
        <v>0</v>
      </c>
      <c r="AH143" s="11">
        <v>0</v>
      </c>
      <c r="AI143" s="11">
        <v>0</v>
      </c>
      <c r="AJ143" s="11">
        <v>0</v>
      </c>
      <c r="AK143" s="11">
        <v>0</v>
      </c>
      <c r="AL143" s="11">
        <v>0</v>
      </c>
      <c r="AM143" s="11">
        <v>0</v>
      </c>
      <c r="AN143" s="11">
        <v>0</v>
      </c>
      <c r="AO143" s="11">
        <v>0</v>
      </c>
      <c r="AP143" s="11">
        <v>0</v>
      </c>
      <c r="AQ143" s="11">
        <v>0</v>
      </c>
      <c r="AR143" s="11">
        <v>0</v>
      </c>
      <c r="AS143" s="11">
        <v>0</v>
      </c>
      <c r="AT143" s="11">
        <v>0</v>
      </c>
      <c r="AU143" s="11">
        <v>0</v>
      </c>
      <c r="AV143" s="11">
        <v>0</v>
      </c>
      <c r="AW143" s="11">
        <v>0</v>
      </c>
      <c r="AX143" s="11">
        <v>0</v>
      </c>
      <c r="AY143" s="11">
        <v>0</v>
      </c>
      <c r="AZ143" s="11">
        <v>0</v>
      </c>
      <c r="BA143" s="11">
        <v>0</v>
      </c>
      <c r="BB143" s="11">
        <v>0</v>
      </c>
      <c r="BC143" s="11">
        <v>0</v>
      </c>
      <c r="BD143" s="11">
        <v>0</v>
      </c>
      <c r="BE143" s="11">
        <v>0</v>
      </c>
      <c r="BF143" s="11">
        <v>0</v>
      </c>
      <c r="BG143" s="11">
        <v>0</v>
      </c>
      <c r="BH143" s="11">
        <v>0</v>
      </c>
      <c r="BI143" s="11">
        <v>0</v>
      </c>
      <c r="BJ143" s="11">
        <v>0</v>
      </c>
      <c r="BK143" s="11">
        <v>0</v>
      </c>
      <c r="BL143" s="11">
        <v>0</v>
      </c>
      <c r="BM143" s="11">
        <v>0</v>
      </c>
      <c r="BN143" s="11">
        <v>0</v>
      </c>
      <c r="BO143" s="11">
        <v>0</v>
      </c>
      <c r="BP143" s="11">
        <v>0</v>
      </c>
      <c r="BQ143" s="11">
        <v>0</v>
      </c>
      <c r="BR143" s="11">
        <v>0</v>
      </c>
      <c r="BS143" s="11">
        <v>0</v>
      </c>
      <c r="BT143" s="11">
        <v>0</v>
      </c>
      <c r="BU143" s="11">
        <v>0</v>
      </c>
      <c r="BV143" s="11">
        <v>0</v>
      </c>
      <c r="BW143" s="11">
        <v>0</v>
      </c>
      <c r="BX143" s="11">
        <v>0</v>
      </c>
      <c r="BY143" s="11">
        <v>0</v>
      </c>
      <c r="BZ143" s="11">
        <v>0</v>
      </c>
      <c r="CA143" s="11">
        <v>0</v>
      </c>
      <c r="CB143" s="11">
        <v>0</v>
      </c>
      <c r="CC143" s="11">
        <v>0</v>
      </c>
      <c r="CD143" s="11">
        <v>0</v>
      </c>
      <c r="CE143" s="11">
        <v>0</v>
      </c>
      <c r="CF143" s="11">
        <v>0</v>
      </c>
      <c r="CG143" s="11">
        <v>0</v>
      </c>
      <c r="CH143" s="11">
        <v>0</v>
      </c>
      <c r="CI143" s="11">
        <v>0</v>
      </c>
      <c r="CJ143" s="11">
        <v>0</v>
      </c>
      <c r="CK143" s="11">
        <v>0</v>
      </c>
      <c r="CL143" s="11">
        <v>0</v>
      </c>
      <c r="CM143" s="11">
        <v>0</v>
      </c>
      <c r="CN143" s="11">
        <v>0</v>
      </c>
      <c r="CO143" s="11">
        <v>0</v>
      </c>
      <c r="CP143" s="11">
        <v>0</v>
      </c>
      <c r="CQ143" s="11">
        <v>0</v>
      </c>
      <c r="CR143" s="11">
        <v>0</v>
      </c>
      <c r="CS143" t="str">
        <f>IFERROR(INDEX('Initiative Summary'!$C$5:$C$25,MATCH($A143,'Initiative Summary'!$A$5:$A$25,0)),"")</f>
        <v>Northpeak Region</v>
      </c>
    </row>
    <row r="144" spans="1:97" x14ac:dyDescent="0.25">
      <c r="A144" s="6" t="s">
        <v>696</v>
      </c>
      <c r="B144" s="7" t="s">
        <v>695</v>
      </c>
      <c r="C144" s="8" t="s">
        <v>206</v>
      </c>
      <c r="D144" s="8" t="s">
        <v>195</v>
      </c>
      <c r="E144" s="8" t="s">
        <v>206</v>
      </c>
      <c r="F144" s="8" t="s">
        <v>197</v>
      </c>
      <c r="G144" s="8"/>
      <c r="H144" s="8"/>
      <c r="I144" s="8"/>
      <c r="J144" s="8"/>
      <c r="K144" s="7"/>
      <c r="L144" s="8" t="s">
        <v>746</v>
      </c>
      <c r="M144" s="8" t="s">
        <v>199</v>
      </c>
      <c r="N144" s="21">
        <v>100</v>
      </c>
      <c r="O144" s="8" t="b">
        <v>0</v>
      </c>
      <c r="P144" s="8" t="s">
        <v>201</v>
      </c>
      <c r="Q144" s="8" t="s">
        <v>210</v>
      </c>
      <c r="R144" s="8" t="s">
        <v>210</v>
      </c>
      <c r="S144" s="8">
        <v>0</v>
      </c>
      <c r="T144" s="21">
        <v>0.55800000000000005</v>
      </c>
      <c r="U144" s="21">
        <v>0.82799999999999996</v>
      </c>
      <c r="V144" s="21">
        <v>0.82799999999999996</v>
      </c>
      <c r="W144" s="21">
        <v>0.82799999999999996</v>
      </c>
      <c r="X144" s="8">
        <v>0</v>
      </c>
      <c r="Y144" s="8">
        <v>0</v>
      </c>
      <c r="Z144" s="8">
        <v>0</v>
      </c>
      <c r="AA144" s="8">
        <v>0</v>
      </c>
      <c r="AB144" s="8">
        <v>0</v>
      </c>
      <c r="AC144" s="8">
        <v>0</v>
      </c>
      <c r="AD144" s="8">
        <v>0</v>
      </c>
      <c r="AE144" s="8">
        <v>0</v>
      </c>
      <c r="AF144" s="8">
        <v>0</v>
      </c>
      <c r="AG144" s="8">
        <v>0</v>
      </c>
      <c r="AH144" s="8">
        <v>0</v>
      </c>
      <c r="AI144" s="8">
        <v>0</v>
      </c>
      <c r="AJ144" s="21">
        <v>0</v>
      </c>
      <c r="AK144" s="21">
        <v>0</v>
      </c>
      <c r="AL144" s="21">
        <v>0</v>
      </c>
      <c r="AM144" s="21">
        <v>0</v>
      </c>
      <c r="AN144" s="21">
        <v>0</v>
      </c>
      <c r="AO144" s="21">
        <v>7.9714285714285724E-2</v>
      </c>
      <c r="AP144" s="21">
        <v>7.9714285714285724E-2</v>
      </c>
      <c r="AQ144" s="21">
        <v>7.9714285714285724E-2</v>
      </c>
      <c r="AR144" s="21">
        <v>7.9714285714285724E-2</v>
      </c>
      <c r="AS144" s="21">
        <v>7.9714285714285724E-2</v>
      </c>
      <c r="AT144" s="21">
        <v>7.9714285714285724E-2</v>
      </c>
      <c r="AU144" s="21">
        <v>7.9714285714285724E-2</v>
      </c>
      <c r="AV144" s="21">
        <v>6.8999999999999992E-2</v>
      </c>
      <c r="AW144" s="21">
        <v>6.8999999999999992E-2</v>
      </c>
      <c r="AX144" s="21">
        <v>6.8999999999999992E-2</v>
      </c>
      <c r="AY144" s="21">
        <v>6.8999999999999992E-2</v>
      </c>
      <c r="AZ144" s="21">
        <v>6.8999999999999992E-2</v>
      </c>
      <c r="BA144" s="21">
        <v>6.8999999999999992E-2</v>
      </c>
      <c r="BB144" s="21">
        <v>6.8999999999999992E-2</v>
      </c>
      <c r="BC144" s="21">
        <v>6.8999999999999992E-2</v>
      </c>
      <c r="BD144" s="21">
        <v>6.8999999999999992E-2</v>
      </c>
      <c r="BE144" s="21">
        <v>6.8999999999999992E-2</v>
      </c>
      <c r="BF144" s="21">
        <v>6.8999999999999992E-2</v>
      </c>
      <c r="BG144" s="21">
        <v>6.8999999999999992E-2</v>
      </c>
      <c r="BH144" s="21">
        <v>6.8999999999999992E-2</v>
      </c>
      <c r="BI144" s="21">
        <v>6.8999999999999992E-2</v>
      </c>
      <c r="BJ144" s="21">
        <v>6.8999999999999992E-2</v>
      </c>
      <c r="BK144" s="21">
        <v>6.8999999999999992E-2</v>
      </c>
      <c r="BL144" s="21">
        <v>6.8999999999999992E-2</v>
      </c>
      <c r="BM144" s="21">
        <v>6.8999999999999992E-2</v>
      </c>
      <c r="BN144" s="21">
        <v>6.8999999999999992E-2</v>
      </c>
      <c r="BO144" s="21">
        <v>6.8999999999999992E-2</v>
      </c>
      <c r="BP144" s="21">
        <v>6.8999999999999992E-2</v>
      </c>
      <c r="BQ144" s="21">
        <v>6.8999999999999992E-2</v>
      </c>
      <c r="BR144" s="21">
        <v>6.8999999999999992E-2</v>
      </c>
      <c r="BS144" s="21">
        <v>6.8999999999999992E-2</v>
      </c>
      <c r="BT144" s="21">
        <v>6.8999999999999992E-2</v>
      </c>
      <c r="BU144" s="21">
        <v>6.8999999999999992E-2</v>
      </c>
      <c r="BV144" s="21">
        <v>6.8999999999999992E-2</v>
      </c>
      <c r="BW144" s="21">
        <v>6.8999999999999992E-2</v>
      </c>
      <c r="BX144" s="21">
        <v>6.8999999999999992E-2</v>
      </c>
      <c r="BY144" s="21">
        <v>6.8999999999999992E-2</v>
      </c>
      <c r="BZ144" s="21">
        <v>6.8999999999999992E-2</v>
      </c>
      <c r="CA144" s="21">
        <v>6.8999999999999992E-2</v>
      </c>
      <c r="CB144" s="21">
        <v>6.8999999999999992E-2</v>
      </c>
      <c r="CC144" s="21">
        <v>6.8999999999999992E-2</v>
      </c>
      <c r="CD144" s="21">
        <v>6.8999999999999992E-2</v>
      </c>
      <c r="CE144" s="21">
        <v>6.8999999999999992E-2</v>
      </c>
      <c r="CF144" s="8">
        <v>0.82799999999999996</v>
      </c>
      <c r="CG144" s="8">
        <v>6.8999999999999992E-2</v>
      </c>
      <c r="CH144" s="8">
        <v>6.8999999999999992E-2</v>
      </c>
      <c r="CI144" s="8">
        <v>6.8999999999999992E-2</v>
      </c>
      <c r="CJ144" s="8">
        <v>6.8999999999999992E-2</v>
      </c>
      <c r="CK144" s="8">
        <v>6.8999999999999992E-2</v>
      </c>
      <c r="CL144" s="8">
        <v>6.8999999999999992E-2</v>
      </c>
      <c r="CM144" s="8">
        <v>6.8999999999999992E-2</v>
      </c>
      <c r="CN144" s="8">
        <v>6.8999999999999992E-2</v>
      </c>
      <c r="CO144" s="8">
        <v>6.8999999999999992E-2</v>
      </c>
      <c r="CP144" s="8">
        <v>6.8999999999999992E-2</v>
      </c>
      <c r="CQ144" s="8">
        <v>6.8999999999999992E-2</v>
      </c>
      <c r="CR144" s="8">
        <v>6.8999999999999992E-2</v>
      </c>
      <c r="CS144" t="str">
        <f>IFERROR(INDEX('Initiative Summary'!$C$5:$C$25,MATCH($A144,'Initiative Summary'!$A$5:$A$25,0)),"")</f>
        <v>Northpeak Region</v>
      </c>
    </row>
    <row r="145" spans="1:97" x14ac:dyDescent="0.25">
      <c r="A145" s="6" t="s">
        <v>696</v>
      </c>
      <c r="B145" s="10" t="s">
        <v>695</v>
      </c>
      <c r="C145" s="11" t="s">
        <v>206</v>
      </c>
      <c r="D145" s="11" t="s">
        <v>203</v>
      </c>
      <c r="E145" s="11" t="s">
        <v>206</v>
      </c>
      <c r="F145" s="11" t="s">
        <v>197</v>
      </c>
      <c r="G145" s="11"/>
      <c r="H145" s="11"/>
      <c r="I145" s="11"/>
      <c r="J145" s="11"/>
      <c r="K145" s="10"/>
      <c r="L145" s="11" t="s">
        <v>746</v>
      </c>
      <c r="M145" s="11" t="s">
        <v>199</v>
      </c>
      <c r="N145" s="20">
        <v>100</v>
      </c>
      <c r="O145" s="11" t="b">
        <v>0</v>
      </c>
      <c r="P145" s="11" t="s">
        <v>201</v>
      </c>
      <c r="Q145" s="11" t="s">
        <v>210</v>
      </c>
      <c r="R145" s="11" t="s">
        <v>210</v>
      </c>
      <c r="S145" s="11">
        <v>0</v>
      </c>
      <c r="T145" s="20">
        <v>0.75600000000000001</v>
      </c>
      <c r="U145" s="20">
        <v>1.1160000000000001</v>
      </c>
      <c r="V145" s="20">
        <v>1.1160000000000001</v>
      </c>
      <c r="W145" s="20">
        <v>1.1160000000000001</v>
      </c>
      <c r="X145" s="11">
        <v>0</v>
      </c>
      <c r="Y145" s="11">
        <v>0</v>
      </c>
      <c r="Z145" s="11">
        <v>0</v>
      </c>
      <c r="AA145" s="11">
        <v>0</v>
      </c>
      <c r="AB145" s="11">
        <v>0</v>
      </c>
      <c r="AC145" s="11">
        <v>0</v>
      </c>
      <c r="AD145" s="11">
        <v>0</v>
      </c>
      <c r="AE145" s="11">
        <v>0</v>
      </c>
      <c r="AF145" s="11">
        <v>0</v>
      </c>
      <c r="AG145" s="11">
        <v>0</v>
      </c>
      <c r="AH145" s="11">
        <v>0</v>
      </c>
      <c r="AI145" s="11">
        <v>0</v>
      </c>
      <c r="AJ145" s="20">
        <v>0</v>
      </c>
      <c r="AK145" s="20">
        <v>0</v>
      </c>
      <c r="AL145" s="20">
        <v>0</v>
      </c>
      <c r="AM145" s="20">
        <v>0</v>
      </c>
      <c r="AN145" s="20">
        <v>0</v>
      </c>
      <c r="AO145" s="20">
        <v>0.108</v>
      </c>
      <c r="AP145" s="20">
        <v>0.108</v>
      </c>
      <c r="AQ145" s="20">
        <v>0.108</v>
      </c>
      <c r="AR145" s="20">
        <v>0.108</v>
      </c>
      <c r="AS145" s="20">
        <v>0.108</v>
      </c>
      <c r="AT145" s="20">
        <v>0.108</v>
      </c>
      <c r="AU145" s="20">
        <v>0.108</v>
      </c>
      <c r="AV145" s="20">
        <v>9.3000000000000013E-2</v>
      </c>
      <c r="AW145" s="20">
        <v>9.3000000000000013E-2</v>
      </c>
      <c r="AX145" s="20">
        <v>9.3000000000000013E-2</v>
      </c>
      <c r="AY145" s="20">
        <v>9.3000000000000013E-2</v>
      </c>
      <c r="AZ145" s="20">
        <v>9.3000000000000013E-2</v>
      </c>
      <c r="BA145" s="20">
        <v>9.3000000000000013E-2</v>
      </c>
      <c r="BB145" s="20">
        <v>9.3000000000000013E-2</v>
      </c>
      <c r="BC145" s="20">
        <v>9.3000000000000013E-2</v>
      </c>
      <c r="BD145" s="20">
        <v>9.3000000000000013E-2</v>
      </c>
      <c r="BE145" s="20">
        <v>9.3000000000000013E-2</v>
      </c>
      <c r="BF145" s="20">
        <v>9.3000000000000013E-2</v>
      </c>
      <c r="BG145" s="20">
        <v>9.3000000000000013E-2</v>
      </c>
      <c r="BH145" s="20">
        <v>9.3000000000000013E-2</v>
      </c>
      <c r="BI145" s="20">
        <v>9.3000000000000013E-2</v>
      </c>
      <c r="BJ145" s="20">
        <v>9.3000000000000013E-2</v>
      </c>
      <c r="BK145" s="20">
        <v>9.3000000000000013E-2</v>
      </c>
      <c r="BL145" s="20">
        <v>9.3000000000000013E-2</v>
      </c>
      <c r="BM145" s="20">
        <v>9.3000000000000013E-2</v>
      </c>
      <c r="BN145" s="20">
        <v>9.3000000000000013E-2</v>
      </c>
      <c r="BO145" s="20">
        <v>9.3000000000000013E-2</v>
      </c>
      <c r="BP145" s="20">
        <v>9.3000000000000013E-2</v>
      </c>
      <c r="BQ145" s="20">
        <v>9.3000000000000013E-2</v>
      </c>
      <c r="BR145" s="20">
        <v>9.3000000000000013E-2</v>
      </c>
      <c r="BS145" s="20">
        <v>9.3000000000000013E-2</v>
      </c>
      <c r="BT145" s="20">
        <v>9.3000000000000013E-2</v>
      </c>
      <c r="BU145" s="20">
        <v>9.3000000000000013E-2</v>
      </c>
      <c r="BV145" s="20">
        <v>9.3000000000000013E-2</v>
      </c>
      <c r="BW145" s="20">
        <v>9.3000000000000013E-2</v>
      </c>
      <c r="BX145" s="20">
        <v>9.3000000000000013E-2</v>
      </c>
      <c r="BY145" s="20">
        <v>9.3000000000000013E-2</v>
      </c>
      <c r="BZ145" s="20">
        <v>9.3000000000000013E-2</v>
      </c>
      <c r="CA145" s="20">
        <v>9.3000000000000013E-2</v>
      </c>
      <c r="CB145" s="20">
        <v>9.3000000000000013E-2</v>
      </c>
      <c r="CC145" s="20">
        <v>9.3000000000000013E-2</v>
      </c>
      <c r="CD145" s="20">
        <v>9.3000000000000013E-2</v>
      </c>
      <c r="CE145" s="20">
        <v>9.3000000000000013E-2</v>
      </c>
      <c r="CF145" s="11">
        <v>1.1160000000000001</v>
      </c>
      <c r="CG145" s="11">
        <v>9.3000000000000013E-2</v>
      </c>
      <c r="CH145" s="11">
        <v>9.3000000000000013E-2</v>
      </c>
      <c r="CI145" s="11">
        <v>9.3000000000000013E-2</v>
      </c>
      <c r="CJ145" s="11">
        <v>9.3000000000000013E-2</v>
      </c>
      <c r="CK145" s="11">
        <v>9.3000000000000013E-2</v>
      </c>
      <c r="CL145" s="11">
        <v>9.3000000000000013E-2</v>
      </c>
      <c r="CM145" s="11">
        <v>9.3000000000000013E-2</v>
      </c>
      <c r="CN145" s="11">
        <v>9.3000000000000013E-2</v>
      </c>
      <c r="CO145" s="11">
        <v>9.3000000000000013E-2</v>
      </c>
      <c r="CP145" s="11">
        <v>9.3000000000000013E-2</v>
      </c>
      <c r="CQ145" s="11">
        <v>9.3000000000000013E-2</v>
      </c>
      <c r="CR145" s="11">
        <v>9.3000000000000013E-2</v>
      </c>
      <c r="CS145" t="str">
        <f>IFERROR(INDEX('Initiative Summary'!$C$5:$C$25,MATCH($A145,'Initiative Summary'!$A$5:$A$25,0)),"")</f>
        <v>Northpeak Region</v>
      </c>
    </row>
    <row r="146" spans="1:97" x14ac:dyDescent="0.25">
      <c r="A146" s="6" t="s">
        <v>696</v>
      </c>
      <c r="B146" s="7" t="s">
        <v>695</v>
      </c>
      <c r="C146" s="8" t="s">
        <v>206</v>
      </c>
      <c r="D146" s="8" t="s">
        <v>204</v>
      </c>
      <c r="E146" s="8" t="s">
        <v>206</v>
      </c>
      <c r="F146" s="8" t="s">
        <v>197</v>
      </c>
      <c r="G146" s="8"/>
      <c r="H146" s="8"/>
      <c r="I146" s="8"/>
      <c r="J146" s="8"/>
      <c r="K146" s="7"/>
      <c r="L146" s="8" t="s">
        <v>746</v>
      </c>
      <c r="M146" s="8" t="s">
        <v>199</v>
      </c>
      <c r="N146" s="21">
        <v>100</v>
      </c>
      <c r="O146" s="8" t="b">
        <v>0</v>
      </c>
      <c r="P146" s="8" t="s">
        <v>201</v>
      </c>
      <c r="Q146" s="8" t="s">
        <v>210</v>
      </c>
      <c r="R146" s="8" t="s">
        <v>210</v>
      </c>
      <c r="S146" s="8"/>
      <c r="T146" s="8"/>
      <c r="U146" s="8"/>
      <c r="V146" s="8"/>
      <c r="W146" s="8"/>
      <c r="X146" s="8">
        <v>0</v>
      </c>
      <c r="Y146" s="8">
        <v>0</v>
      </c>
      <c r="Z146" s="8">
        <v>0</v>
      </c>
      <c r="AA146" s="8">
        <v>0</v>
      </c>
      <c r="AB146" s="8">
        <v>0</v>
      </c>
      <c r="AC146" s="8">
        <v>0</v>
      </c>
      <c r="AD146" s="8">
        <v>0</v>
      </c>
      <c r="AE146" s="8">
        <v>0</v>
      </c>
      <c r="AF146" s="8">
        <v>0</v>
      </c>
      <c r="AG146" s="8">
        <v>0</v>
      </c>
      <c r="AH146" s="8">
        <v>0</v>
      </c>
      <c r="AI146" s="8">
        <v>0</v>
      </c>
      <c r="AJ146" s="8">
        <v>0</v>
      </c>
      <c r="AK146" s="8">
        <v>0</v>
      </c>
      <c r="AL146" s="8">
        <v>0</v>
      </c>
      <c r="AM146" s="8">
        <v>0</v>
      </c>
      <c r="AN146" s="8">
        <v>0</v>
      </c>
      <c r="AO146" s="8">
        <v>0</v>
      </c>
      <c r="AP146" s="8">
        <v>0</v>
      </c>
      <c r="AQ146" s="8">
        <v>0</v>
      </c>
      <c r="AR146" s="8">
        <v>0</v>
      </c>
      <c r="AS146" s="8">
        <v>0</v>
      </c>
      <c r="AT146" s="8">
        <v>0</v>
      </c>
      <c r="AU146" s="8">
        <v>0</v>
      </c>
      <c r="AV146" s="8">
        <v>0</v>
      </c>
      <c r="AW146" s="8">
        <v>0</v>
      </c>
      <c r="AX146" s="8">
        <v>0</v>
      </c>
      <c r="AY146" s="8">
        <v>0</v>
      </c>
      <c r="AZ146" s="8">
        <v>0</v>
      </c>
      <c r="BA146" s="8">
        <v>0</v>
      </c>
      <c r="BB146" s="8">
        <v>0</v>
      </c>
      <c r="BC146" s="8">
        <v>0</v>
      </c>
      <c r="BD146" s="8">
        <v>0</v>
      </c>
      <c r="BE146" s="8">
        <v>0</v>
      </c>
      <c r="BF146" s="8">
        <v>0</v>
      </c>
      <c r="BG146" s="8">
        <v>0</v>
      </c>
      <c r="BH146" s="8">
        <v>0</v>
      </c>
      <c r="BI146" s="8">
        <v>0</v>
      </c>
      <c r="BJ146" s="8">
        <v>0</v>
      </c>
      <c r="BK146" s="8">
        <v>0</v>
      </c>
      <c r="BL146" s="8">
        <v>0</v>
      </c>
      <c r="BM146" s="8">
        <v>0</v>
      </c>
      <c r="BN146" s="8">
        <v>0</v>
      </c>
      <c r="BO146" s="8">
        <v>0</v>
      </c>
      <c r="BP146" s="8">
        <v>0</v>
      </c>
      <c r="BQ146" s="8">
        <v>0</v>
      </c>
      <c r="BR146" s="8">
        <v>0</v>
      </c>
      <c r="BS146" s="8">
        <v>0</v>
      </c>
      <c r="BT146" s="8">
        <v>0</v>
      </c>
      <c r="BU146" s="8">
        <v>0</v>
      </c>
      <c r="BV146" s="8">
        <v>0</v>
      </c>
      <c r="BW146" s="8">
        <v>0</v>
      </c>
      <c r="BX146" s="8">
        <v>0</v>
      </c>
      <c r="BY146" s="8">
        <v>0</v>
      </c>
      <c r="BZ146" s="8">
        <v>0</v>
      </c>
      <c r="CA146" s="8">
        <v>0</v>
      </c>
      <c r="CB146" s="8">
        <v>0</v>
      </c>
      <c r="CC146" s="8">
        <v>0</v>
      </c>
      <c r="CD146" s="8">
        <v>0</v>
      </c>
      <c r="CE146" s="8">
        <v>0</v>
      </c>
      <c r="CF146" s="8">
        <v>0</v>
      </c>
      <c r="CG146" s="8">
        <v>0</v>
      </c>
      <c r="CH146" s="8">
        <v>0</v>
      </c>
      <c r="CI146" s="8">
        <v>0</v>
      </c>
      <c r="CJ146" s="8">
        <v>0</v>
      </c>
      <c r="CK146" s="8">
        <v>0</v>
      </c>
      <c r="CL146" s="8">
        <v>0</v>
      </c>
      <c r="CM146" s="8">
        <v>0</v>
      </c>
      <c r="CN146" s="8">
        <v>0</v>
      </c>
      <c r="CO146" s="8">
        <v>0</v>
      </c>
      <c r="CP146" s="8">
        <v>0</v>
      </c>
      <c r="CQ146" s="8">
        <v>0</v>
      </c>
      <c r="CR146" s="8">
        <v>0</v>
      </c>
      <c r="CS146" t="str">
        <f>IFERROR(INDEX('Initiative Summary'!$C$5:$C$25,MATCH($A146,'Initiative Summary'!$A$5:$A$25,0)),"")</f>
        <v>Northpeak Region</v>
      </c>
    </row>
    <row r="147" spans="1:97" ht="36" x14ac:dyDescent="0.25">
      <c r="A147" s="6" t="s">
        <v>699</v>
      </c>
      <c r="B147" s="7" t="s">
        <v>698</v>
      </c>
      <c r="C147" s="8" t="s">
        <v>230</v>
      </c>
      <c r="D147" s="8" t="s">
        <v>195</v>
      </c>
      <c r="E147" s="8" t="s">
        <v>196</v>
      </c>
      <c r="F147" s="8" t="s">
        <v>197</v>
      </c>
      <c r="G147" s="8"/>
      <c r="H147" s="8"/>
      <c r="I147" s="8"/>
      <c r="J147" s="8"/>
      <c r="K147" s="7"/>
      <c r="L147" s="8" t="s">
        <v>747</v>
      </c>
      <c r="M147" s="8" t="s">
        <v>199</v>
      </c>
      <c r="N147" s="21">
        <v>0</v>
      </c>
      <c r="O147" s="8" t="b">
        <v>0</v>
      </c>
      <c r="P147" s="8" t="s">
        <v>201</v>
      </c>
      <c r="Q147" s="8" t="s">
        <v>232</v>
      </c>
      <c r="R147" s="8" t="s">
        <v>232</v>
      </c>
      <c r="S147" s="8">
        <v>0</v>
      </c>
      <c r="T147" s="21">
        <v>0.5</v>
      </c>
      <c r="U147" s="21">
        <v>0.5</v>
      </c>
      <c r="V147" s="21">
        <v>0.5</v>
      </c>
      <c r="W147" s="21">
        <v>0.5</v>
      </c>
      <c r="X147" s="8">
        <v>0</v>
      </c>
      <c r="Y147" s="8">
        <v>0</v>
      </c>
      <c r="Z147" s="8">
        <v>0</v>
      </c>
      <c r="AA147" s="8">
        <v>0</v>
      </c>
      <c r="AB147" s="8">
        <v>0</v>
      </c>
      <c r="AC147" s="8">
        <v>0</v>
      </c>
      <c r="AD147" s="8">
        <v>0</v>
      </c>
      <c r="AE147" s="8">
        <v>0</v>
      </c>
      <c r="AF147" s="8">
        <v>0</v>
      </c>
      <c r="AG147" s="8">
        <v>0</v>
      </c>
      <c r="AH147" s="8">
        <v>0</v>
      </c>
      <c r="AI147" s="8">
        <v>0</v>
      </c>
      <c r="AJ147" s="21">
        <v>0</v>
      </c>
      <c r="AK147" s="21">
        <v>0</v>
      </c>
      <c r="AL147" s="21">
        <v>0</v>
      </c>
      <c r="AM147" s="21">
        <v>0</v>
      </c>
      <c r="AN147" s="21">
        <v>0</v>
      </c>
      <c r="AO147" s="21">
        <v>0</v>
      </c>
      <c r="AP147" s="21">
        <v>0</v>
      </c>
      <c r="AQ147" s="21">
        <v>0.1</v>
      </c>
      <c r="AR147" s="21">
        <v>0.1</v>
      </c>
      <c r="AS147" s="21">
        <v>0.1</v>
      </c>
      <c r="AT147" s="21">
        <v>0.1</v>
      </c>
      <c r="AU147" s="21">
        <v>0.1</v>
      </c>
      <c r="AV147" s="21">
        <v>4.1666666666666664E-2</v>
      </c>
      <c r="AW147" s="21">
        <v>4.1666666666666664E-2</v>
      </c>
      <c r="AX147" s="21">
        <v>4.1666666666666664E-2</v>
      </c>
      <c r="AY147" s="21">
        <v>4.1666666666666664E-2</v>
      </c>
      <c r="AZ147" s="21">
        <v>4.1666666666666664E-2</v>
      </c>
      <c r="BA147" s="21">
        <v>4.1666666666666664E-2</v>
      </c>
      <c r="BB147" s="21">
        <v>4.1666666666666664E-2</v>
      </c>
      <c r="BC147" s="21">
        <v>4.1666666666666664E-2</v>
      </c>
      <c r="BD147" s="21">
        <v>4.1666666666666664E-2</v>
      </c>
      <c r="BE147" s="21">
        <v>4.1666666666666664E-2</v>
      </c>
      <c r="BF147" s="21">
        <v>4.1666666666666664E-2</v>
      </c>
      <c r="BG147" s="21">
        <v>4.1666666666666664E-2</v>
      </c>
      <c r="BH147" s="21">
        <v>4.1666666666666664E-2</v>
      </c>
      <c r="BI147" s="21">
        <v>4.1666666666666664E-2</v>
      </c>
      <c r="BJ147" s="21">
        <v>4.1666666666666664E-2</v>
      </c>
      <c r="BK147" s="21">
        <v>4.1666666666666664E-2</v>
      </c>
      <c r="BL147" s="21">
        <v>4.1666666666666664E-2</v>
      </c>
      <c r="BM147" s="21">
        <v>4.1666666666666664E-2</v>
      </c>
      <c r="BN147" s="21">
        <v>4.1666666666666664E-2</v>
      </c>
      <c r="BO147" s="21">
        <v>4.1666666666666664E-2</v>
      </c>
      <c r="BP147" s="21">
        <v>4.1666666666666664E-2</v>
      </c>
      <c r="BQ147" s="21">
        <v>4.1666666666666664E-2</v>
      </c>
      <c r="BR147" s="21">
        <v>4.1666666666666664E-2</v>
      </c>
      <c r="BS147" s="21">
        <v>4.1666666666666664E-2</v>
      </c>
      <c r="BT147" s="21">
        <v>4.1666666666666664E-2</v>
      </c>
      <c r="BU147" s="21">
        <v>4.1666666666666664E-2</v>
      </c>
      <c r="BV147" s="21">
        <v>4.1666666666666664E-2</v>
      </c>
      <c r="BW147" s="21">
        <v>4.1666666666666664E-2</v>
      </c>
      <c r="BX147" s="21">
        <v>4.1666666666666664E-2</v>
      </c>
      <c r="BY147" s="21">
        <v>4.1666666666666664E-2</v>
      </c>
      <c r="BZ147" s="21">
        <v>4.1666666666666664E-2</v>
      </c>
      <c r="CA147" s="21">
        <v>4.1666666666666664E-2</v>
      </c>
      <c r="CB147" s="21">
        <v>4.1666666666666664E-2</v>
      </c>
      <c r="CC147" s="21">
        <v>4.1666666666666664E-2</v>
      </c>
      <c r="CD147" s="21">
        <v>4.1666666666666664E-2</v>
      </c>
      <c r="CE147" s="21">
        <v>4.1666666666666664E-2</v>
      </c>
      <c r="CF147" s="8">
        <v>0.5</v>
      </c>
      <c r="CG147" s="8">
        <v>4.1666666666666664E-2</v>
      </c>
      <c r="CH147" s="8">
        <v>4.1666666666666664E-2</v>
      </c>
      <c r="CI147" s="8">
        <v>4.1666666666666664E-2</v>
      </c>
      <c r="CJ147" s="8">
        <v>4.1666666666666664E-2</v>
      </c>
      <c r="CK147" s="8">
        <v>4.1666666666666664E-2</v>
      </c>
      <c r="CL147" s="8">
        <v>4.1666666666666664E-2</v>
      </c>
      <c r="CM147" s="8">
        <v>4.1666666666666664E-2</v>
      </c>
      <c r="CN147" s="8">
        <v>4.1666666666666664E-2</v>
      </c>
      <c r="CO147" s="8">
        <v>4.1666666666666664E-2</v>
      </c>
      <c r="CP147" s="8">
        <v>4.1666666666666664E-2</v>
      </c>
      <c r="CQ147" s="8">
        <v>4.1666666666666664E-2</v>
      </c>
      <c r="CR147" s="8">
        <v>4.1666666666666664E-2</v>
      </c>
      <c r="CS147" t="str">
        <f>IFERROR(INDEX('Initiative Summary'!$C$5:$C$25,MATCH($A147,'Initiative Summary'!$A$5:$A$25,0)),"")</f>
        <v>Northpeak Region</v>
      </c>
    </row>
    <row r="148" spans="1:97" ht="36" x14ac:dyDescent="0.25">
      <c r="A148" s="6" t="s">
        <v>699</v>
      </c>
      <c r="B148" s="10" t="s">
        <v>698</v>
      </c>
      <c r="C148" s="11" t="s">
        <v>230</v>
      </c>
      <c r="D148" s="11" t="s">
        <v>203</v>
      </c>
      <c r="E148" s="11" t="s">
        <v>196</v>
      </c>
      <c r="F148" s="11" t="s">
        <v>197</v>
      </c>
      <c r="G148" s="11"/>
      <c r="H148" s="11"/>
      <c r="I148" s="11"/>
      <c r="J148" s="11"/>
      <c r="K148" s="10"/>
      <c r="L148" s="11" t="s">
        <v>747</v>
      </c>
      <c r="M148" s="11" t="s">
        <v>199</v>
      </c>
      <c r="N148" s="20">
        <v>0</v>
      </c>
      <c r="O148" s="11" t="b">
        <v>0</v>
      </c>
      <c r="P148" s="11" t="s">
        <v>201</v>
      </c>
      <c r="Q148" s="11" t="s">
        <v>232</v>
      </c>
      <c r="R148" s="11" t="s">
        <v>232</v>
      </c>
      <c r="S148" s="11">
        <v>0</v>
      </c>
      <c r="T148" s="20">
        <v>1</v>
      </c>
      <c r="U148" s="20">
        <v>1</v>
      </c>
      <c r="V148" s="20">
        <v>1</v>
      </c>
      <c r="W148" s="20">
        <v>1</v>
      </c>
      <c r="X148" s="11">
        <v>0</v>
      </c>
      <c r="Y148" s="11">
        <v>0</v>
      </c>
      <c r="Z148" s="11">
        <v>0</v>
      </c>
      <c r="AA148" s="11">
        <v>0</v>
      </c>
      <c r="AB148" s="11">
        <v>0</v>
      </c>
      <c r="AC148" s="11">
        <v>0</v>
      </c>
      <c r="AD148" s="11">
        <v>0</v>
      </c>
      <c r="AE148" s="11">
        <v>0</v>
      </c>
      <c r="AF148" s="11">
        <v>0</v>
      </c>
      <c r="AG148" s="11">
        <v>0</v>
      </c>
      <c r="AH148" s="11">
        <v>0</v>
      </c>
      <c r="AI148" s="11">
        <v>0</v>
      </c>
      <c r="AJ148" s="20">
        <v>0</v>
      </c>
      <c r="AK148" s="20">
        <v>0</v>
      </c>
      <c r="AL148" s="20">
        <v>0</v>
      </c>
      <c r="AM148" s="20">
        <v>0</v>
      </c>
      <c r="AN148" s="20">
        <v>0</v>
      </c>
      <c r="AO148" s="20">
        <v>0</v>
      </c>
      <c r="AP148" s="20">
        <v>0</v>
      </c>
      <c r="AQ148" s="20">
        <v>0.2</v>
      </c>
      <c r="AR148" s="20">
        <v>0.2</v>
      </c>
      <c r="AS148" s="20">
        <v>0.2</v>
      </c>
      <c r="AT148" s="20">
        <v>0.2</v>
      </c>
      <c r="AU148" s="20">
        <v>0.2</v>
      </c>
      <c r="AV148" s="20">
        <v>8.3333333333333329E-2</v>
      </c>
      <c r="AW148" s="20">
        <v>8.3333333333333329E-2</v>
      </c>
      <c r="AX148" s="20">
        <v>8.3333333333333329E-2</v>
      </c>
      <c r="AY148" s="20">
        <v>8.3333333333333329E-2</v>
      </c>
      <c r="AZ148" s="20">
        <v>8.3333333333333329E-2</v>
      </c>
      <c r="BA148" s="20">
        <v>8.3333333333333329E-2</v>
      </c>
      <c r="BB148" s="20">
        <v>8.3333333333333329E-2</v>
      </c>
      <c r="BC148" s="20">
        <v>8.3333333333333329E-2</v>
      </c>
      <c r="BD148" s="20">
        <v>8.3333333333333329E-2</v>
      </c>
      <c r="BE148" s="20">
        <v>8.3333333333333329E-2</v>
      </c>
      <c r="BF148" s="20">
        <v>8.3333333333333329E-2</v>
      </c>
      <c r="BG148" s="20">
        <v>8.3333333333333329E-2</v>
      </c>
      <c r="BH148" s="20">
        <v>8.3333333333333329E-2</v>
      </c>
      <c r="BI148" s="20">
        <v>8.3333333333333329E-2</v>
      </c>
      <c r="BJ148" s="20">
        <v>8.3333333333333329E-2</v>
      </c>
      <c r="BK148" s="20">
        <v>8.3333333333333329E-2</v>
      </c>
      <c r="BL148" s="20">
        <v>8.3333333333333329E-2</v>
      </c>
      <c r="BM148" s="20">
        <v>8.3333333333333329E-2</v>
      </c>
      <c r="BN148" s="20">
        <v>8.3333333333333329E-2</v>
      </c>
      <c r="BO148" s="20">
        <v>8.3333333333333329E-2</v>
      </c>
      <c r="BP148" s="20">
        <v>8.3333333333333329E-2</v>
      </c>
      <c r="BQ148" s="20">
        <v>8.3333333333333329E-2</v>
      </c>
      <c r="BR148" s="20">
        <v>8.3333333333333329E-2</v>
      </c>
      <c r="BS148" s="20">
        <v>8.3333333333333329E-2</v>
      </c>
      <c r="BT148" s="20">
        <v>8.3333333333333329E-2</v>
      </c>
      <c r="BU148" s="20">
        <v>8.3333333333333329E-2</v>
      </c>
      <c r="BV148" s="20">
        <v>8.3333333333333329E-2</v>
      </c>
      <c r="BW148" s="20">
        <v>8.3333333333333329E-2</v>
      </c>
      <c r="BX148" s="20">
        <v>8.3333333333333329E-2</v>
      </c>
      <c r="BY148" s="20">
        <v>8.3333333333333329E-2</v>
      </c>
      <c r="BZ148" s="20">
        <v>8.3333333333333329E-2</v>
      </c>
      <c r="CA148" s="20">
        <v>8.3333333333333329E-2</v>
      </c>
      <c r="CB148" s="20">
        <v>8.3333333333333329E-2</v>
      </c>
      <c r="CC148" s="20">
        <v>8.3333333333333329E-2</v>
      </c>
      <c r="CD148" s="20">
        <v>8.3333333333333329E-2</v>
      </c>
      <c r="CE148" s="20">
        <v>8.3333333333333329E-2</v>
      </c>
      <c r="CF148" s="11">
        <v>1</v>
      </c>
      <c r="CG148" s="11">
        <v>8.3333333333333329E-2</v>
      </c>
      <c r="CH148" s="11">
        <v>8.3333333333333329E-2</v>
      </c>
      <c r="CI148" s="11">
        <v>8.3333333333333329E-2</v>
      </c>
      <c r="CJ148" s="11">
        <v>8.3333333333333329E-2</v>
      </c>
      <c r="CK148" s="11">
        <v>8.3333333333333329E-2</v>
      </c>
      <c r="CL148" s="11">
        <v>8.3333333333333329E-2</v>
      </c>
      <c r="CM148" s="11">
        <v>8.3333333333333329E-2</v>
      </c>
      <c r="CN148" s="11">
        <v>8.3333333333333329E-2</v>
      </c>
      <c r="CO148" s="11">
        <v>8.3333333333333329E-2</v>
      </c>
      <c r="CP148" s="11">
        <v>8.3333333333333329E-2</v>
      </c>
      <c r="CQ148" s="11">
        <v>8.3333333333333329E-2</v>
      </c>
      <c r="CR148" s="11">
        <v>8.3333333333333329E-2</v>
      </c>
      <c r="CS148" t="str">
        <f>IFERROR(INDEX('Initiative Summary'!$C$5:$C$25,MATCH($A148,'Initiative Summary'!$A$5:$A$25,0)),"")</f>
        <v>Northpeak Region</v>
      </c>
    </row>
    <row r="149" spans="1:97" ht="36" x14ac:dyDescent="0.25">
      <c r="A149" s="6" t="s">
        <v>699</v>
      </c>
      <c r="B149" s="7" t="s">
        <v>698</v>
      </c>
      <c r="C149" s="8" t="s">
        <v>230</v>
      </c>
      <c r="D149" s="8" t="s">
        <v>204</v>
      </c>
      <c r="E149" s="8" t="s">
        <v>196</v>
      </c>
      <c r="F149" s="8" t="s">
        <v>197</v>
      </c>
      <c r="G149" s="8"/>
      <c r="H149" s="8"/>
      <c r="I149" s="8"/>
      <c r="J149" s="8"/>
      <c r="K149" s="7"/>
      <c r="L149" s="8" t="s">
        <v>747</v>
      </c>
      <c r="M149" s="8" t="s">
        <v>199</v>
      </c>
      <c r="N149" s="21">
        <v>0</v>
      </c>
      <c r="O149" s="8" t="b">
        <v>0</v>
      </c>
      <c r="P149" s="8" t="s">
        <v>201</v>
      </c>
      <c r="Q149" s="8" t="s">
        <v>232</v>
      </c>
      <c r="R149" s="8" t="s">
        <v>232</v>
      </c>
      <c r="S149" s="8"/>
      <c r="T149" s="8"/>
      <c r="U149" s="8"/>
      <c r="V149" s="8"/>
      <c r="W149" s="8"/>
      <c r="X149" s="8">
        <v>0</v>
      </c>
      <c r="Y149" s="8">
        <v>0</v>
      </c>
      <c r="Z149" s="8">
        <v>0</v>
      </c>
      <c r="AA149" s="8">
        <v>0</v>
      </c>
      <c r="AB149" s="8">
        <v>0</v>
      </c>
      <c r="AC149" s="8">
        <v>0</v>
      </c>
      <c r="AD149" s="8">
        <v>0</v>
      </c>
      <c r="AE149" s="8">
        <v>0</v>
      </c>
      <c r="AF149" s="8">
        <v>0</v>
      </c>
      <c r="AG149" s="8">
        <v>0</v>
      </c>
      <c r="AH149" s="8">
        <v>0</v>
      </c>
      <c r="AI149" s="8">
        <v>0</v>
      </c>
      <c r="AJ149" s="8">
        <v>0</v>
      </c>
      <c r="AK149" s="8">
        <v>0</v>
      </c>
      <c r="AL149" s="8">
        <v>0</v>
      </c>
      <c r="AM149" s="8">
        <v>0</v>
      </c>
      <c r="AN149" s="8">
        <v>0</v>
      </c>
      <c r="AO149" s="8">
        <v>0</v>
      </c>
      <c r="AP149" s="8">
        <v>0</v>
      </c>
      <c r="AQ149" s="8">
        <v>0</v>
      </c>
      <c r="AR149" s="8">
        <v>0</v>
      </c>
      <c r="AS149" s="8">
        <v>0</v>
      </c>
      <c r="AT149" s="8">
        <v>0</v>
      </c>
      <c r="AU149" s="8">
        <v>0</v>
      </c>
      <c r="AV149" s="8">
        <v>0</v>
      </c>
      <c r="AW149" s="8">
        <v>0</v>
      </c>
      <c r="AX149" s="8">
        <v>0</v>
      </c>
      <c r="AY149" s="8">
        <v>0</v>
      </c>
      <c r="AZ149" s="8">
        <v>0</v>
      </c>
      <c r="BA149" s="8">
        <v>0</v>
      </c>
      <c r="BB149" s="8">
        <v>0</v>
      </c>
      <c r="BC149" s="8">
        <v>0</v>
      </c>
      <c r="BD149" s="8">
        <v>0</v>
      </c>
      <c r="BE149" s="8">
        <v>0</v>
      </c>
      <c r="BF149" s="8">
        <v>0</v>
      </c>
      <c r="BG149" s="8">
        <v>0</v>
      </c>
      <c r="BH149" s="8">
        <v>0</v>
      </c>
      <c r="BI149" s="8">
        <v>0</v>
      </c>
      <c r="BJ149" s="8">
        <v>0</v>
      </c>
      <c r="BK149" s="8">
        <v>0</v>
      </c>
      <c r="BL149" s="8">
        <v>0</v>
      </c>
      <c r="BM149" s="8">
        <v>0</v>
      </c>
      <c r="BN149" s="8">
        <v>0</v>
      </c>
      <c r="BO149" s="8">
        <v>0</v>
      </c>
      <c r="BP149" s="8">
        <v>0</v>
      </c>
      <c r="BQ149" s="8">
        <v>0</v>
      </c>
      <c r="BR149" s="8">
        <v>0</v>
      </c>
      <c r="BS149" s="8">
        <v>0</v>
      </c>
      <c r="BT149" s="8">
        <v>0</v>
      </c>
      <c r="BU149" s="8">
        <v>0</v>
      </c>
      <c r="BV149" s="8">
        <v>0</v>
      </c>
      <c r="BW149" s="8">
        <v>0</v>
      </c>
      <c r="BX149" s="8">
        <v>0</v>
      </c>
      <c r="BY149" s="8">
        <v>0</v>
      </c>
      <c r="BZ149" s="8">
        <v>0</v>
      </c>
      <c r="CA149" s="8">
        <v>0</v>
      </c>
      <c r="CB149" s="8">
        <v>0</v>
      </c>
      <c r="CC149" s="8">
        <v>0</v>
      </c>
      <c r="CD149" s="8">
        <v>0</v>
      </c>
      <c r="CE149" s="8">
        <v>0</v>
      </c>
      <c r="CF149" s="8">
        <v>0</v>
      </c>
      <c r="CG149" s="8">
        <v>0</v>
      </c>
      <c r="CH149" s="8">
        <v>0</v>
      </c>
      <c r="CI149" s="8">
        <v>0</v>
      </c>
      <c r="CJ149" s="8">
        <v>0</v>
      </c>
      <c r="CK149" s="8">
        <v>0</v>
      </c>
      <c r="CL149" s="8">
        <v>0</v>
      </c>
      <c r="CM149" s="8">
        <v>0</v>
      </c>
      <c r="CN149" s="8">
        <v>0</v>
      </c>
      <c r="CO149" s="8">
        <v>0</v>
      </c>
      <c r="CP149" s="8">
        <v>0</v>
      </c>
      <c r="CQ149" s="8">
        <v>0</v>
      </c>
      <c r="CR149" s="8">
        <v>0</v>
      </c>
      <c r="CS149" t="str">
        <f>IFERROR(INDEX('Initiative Summary'!$C$5:$C$25,MATCH($A149,'Initiative Summary'!$A$5:$A$25,0)),"")</f>
        <v>Northpeak Region</v>
      </c>
    </row>
    <row r="150" spans="1:97" ht="36" x14ac:dyDescent="0.25">
      <c r="A150" s="6" t="s">
        <v>699</v>
      </c>
      <c r="B150" s="10" t="s">
        <v>698</v>
      </c>
      <c r="C150" s="11" t="s">
        <v>205</v>
      </c>
      <c r="D150" s="11" t="s">
        <v>195</v>
      </c>
      <c r="E150" s="11" t="s">
        <v>206</v>
      </c>
      <c r="F150" s="11" t="s">
        <v>207</v>
      </c>
      <c r="G150" s="11"/>
      <c r="H150" s="11" t="s">
        <v>215</v>
      </c>
      <c r="I150" s="11" t="s">
        <v>216</v>
      </c>
      <c r="J150" s="11"/>
      <c r="K150" s="10"/>
      <c r="L150" s="11" t="s">
        <v>748</v>
      </c>
      <c r="M150" s="11" t="s">
        <v>199</v>
      </c>
      <c r="N150" s="20">
        <v>3</v>
      </c>
      <c r="O150" s="11" t="b">
        <v>0</v>
      </c>
      <c r="P150" s="11" t="s">
        <v>218</v>
      </c>
      <c r="Q150" s="11" t="s">
        <v>232</v>
      </c>
      <c r="R150" s="11" t="s">
        <v>232</v>
      </c>
      <c r="S150" s="11"/>
      <c r="T150" s="11"/>
      <c r="U150" s="11"/>
      <c r="V150" s="11"/>
      <c r="W150" s="11"/>
      <c r="X150" s="11">
        <v>0</v>
      </c>
      <c r="Y150" s="11">
        <v>0</v>
      </c>
      <c r="Z150" s="11">
        <v>0</v>
      </c>
      <c r="AA150" s="11">
        <v>0</v>
      </c>
      <c r="AB150" s="11">
        <v>0</v>
      </c>
      <c r="AC150" s="11">
        <v>0</v>
      </c>
      <c r="AD150" s="11">
        <v>0</v>
      </c>
      <c r="AE150" s="11">
        <v>0</v>
      </c>
      <c r="AF150" s="11">
        <v>0</v>
      </c>
      <c r="AG150" s="11">
        <v>0</v>
      </c>
      <c r="AH150" s="11">
        <v>0</v>
      </c>
      <c r="AI150" s="11">
        <v>0</v>
      </c>
      <c r="AJ150" s="11">
        <v>0</v>
      </c>
      <c r="AK150" s="11">
        <v>0</v>
      </c>
      <c r="AL150" s="11">
        <v>0</v>
      </c>
      <c r="AM150" s="11">
        <v>0</v>
      </c>
      <c r="AN150" s="11">
        <v>0</v>
      </c>
      <c r="AO150" s="11">
        <v>0</v>
      </c>
      <c r="AP150" s="11">
        <v>0</v>
      </c>
      <c r="AQ150" s="11">
        <v>0</v>
      </c>
      <c r="AR150" s="11">
        <v>0</v>
      </c>
      <c r="AS150" s="11">
        <v>0</v>
      </c>
      <c r="AT150" s="11">
        <v>0</v>
      </c>
      <c r="AU150" s="11">
        <v>0</v>
      </c>
      <c r="AV150" s="11">
        <v>0</v>
      </c>
      <c r="AW150" s="11">
        <v>0</v>
      </c>
      <c r="AX150" s="11">
        <v>0</v>
      </c>
      <c r="AY150" s="11">
        <v>0</v>
      </c>
      <c r="AZ150" s="11">
        <v>0</v>
      </c>
      <c r="BA150" s="11">
        <v>0</v>
      </c>
      <c r="BB150" s="11">
        <v>0</v>
      </c>
      <c r="BC150" s="11">
        <v>0</v>
      </c>
      <c r="BD150" s="11">
        <v>0</v>
      </c>
      <c r="BE150" s="11">
        <v>0</v>
      </c>
      <c r="BF150" s="11">
        <v>0</v>
      </c>
      <c r="BG150" s="11">
        <v>0</v>
      </c>
      <c r="BH150" s="11">
        <v>0</v>
      </c>
      <c r="BI150" s="11">
        <v>0</v>
      </c>
      <c r="BJ150" s="11">
        <v>0</v>
      </c>
      <c r="BK150" s="11">
        <v>0</v>
      </c>
      <c r="BL150" s="11">
        <v>0</v>
      </c>
      <c r="BM150" s="11">
        <v>0</v>
      </c>
      <c r="BN150" s="11">
        <v>0</v>
      </c>
      <c r="BO150" s="11">
        <v>0</v>
      </c>
      <c r="BP150" s="11">
        <v>0</v>
      </c>
      <c r="BQ150" s="11">
        <v>0</v>
      </c>
      <c r="BR150" s="11">
        <v>0</v>
      </c>
      <c r="BS150" s="11">
        <v>0</v>
      </c>
      <c r="BT150" s="11">
        <v>0</v>
      </c>
      <c r="BU150" s="11">
        <v>0</v>
      </c>
      <c r="BV150" s="11">
        <v>0</v>
      </c>
      <c r="BW150" s="11">
        <v>0</v>
      </c>
      <c r="BX150" s="11">
        <v>0</v>
      </c>
      <c r="BY150" s="11">
        <v>0</v>
      </c>
      <c r="BZ150" s="11">
        <v>0</v>
      </c>
      <c r="CA150" s="11">
        <v>0</v>
      </c>
      <c r="CB150" s="11">
        <v>0</v>
      </c>
      <c r="CC150" s="11">
        <v>0</v>
      </c>
      <c r="CD150" s="11">
        <v>0</v>
      </c>
      <c r="CE150" s="11">
        <v>0</v>
      </c>
      <c r="CF150" s="11">
        <v>0</v>
      </c>
      <c r="CG150" s="11">
        <v>0</v>
      </c>
      <c r="CH150" s="11">
        <v>0</v>
      </c>
      <c r="CI150" s="11">
        <v>0</v>
      </c>
      <c r="CJ150" s="11">
        <v>0</v>
      </c>
      <c r="CK150" s="11">
        <v>0</v>
      </c>
      <c r="CL150" s="11">
        <v>0</v>
      </c>
      <c r="CM150" s="11">
        <v>0</v>
      </c>
      <c r="CN150" s="11">
        <v>0</v>
      </c>
      <c r="CO150" s="11">
        <v>0</v>
      </c>
      <c r="CP150" s="11">
        <v>0</v>
      </c>
      <c r="CQ150" s="11">
        <v>0</v>
      </c>
      <c r="CR150" s="11">
        <v>0</v>
      </c>
      <c r="CS150" t="str">
        <f>IFERROR(INDEX('Initiative Summary'!$C$5:$C$25,MATCH($A150,'Initiative Summary'!$A$5:$A$25,0)),"")</f>
        <v>Northpeak Region</v>
      </c>
    </row>
    <row r="151" spans="1:97" ht="36" x14ac:dyDescent="0.25">
      <c r="A151" s="6" t="s">
        <v>699</v>
      </c>
      <c r="B151" s="7" t="s">
        <v>698</v>
      </c>
      <c r="C151" s="8" t="s">
        <v>205</v>
      </c>
      <c r="D151" s="8" t="s">
        <v>203</v>
      </c>
      <c r="E151" s="8" t="s">
        <v>206</v>
      </c>
      <c r="F151" s="8" t="s">
        <v>207</v>
      </c>
      <c r="G151" s="8"/>
      <c r="H151" s="8" t="s">
        <v>215</v>
      </c>
      <c r="I151" s="8" t="s">
        <v>216</v>
      </c>
      <c r="J151" s="8"/>
      <c r="K151" s="7"/>
      <c r="L151" s="8" t="s">
        <v>748</v>
      </c>
      <c r="M151" s="8" t="s">
        <v>199</v>
      </c>
      <c r="N151" s="21">
        <v>3</v>
      </c>
      <c r="O151" s="8" t="b">
        <v>0</v>
      </c>
      <c r="P151" s="8" t="s">
        <v>218</v>
      </c>
      <c r="Q151" s="8" t="s">
        <v>232</v>
      </c>
      <c r="R151" s="8" t="s">
        <v>232</v>
      </c>
      <c r="S151" s="8"/>
      <c r="T151" s="8"/>
      <c r="U151" s="8"/>
      <c r="V151" s="8"/>
      <c r="W151" s="8"/>
      <c r="X151" s="8">
        <v>0</v>
      </c>
      <c r="Y151" s="8">
        <v>0</v>
      </c>
      <c r="Z151" s="8">
        <v>0</v>
      </c>
      <c r="AA151" s="8">
        <v>0</v>
      </c>
      <c r="AB151" s="8">
        <v>0</v>
      </c>
      <c r="AC151" s="8">
        <v>0</v>
      </c>
      <c r="AD151" s="8">
        <v>0</v>
      </c>
      <c r="AE151" s="8">
        <v>0</v>
      </c>
      <c r="AF151" s="8">
        <v>0</v>
      </c>
      <c r="AG151" s="8">
        <v>0</v>
      </c>
      <c r="AH151" s="8">
        <v>0</v>
      </c>
      <c r="AI151" s="8">
        <v>0</v>
      </c>
      <c r="AJ151" s="8">
        <v>0</v>
      </c>
      <c r="AK151" s="8">
        <v>0</v>
      </c>
      <c r="AL151" s="8">
        <v>0</v>
      </c>
      <c r="AM151" s="8">
        <v>0</v>
      </c>
      <c r="AN151" s="8">
        <v>0</v>
      </c>
      <c r="AO151" s="8">
        <v>0</v>
      </c>
      <c r="AP151" s="8">
        <v>0</v>
      </c>
      <c r="AQ151" s="8">
        <v>0</v>
      </c>
      <c r="AR151" s="8">
        <v>0</v>
      </c>
      <c r="AS151" s="8">
        <v>0</v>
      </c>
      <c r="AT151" s="8">
        <v>0</v>
      </c>
      <c r="AU151" s="8">
        <v>0</v>
      </c>
      <c r="AV151" s="8">
        <v>0</v>
      </c>
      <c r="AW151" s="8">
        <v>0</v>
      </c>
      <c r="AX151" s="8">
        <v>0</v>
      </c>
      <c r="AY151" s="8">
        <v>0</v>
      </c>
      <c r="AZ151" s="8">
        <v>0</v>
      </c>
      <c r="BA151" s="8">
        <v>0</v>
      </c>
      <c r="BB151" s="8">
        <v>0</v>
      </c>
      <c r="BC151" s="8">
        <v>0</v>
      </c>
      <c r="BD151" s="8">
        <v>0</v>
      </c>
      <c r="BE151" s="8">
        <v>0</v>
      </c>
      <c r="BF151" s="8">
        <v>0</v>
      </c>
      <c r="BG151" s="8">
        <v>0</v>
      </c>
      <c r="BH151" s="8">
        <v>0</v>
      </c>
      <c r="BI151" s="8">
        <v>0</v>
      </c>
      <c r="BJ151" s="8">
        <v>0</v>
      </c>
      <c r="BK151" s="8">
        <v>0</v>
      </c>
      <c r="BL151" s="8">
        <v>0</v>
      </c>
      <c r="BM151" s="8">
        <v>0</v>
      </c>
      <c r="BN151" s="8">
        <v>0</v>
      </c>
      <c r="BO151" s="8">
        <v>0</v>
      </c>
      <c r="BP151" s="8">
        <v>0</v>
      </c>
      <c r="BQ151" s="8">
        <v>0</v>
      </c>
      <c r="BR151" s="8">
        <v>0</v>
      </c>
      <c r="BS151" s="8">
        <v>0</v>
      </c>
      <c r="BT151" s="8">
        <v>0</v>
      </c>
      <c r="BU151" s="8">
        <v>0</v>
      </c>
      <c r="BV151" s="8">
        <v>0</v>
      </c>
      <c r="BW151" s="8">
        <v>0</v>
      </c>
      <c r="BX151" s="8">
        <v>0</v>
      </c>
      <c r="BY151" s="8">
        <v>0</v>
      </c>
      <c r="BZ151" s="8">
        <v>0</v>
      </c>
      <c r="CA151" s="8">
        <v>0</v>
      </c>
      <c r="CB151" s="8">
        <v>0</v>
      </c>
      <c r="CC151" s="8">
        <v>0</v>
      </c>
      <c r="CD151" s="8">
        <v>0</v>
      </c>
      <c r="CE151" s="8">
        <v>0</v>
      </c>
      <c r="CF151" s="8">
        <v>0</v>
      </c>
      <c r="CG151" s="8">
        <v>0</v>
      </c>
      <c r="CH151" s="8">
        <v>0</v>
      </c>
      <c r="CI151" s="8">
        <v>0</v>
      </c>
      <c r="CJ151" s="8">
        <v>0</v>
      </c>
      <c r="CK151" s="8">
        <v>0</v>
      </c>
      <c r="CL151" s="8">
        <v>0</v>
      </c>
      <c r="CM151" s="8">
        <v>0</v>
      </c>
      <c r="CN151" s="8">
        <v>0</v>
      </c>
      <c r="CO151" s="8">
        <v>0</v>
      </c>
      <c r="CP151" s="8">
        <v>0</v>
      </c>
      <c r="CQ151" s="8">
        <v>0</v>
      </c>
      <c r="CR151" s="8">
        <v>0</v>
      </c>
      <c r="CS151" t="str">
        <f>IFERROR(INDEX('Initiative Summary'!$C$5:$C$25,MATCH($A151,'Initiative Summary'!$A$5:$A$25,0)),"")</f>
        <v>Northpeak Region</v>
      </c>
    </row>
    <row r="152" spans="1:97" ht="36" x14ac:dyDescent="0.25">
      <c r="A152" s="6" t="s">
        <v>699</v>
      </c>
      <c r="B152" s="10" t="s">
        <v>698</v>
      </c>
      <c r="C152" s="11" t="s">
        <v>205</v>
      </c>
      <c r="D152" s="11" t="s">
        <v>204</v>
      </c>
      <c r="E152" s="11" t="s">
        <v>206</v>
      </c>
      <c r="F152" s="11" t="s">
        <v>207</v>
      </c>
      <c r="G152" s="11"/>
      <c r="H152" s="11" t="s">
        <v>215</v>
      </c>
      <c r="I152" s="11" t="s">
        <v>216</v>
      </c>
      <c r="J152" s="11"/>
      <c r="K152" s="10"/>
      <c r="L152" s="11" t="s">
        <v>748</v>
      </c>
      <c r="M152" s="11" t="s">
        <v>199</v>
      </c>
      <c r="N152" s="20">
        <v>3</v>
      </c>
      <c r="O152" s="11" t="b">
        <v>0</v>
      </c>
      <c r="P152" s="11" t="s">
        <v>218</v>
      </c>
      <c r="Q152" s="11" t="s">
        <v>232</v>
      </c>
      <c r="R152" s="11" t="s">
        <v>232</v>
      </c>
      <c r="S152" s="11"/>
      <c r="T152" s="11"/>
      <c r="U152" s="11"/>
      <c r="V152" s="11"/>
      <c r="W152" s="11"/>
      <c r="X152" s="11">
        <v>0</v>
      </c>
      <c r="Y152" s="11">
        <v>0</v>
      </c>
      <c r="Z152" s="11">
        <v>0</v>
      </c>
      <c r="AA152" s="11">
        <v>0</v>
      </c>
      <c r="AB152" s="11">
        <v>0</v>
      </c>
      <c r="AC152" s="11">
        <v>0</v>
      </c>
      <c r="AD152" s="11">
        <v>0</v>
      </c>
      <c r="AE152" s="11">
        <v>0</v>
      </c>
      <c r="AF152" s="11">
        <v>0</v>
      </c>
      <c r="AG152" s="11">
        <v>0</v>
      </c>
      <c r="AH152" s="11">
        <v>0</v>
      </c>
      <c r="AI152" s="11">
        <v>0</v>
      </c>
      <c r="AJ152" s="11">
        <v>0</v>
      </c>
      <c r="AK152" s="11">
        <v>0</v>
      </c>
      <c r="AL152" s="11">
        <v>0</v>
      </c>
      <c r="AM152" s="11">
        <v>0</v>
      </c>
      <c r="AN152" s="11">
        <v>0</v>
      </c>
      <c r="AO152" s="11">
        <v>0</v>
      </c>
      <c r="AP152" s="11">
        <v>0</v>
      </c>
      <c r="AQ152" s="11">
        <v>0</v>
      </c>
      <c r="AR152" s="11">
        <v>0</v>
      </c>
      <c r="AS152" s="11">
        <v>0</v>
      </c>
      <c r="AT152" s="11">
        <v>0</v>
      </c>
      <c r="AU152" s="11">
        <v>0</v>
      </c>
      <c r="AV152" s="11">
        <v>0</v>
      </c>
      <c r="AW152" s="11">
        <v>0</v>
      </c>
      <c r="AX152" s="11">
        <v>0</v>
      </c>
      <c r="AY152" s="11">
        <v>0</v>
      </c>
      <c r="AZ152" s="11">
        <v>0</v>
      </c>
      <c r="BA152" s="11">
        <v>0</v>
      </c>
      <c r="BB152" s="11">
        <v>0</v>
      </c>
      <c r="BC152" s="11">
        <v>0</v>
      </c>
      <c r="BD152" s="11">
        <v>0</v>
      </c>
      <c r="BE152" s="11">
        <v>0</v>
      </c>
      <c r="BF152" s="11">
        <v>0</v>
      </c>
      <c r="BG152" s="11">
        <v>0</v>
      </c>
      <c r="BH152" s="11">
        <v>0</v>
      </c>
      <c r="BI152" s="11">
        <v>0</v>
      </c>
      <c r="BJ152" s="11">
        <v>0</v>
      </c>
      <c r="BK152" s="11">
        <v>0</v>
      </c>
      <c r="BL152" s="11">
        <v>0</v>
      </c>
      <c r="BM152" s="11">
        <v>0</v>
      </c>
      <c r="BN152" s="11">
        <v>0</v>
      </c>
      <c r="BO152" s="11">
        <v>0</v>
      </c>
      <c r="BP152" s="11">
        <v>0</v>
      </c>
      <c r="BQ152" s="11">
        <v>0</v>
      </c>
      <c r="BR152" s="11">
        <v>0</v>
      </c>
      <c r="BS152" s="11">
        <v>0</v>
      </c>
      <c r="BT152" s="11">
        <v>0</v>
      </c>
      <c r="BU152" s="11">
        <v>0</v>
      </c>
      <c r="BV152" s="11">
        <v>0</v>
      </c>
      <c r="BW152" s="11">
        <v>0</v>
      </c>
      <c r="BX152" s="11">
        <v>0</v>
      </c>
      <c r="BY152" s="11">
        <v>0</v>
      </c>
      <c r="BZ152" s="11">
        <v>0</v>
      </c>
      <c r="CA152" s="11">
        <v>0</v>
      </c>
      <c r="CB152" s="11">
        <v>0</v>
      </c>
      <c r="CC152" s="11">
        <v>0</v>
      </c>
      <c r="CD152" s="11">
        <v>0</v>
      </c>
      <c r="CE152" s="11">
        <v>0</v>
      </c>
      <c r="CF152" s="11">
        <v>0</v>
      </c>
      <c r="CG152" s="11">
        <v>0</v>
      </c>
      <c r="CH152" s="11">
        <v>0</v>
      </c>
      <c r="CI152" s="11">
        <v>0</v>
      </c>
      <c r="CJ152" s="11">
        <v>0</v>
      </c>
      <c r="CK152" s="11">
        <v>0</v>
      </c>
      <c r="CL152" s="11">
        <v>0</v>
      </c>
      <c r="CM152" s="11">
        <v>0</v>
      </c>
      <c r="CN152" s="11">
        <v>0</v>
      </c>
      <c r="CO152" s="11">
        <v>0</v>
      </c>
      <c r="CP152" s="11">
        <v>0</v>
      </c>
      <c r="CQ152" s="11">
        <v>0</v>
      </c>
      <c r="CR152" s="11">
        <v>0</v>
      </c>
      <c r="CS152" t="str">
        <f>IFERROR(INDEX('Initiative Summary'!$C$5:$C$25,MATCH($A152,'Initiative Summary'!$A$5:$A$25,0)),"")</f>
        <v>Northpeak Region</v>
      </c>
    </row>
    <row r="153" spans="1:97" ht="36" x14ac:dyDescent="0.25">
      <c r="A153" s="6" t="s">
        <v>699</v>
      </c>
      <c r="B153" s="7" t="s">
        <v>698</v>
      </c>
      <c r="C153" s="8" t="s">
        <v>234</v>
      </c>
      <c r="D153" s="8" t="s">
        <v>195</v>
      </c>
      <c r="E153" s="8" t="s">
        <v>206</v>
      </c>
      <c r="F153" s="8" t="s">
        <v>197</v>
      </c>
      <c r="G153" s="8"/>
      <c r="H153" s="8"/>
      <c r="I153" s="8"/>
      <c r="J153" s="8"/>
      <c r="K153" s="7"/>
      <c r="L153" s="8" t="s">
        <v>749</v>
      </c>
      <c r="M153" s="8" t="s">
        <v>199</v>
      </c>
      <c r="N153" s="21">
        <v>100</v>
      </c>
      <c r="O153" s="8" t="b">
        <v>0</v>
      </c>
      <c r="P153" s="8" t="s">
        <v>201</v>
      </c>
      <c r="Q153" s="8" t="s">
        <v>210</v>
      </c>
      <c r="R153" s="8" t="s">
        <v>210</v>
      </c>
      <c r="S153" s="8">
        <v>0</v>
      </c>
      <c r="T153" s="21">
        <v>0.3</v>
      </c>
      <c r="U153" s="21">
        <v>0.3</v>
      </c>
      <c r="V153" s="21">
        <v>0.3</v>
      </c>
      <c r="W153" s="21">
        <v>0.3</v>
      </c>
      <c r="X153" s="8">
        <v>0</v>
      </c>
      <c r="Y153" s="8">
        <v>0</v>
      </c>
      <c r="Z153" s="8">
        <v>0</v>
      </c>
      <c r="AA153" s="8">
        <v>0</v>
      </c>
      <c r="AB153" s="8">
        <v>0</v>
      </c>
      <c r="AC153" s="8">
        <v>0</v>
      </c>
      <c r="AD153" s="8">
        <v>0</v>
      </c>
      <c r="AE153" s="8">
        <v>0</v>
      </c>
      <c r="AF153" s="8">
        <v>0</v>
      </c>
      <c r="AG153" s="8">
        <v>0</v>
      </c>
      <c r="AH153" s="8">
        <v>0</v>
      </c>
      <c r="AI153" s="8">
        <v>0</v>
      </c>
      <c r="AJ153" s="21">
        <v>0</v>
      </c>
      <c r="AK153" s="21">
        <v>0</v>
      </c>
      <c r="AL153" s="21">
        <v>0</v>
      </c>
      <c r="AM153" s="21">
        <v>0</v>
      </c>
      <c r="AN153" s="21">
        <v>0</v>
      </c>
      <c r="AO153" s="21">
        <v>0</v>
      </c>
      <c r="AP153" s="21">
        <v>0</v>
      </c>
      <c r="AQ153" s="21">
        <v>0.06</v>
      </c>
      <c r="AR153" s="21">
        <v>0.06</v>
      </c>
      <c r="AS153" s="21">
        <v>0.06</v>
      </c>
      <c r="AT153" s="21">
        <v>0.06</v>
      </c>
      <c r="AU153" s="21">
        <v>0.06</v>
      </c>
      <c r="AV153" s="21">
        <v>2.4999999999999998E-2</v>
      </c>
      <c r="AW153" s="21">
        <v>2.4999999999999998E-2</v>
      </c>
      <c r="AX153" s="21">
        <v>2.4999999999999998E-2</v>
      </c>
      <c r="AY153" s="21">
        <v>2.4999999999999998E-2</v>
      </c>
      <c r="AZ153" s="21">
        <v>2.4999999999999998E-2</v>
      </c>
      <c r="BA153" s="21">
        <v>2.4999999999999998E-2</v>
      </c>
      <c r="BB153" s="21">
        <v>2.4999999999999998E-2</v>
      </c>
      <c r="BC153" s="21">
        <v>2.4999999999999998E-2</v>
      </c>
      <c r="BD153" s="21">
        <v>2.4999999999999998E-2</v>
      </c>
      <c r="BE153" s="21">
        <v>2.4999999999999998E-2</v>
      </c>
      <c r="BF153" s="21">
        <v>2.4999999999999998E-2</v>
      </c>
      <c r="BG153" s="21">
        <v>2.4999999999999998E-2</v>
      </c>
      <c r="BH153" s="21">
        <v>2.4999999999999998E-2</v>
      </c>
      <c r="BI153" s="21">
        <v>2.4999999999999998E-2</v>
      </c>
      <c r="BJ153" s="21">
        <v>2.4999999999999998E-2</v>
      </c>
      <c r="BK153" s="21">
        <v>2.4999999999999998E-2</v>
      </c>
      <c r="BL153" s="21">
        <v>2.4999999999999998E-2</v>
      </c>
      <c r="BM153" s="21">
        <v>2.4999999999999998E-2</v>
      </c>
      <c r="BN153" s="21">
        <v>2.4999999999999998E-2</v>
      </c>
      <c r="BO153" s="21">
        <v>2.4999999999999998E-2</v>
      </c>
      <c r="BP153" s="21">
        <v>2.4999999999999998E-2</v>
      </c>
      <c r="BQ153" s="21">
        <v>2.4999999999999998E-2</v>
      </c>
      <c r="BR153" s="21">
        <v>2.4999999999999998E-2</v>
      </c>
      <c r="BS153" s="21">
        <v>2.4999999999999998E-2</v>
      </c>
      <c r="BT153" s="21">
        <v>2.4999999999999998E-2</v>
      </c>
      <c r="BU153" s="21">
        <v>2.4999999999999998E-2</v>
      </c>
      <c r="BV153" s="21">
        <v>2.4999999999999998E-2</v>
      </c>
      <c r="BW153" s="21">
        <v>2.4999999999999998E-2</v>
      </c>
      <c r="BX153" s="21">
        <v>2.4999999999999998E-2</v>
      </c>
      <c r="BY153" s="21">
        <v>2.4999999999999998E-2</v>
      </c>
      <c r="BZ153" s="21">
        <v>2.4999999999999998E-2</v>
      </c>
      <c r="CA153" s="21">
        <v>2.4999999999999998E-2</v>
      </c>
      <c r="CB153" s="21">
        <v>2.4999999999999998E-2</v>
      </c>
      <c r="CC153" s="21">
        <v>2.4999999999999998E-2</v>
      </c>
      <c r="CD153" s="21">
        <v>2.4999999999999998E-2</v>
      </c>
      <c r="CE153" s="21">
        <v>2.4999999999999998E-2</v>
      </c>
      <c r="CF153" s="8">
        <v>0.3</v>
      </c>
      <c r="CG153" s="8">
        <v>2.4999999999999998E-2</v>
      </c>
      <c r="CH153" s="8">
        <v>2.4999999999999998E-2</v>
      </c>
      <c r="CI153" s="8">
        <v>2.4999999999999998E-2</v>
      </c>
      <c r="CJ153" s="8">
        <v>2.4999999999999998E-2</v>
      </c>
      <c r="CK153" s="8">
        <v>2.4999999999999998E-2</v>
      </c>
      <c r="CL153" s="8">
        <v>2.4999999999999998E-2</v>
      </c>
      <c r="CM153" s="8">
        <v>2.4999999999999998E-2</v>
      </c>
      <c r="CN153" s="8">
        <v>2.4999999999999998E-2</v>
      </c>
      <c r="CO153" s="8">
        <v>2.4999999999999998E-2</v>
      </c>
      <c r="CP153" s="8">
        <v>2.4999999999999998E-2</v>
      </c>
      <c r="CQ153" s="8">
        <v>2.4999999999999998E-2</v>
      </c>
      <c r="CR153" s="8">
        <v>2.4999999999999998E-2</v>
      </c>
      <c r="CS153" t="str">
        <f>IFERROR(INDEX('Initiative Summary'!$C$5:$C$25,MATCH($A153,'Initiative Summary'!$A$5:$A$25,0)),"")</f>
        <v>Northpeak Region</v>
      </c>
    </row>
    <row r="154" spans="1:97" ht="36" x14ac:dyDescent="0.25">
      <c r="A154" s="6" t="s">
        <v>699</v>
      </c>
      <c r="B154" s="10" t="s">
        <v>698</v>
      </c>
      <c r="C154" s="11" t="s">
        <v>234</v>
      </c>
      <c r="D154" s="11" t="s">
        <v>203</v>
      </c>
      <c r="E154" s="11" t="s">
        <v>206</v>
      </c>
      <c r="F154" s="11" t="s">
        <v>197</v>
      </c>
      <c r="G154" s="11"/>
      <c r="H154" s="11"/>
      <c r="I154" s="11"/>
      <c r="J154" s="11"/>
      <c r="K154" s="10"/>
      <c r="L154" s="11" t="s">
        <v>749</v>
      </c>
      <c r="M154" s="11" t="s">
        <v>199</v>
      </c>
      <c r="N154" s="20">
        <v>100</v>
      </c>
      <c r="O154" s="11" t="b">
        <v>0</v>
      </c>
      <c r="P154" s="11" t="s">
        <v>201</v>
      </c>
      <c r="Q154" s="11" t="s">
        <v>210</v>
      </c>
      <c r="R154" s="11" t="s">
        <v>210</v>
      </c>
      <c r="S154" s="11">
        <v>0</v>
      </c>
      <c r="T154" s="20">
        <v>0.625</v>
      </c>
      <c r="U154" s="20">
        <v>0.625</v>
      </c>
      <c r="V154" s="20">
        <v>0.625</v>
      </c>
      <c r="W154" s="20">
        <v>0.625</v>
      </c>
      <c r="X154" s="11">
        <v>0</v>
      </c>
      <c r="Y154" s="11">
        <v>0</v>
      </c>
      <c r="Z154" s="11">
        <v>0</v>
      </c>
      <c r="AA154" s="11">
        <v>0</v>
      </c>
      <c r="AB154" s="11">
        <v>0</v>
      </c>
      <c r="AC154" s="11">
        <v>0</v>
      </c>
      <c r="AD154" s="11">
        <v>0</v>
      </c>
      <c r="AE154" s="11">
        <v>0</v>
      </c>
      <c r="AF154" s="11">
        <v>0</v>
      </c>
      <c r="AG154" s="11">
        <v>0</v>
      </c>
      <c r="AH154" s="11">
        <v>0</v>
      </c>
      <c r="AI154" s="11">
        <v>0</v>
      </c>
      <c r="AJ154" s="20">
        <v>0</v>
      </c>
      <c r="AK154" s="20">
        <v>0</v>
      </c>
      <c r="AL154" s="20">
        <v>0</v>
      </c>
      <c r="AM154" s="20">
        <v>0</v>
      </c>
      <c r="AN154" s="20">
        <v>0</v>
      </c>
      <c r="AO154" s="20">
        <v>0</v>
      </c>
      <c r="AP154" s="20">
        <v>0</v>
      </c>
      <c r="AQ154" s="20">
        <v>0.125</v>
      </c>
      <c r="AR154" s="20">
        <v>0.125</v>
      </c>
      <c r="AS154" s="20">
        <v>0.125</v>
      </c>
      <c r="AT154" s="20">
        <v>0.125</v>
      </c>
      <c r="AU154" s="20">
        <v>0.125</v>
      </c>
      <c r="AV154" s="20">
        <v>5.2083333333333336E-2</v>
      </c>
      <c r="AW154" s="20">
        <v>5.2083333333333336E-2</v>
      </c>
      <c r="AX154" s="20">
        <v>5.2083333333333336E-2</v>
      </c>
      <c r="AY154" s="20">
        <v>5.2083333333333336E-2</v>
      </c>
      <c r="AZ154" s="20">
        <v>5.2083333333333336E-2</v>
      </c>
      <c r="BA154" s="20">
        <v>5.2083333333333336E-2</v>
      </c>
      <c r="BB154" s="20">
        <v>5.2083333333333336E-2</v>
      </c>
      <c r="BC154" s="20">
        <v>5.2083333333333336E-2</v>
      </c>
      <c r="BD154" s="20">
        <v>5.2083333333333336E-2</v>
      </c>
      <c r="BE154" s="20">
        <v>5.2083333333333336E-2</v>
      </c>
      <c r="BF154" s="20">
        <v>5.2083333333333336E-2</v>
      </c>
      <c r="BG154" s="20">
        <v>5.2083333333333336E-2</v>
      </c>
      <c r="BH154" s="20">
        <v>5.2083333333333336E-2</v>
      </c>
      <c r="BI154" s="20">
        <v>5.2083333333333336E-2</v>
      </c>
      <c r="BJ154" s="20">
        <v>5.2083333333333336E-2</v>
      </c>
      <c r="BK154" s="20">
        <v>5.2083333333333336E-2</v>
      </c>
      <c r="BL154" s="20">
        <v>5.2083333333333336E-2</v>
      </c>
      <c r="BM154" s="20">
        <v>5.2083333333333336E-2</v>
      </c>
      <c r="BN154" s="20">
        <v>5.2083333333333336E-2</v>
      </c>
      <c r="BO154" s="20">
        <v>5.2083333333333336E-2</v>
      </c>
      <c r="BP154" s="20">
        <v>5.2083333333333336E-2</v>
      </c>
      <c r="BQ154" s="20">
        <v>5.2083333333333336E-2</v>
      </c>
      <c r="BR154" s="20">
        <v>5.2083333333333336E-2</v>
      </c>
      <c r="BS154" s="20">
        <v>5.2083333333333336E-2</v>
      </c>
      <c r="BT154" s="20">
        <v>5.2083333333333336E-2</v>
      </c>
      <c r="BU154" s="20">
        <v>5.2083333333333336E-2</v>
      </c>
      <c r="BV154" s="20">
        <v>5.2083333333333336E-2</v>
      </c>
      <c r="BW154" s="20">
        <v>5.2083333333333336E-2</v>
      </c>
      <c r="BX154" s="20">
        <v>5.2083333333333336E-2</v>
      </c>
      <c r="BY154" s="20">
        <v>5.2083333333333336E-2</v>
      </c>
      <c r="BZ154" s="20">
        <v>5.2083333333333336E-2</v>
      </c>
      <c r="CA154" s="20">
        <v>5.2083333333333336E-2</v>
      </c>
      <c r="CB154" s="20">
        <v>5.2083333333333336E-2</v>
      </c>
      <c r="CC154" s="20">
        <v>5.2083333333333336E-2</v>
      </c>
      <c r="CD154" s="20">
        <v>5.2083333333333336E-2</v>
      </c>
      <c r="CE154" s="20">
        <v>5.2083333333333336E-2</v>
      </c>
      <c r="CF154" s="11">
        <v>0.625</v>
      </c>
      <c r="CG154" s="11">
        <v>5.2083333333333336E-2</v>
      </c>
      <c r="CH154" s="11">
        <v>5.2083333333333336E-2</v>
      </c>
      <c r="CI154" s="11">
        <v>5.2083333333333336E-2</v>
      </c>
      <c r="CJ154" s="11">
        <v>5.2083333333333336E-2</v>
      </c>
      <c r="CK154" s="11">
        <v>5.2083333333333336E-2</v>
      </c>
      <c r="CL154" s="11">
        <v>5.2083333333333336E-2</v>
      </c>
      <c r="CM154" s="11">
        <v>5.2083333333333336E-2</v>
      </c>
      <c r="CN154" s="11">
        <v>5.2083333333333336E-2</v>
      </c>
      <c r="CO154" s="11">
        <v>5.2083333333333336E-2</v>
      </c>
      <c r="CP154" s="11">
        <v>5.2083333333333336E-2</v>
      </c>
      <c r="CQ154" s="11">
        <v>5.2083333333333336E-2</v>
      </c>
      <c r="CR154" s="11">
        <v>5.2083333333333336E-2</v>
      </c>
      <c r="CS154" t="str">
        <f>IFERROR(INDEX('Initiative Summary'!$C$5:$C$25,MATCH($A154,'Initiative Summary'!$A$5:$A$25,0)),"")</f>
        <v>Northpeak Region</v>
      </c>
    </row>
    <row r="155" spans="1:97" ht="36" x14ac:dyDescent="0.25">
      <c r="A155" s="6" t="s">
        <v>699</v>
      </c>
      <c r="B155" s="7" t="s">
        <v>698</v>
      </c>
      <c r="C155" s="8" t="s">
        <v>234</v>
      </c>
      <c r="D155" s="8" t="s">
        <v>204</v>
      </c>
      <c r="E155" s="8" t="s">
        <v>206</v>
      </c>
      <c r="F155" s="8" t="s">
        <v>197</v>
      </c>
      <c r="G155" s="8"/>
      <c r="H155" s="8"/>
      <c r="I155" s="8"/>
      <c r="J155" s="8"/>
      <c r="K155" s="7"/>
      <c r="L155" s="8" t="s">
        <v>749</v>
      </c>
      <c r="M155" s="8" t="s">
        <v>199</v>
      </c>
      <c r="N155" s="21">
        <v>100</v>
      </c>
      <c r="O155" s="8" t="b">
        <v>0</v>
      </c>
      <c r="P155" s="8" t="s">
        <v>201</v>
      </c>
      <c r="Q155" s="8" t="s">
        <v>210</v>
      </c>
      <c r="R155" s="8" t="s">
        <v>210</v>
      </c>
      <c r="S155" s="8"/>
      <c r="T155" s="8"/>
      <c r="U155" s="8"/>
      <c r="V155" s="8"/>
      <c r="W155" s="8"/>
      <c r="X155" s="8">
        <v>0</v>
      </c>
      <c r="Y155" s="8">
        <v>0</v>
      </c>
      <c r="Z155" s="8">
        <v>0</v>
      </c>
      <c r="AA155" s="8">
        <v>0</v>
      </c>
      <c r="AB155" s="8">
        <v>0</v>
      </c>
      <c r="AC155" s="8">
        <v>0</v>
      </c>
      <c r="AD155" s="8">
        <v>0</v>
      </c>
      <c r="AE155" s="8">
        <v>0</v>
      </c>
      <c r="AF155" s="8">
        <v>0</v>
      </c>
      <c r="AG155" s="8">
        <v>0</v>
      </c>
      <c r="AH155" s="8">
        <v>0</v>
      </c>
      <c r="AI155" s="8">
        <v>0</v>
      </c>
      <c r="AJ155" s="8">
        <v>0</v>
      </c>
      <c r="AK155" s="8">
        <v>0</v>
      </c>
      <c r="AL155" s="8">
        <v>0</v>
      </c>
      <c r="AM155" s="8">
        <v>0</v>
      </c>
      <c r="AN155" s="8">
        <v>0</v>
      </c>
      <c r="AO155" s="8">
        <v>0</v>
      </c>
      <c r="AP155" s="8">
        <v>0</v>
      </c>
      <c r="AQ155" s="8">
        <v>0</v>
      </c>
      <c r="AR155" s="8">
        <v>0</v>
      </c>
      <c r="AS155" s="8">
        <v>0</v>
      </c>
      <c r="AT155" s="8">
        <v>0</v>
      </c>
      <c r="AU155" s="8">
        <v>0</v>
      </c>
      <c r="AV155" s="8">
        <v>0</v>
      </c>
      <c r="AW155" s="8">
        <v>0</v>
      </c>
      <c r="AX155" s="8">
        <v>0</v>
      </c>
      <c r="AY155" s="8">
        <v>0</v>
      </c>
      <c r="AZ155" s="8">
        <v>0</v>
      </c>
      <c r="BA155" s="8">
        <v>0</v>
      </c>
      <c r="BB155" s="8">
        <v>0</v>
      </c>
      <c r="BC155" s="8">
        <v>0</v>
      </c>
      <c r="BD155" s="8">
        <v>0</v>
      </c>
      <c r="BE155" s="8">
        <v>0</v>
      </c>
      <c r="BF155" s="8">
        <v>0</v>
      </c>
      <c r="BG155" s="8">
        <v>0</v>
      </c>
      <c r="BH155" s="8">
        <v>0</v>
      </c>
      <c r="BI155" s="8">
        <v>0</v>
      </c>
      <c r="BJ155" s="8">
        <v>0</v>
      </c>
      <c r="BK155" s="8">
        <v>0</v>
      </c>
      <c r="BL155" s="8">
        <v>0</v>
      </c>
      <c r="BM155" s="8">
        <v>0</v>
      </c>
      <c r="BN155" s="8">
        <v>0</v>
      </c>
      <c r="BO155" s="8">
        <v>0</v>
      </c>
      <c r="BP155" s="8">
        <v>0</v>
      </c>
      <c r="BQ155" s="8">
        <v>0</v>
      </c>
      <c r="BR155" s="8">
        <v>0</v>
      </c>
      <c r="BS155" s="8">
        <v>0</v>
      </c>
      <c r="BT155" s="8">
        <v>0</v>
      </c>
      <c r="BU155" s="8">
        <v>0</v>
      </c>
      <c r="BV155" s="8">
        <v>0</v>
      </c>
      <c r="BW155" s="8">
        <v>0</v>
      </c>
      <c r="BX155" s="8">
        <v>0</v>
      </c>
      <c r="BY155" s="8">
        <v>0</v>
      </c>
      <c r="BZ155" s="8">
        <v>0</v>
      </c>
      <c r="CA155" s="8">
        <v>0</v>
      </c>
      <c r="CB155" s="8">
        <v>0</v>
      </c>
      <c r="CC155" s="8">
        <v>0</v>
      </c>
      <c r="CD155" s="8">
        <v>0</v>
      </c>
      <c r="CE155" s="8">
        <v>0</v>
      </c>
      <c r="CF155" s="8">
        <v>0</v>
      </c>
      <c r="CG155" s="8">
        <v>0</v>
      </c>
      <c r="CH155" s="8">
        <v>0</v>
      </c>
      <c r="CI155" s="8">
        <v>0</v>
      </c>
      <c r="CJ155" s="8">
        <v>0</v>
      </c>
      <c r="CK155" s="8">
        <v>0</v>
      </c>
      <c r="CL155" s="8">
        <v>0</v>
      </c>
      <c r="CM155" s="8">
        <v>0</v>
      </c>
      <c r="CN155" s="8">
        <v>0</v>
      </c>
      <c r="CO155" s="8">
        <v>0</v>
      </c>
      <c r="CP155" s="8">
        <v>0</v>
      </c>
      <c r="CQ155" s="8">
        <v>0</v>
      </c>
      <c r="CR155" s="8">
        <v>0</v>
      </c>
      <c r="CS155" t="str">
        <f>IFERROR(INDEX('Initiative Summary'!$C$5:$C$25,MATCH($A155,'Initiative Summary'!$A$5:$A$25,0)),"")</f>
        <v>Northpeak Region</v>
      </c>
    </row>
    <row r="156" spans="1:97" x14ac:dyDescent="0.25">
      <c r="A156" s="6" t="s">
        <v>703</v>
      </c>
      <c r="B156" s="10" t="s">
        <v>702</v>
      </c>
      <c r="C156" s="11" t="s">
        <v>194</v>
      </c>
      <c r="D156" s="11" t="s">
        <v>195</v>
      </c>
      <c r="E156" s="11" t="s">
        <v>196</v>
      </c>
      <c r="F156" s="11" t="s">
        <v>197</v>
      </c>
      <c r="G156" s="11"/>
      <c r="H156" s="11"/>
      <c r="I156" s="11"/>
      <c r="J156" s="11"/>
      <c r="K156" s="10"/>
      <c r="L156" s="11" t="s">
        <v>750</v>
      </c>
      <c r="M156" s="11" t="s">
        <v>199</v>
      </c>
      <c r="N156" s="20">
        <v>0</v>
      </c>
      <c r="O156" s="11" t="b">
        <v>0</v>
      </c>
      <c r="P156" s="11" t="s">
        <v>201</v>
      </c>
      <c r="Q156" s="11" t="s">
        <v>202</v>
      </c>
      <c r="R156" s="11" t="s">
        <v>202</v>
      </c>
      <c r="S156" s="11">
        <v>0</v>
      </c>
      <c r="T156" s="20">
        <v>0</v>
      </c>
      <c r="U156" s="20">
        <v>0</v>
      </c>
      <c r="V156" s="20">
        <v>0</v>
      </c>
      <c r="W156" s="20">
        <v>0</v>
      </c>
      <c r="X156" s="11">
        <v>0</v>
      </c>
      <c r="Y156" s="11">
        <v>0</v>
      </c>
      <c r="Z156" s="11">
        <v>0</v>
      </c>
      <c r="AA156" s="11">
        <v>0</v>
      </c>
      <c r="AB156" s="11">
        <v>0</v>
      </c>
      <c r="AC156" s="11">
        <v>0</v>
      </c>
      <c r="AD156" s="11">
        <v>0</v>
      </c>
      <c r="AE156" s="11">
        <v>0</v>
      </c>
      <c r="AF156" s="11">
        <v>0</v>
      </c>
      <c r="AG156" s="11">
        <v>0</v>
      </c>
      <c r="AH156" s="11">
        <v>0</v>
      </c>
      <c r="AI156" s="11">
        <v>0</v>
      </c>
      <c r="AJ156" s="20">
        <v>0</v>
      </c>
      <c r="AK156" s="20">
        <v>0</v>
      </c>
      <c r="AL156" s="20">
        <v>0</v>
      </c>
      <c r="AM156" s="20">
        <v>0</v>
      </c>
      <c r="AN156" s="20">
        <v>0</v>
      </c>
      <c r="AO156" s="20">
        <v>0</v>
      </c>
      <c r="AP156" s="20">
        <v>0</v>
      </c>
      <c r="AQ156" s="20">
        <v>0</v>
      </c>
      <c r="AR156" s="20">
        <v>0</v>
      </c>
      <c r="AS156" s="20">
        <v>0</v>
      </c>
      <c r="AT156" s="20">
        <v>0</v>
      </c>
      <c r="AU156" s="20">
        <v>0</v>
      </c>
      <c r="AV156" s="20">
        <v>0</v>
      </c>
      <c r="AW156" s="20">
        <v>0</v>
      </c>
      <c r="AX156" s="20">
        <v>0</v>
      </c>
      <c r="AY156" s="20">
        <v>0</v>
      </c>
      <c r="AZ156" s="20">
        <v>0</v>
      </c>
      <c r="BA156" s="20">
        <v>0</v>
      </c>
      <c r="BB156" s="20">
        <v>0</v>
      </c>
      <c r="BC156" s="20">
        <v>0</v>
      </c>
      <c r="BD156" s="20">
        <v>0</v>
      </c>
      <c r="BE156" s="20">
        <v>0</v>
      </c>
      <c r="BF156" s="20">
        <v>0</v>
      </c>
      <c r="BG156" s="20">
        <v>0</v>
      </c>
      <c r="BH156" s="20">
        <v>0</v>
      </c>
      <c r="BI156" s="20">
        <v>0</v>
      </c>
      <c r="BJ156" s="20">
        <v>0</v>
      </c>
      <c r="BK156" s="20">
        <v>0</v>
      </c>
      <c r="BL156" s="20">
        <v>0</v>
      </c>
      <c r="BM156" s="20">
        <v>0</v>
      </c>
      <c r="BN156" s="20">
        <v>0</v>
      </c>
      <c r="BO156" s="20">
        <v>0</v>
      </c>
      <c r="BP156" s="20">
        <v>0</v>
      </c>
      <c r="BQ156" s="20">
        <v>0</v>
      </c>
      <c r="BR156" s="20">
        <v>0</v>
      </c>
      <c r="BS156" s="20">
        <v>0</v>
      </c>
      <c r="BT156" s="20">
        <v>0</v>
      </c>
      <c r="BU156" s="20">
        <v>0</v>
      </c>
      <c r="BV156" s="20">
        <v>0</v>
      </c>
      <c r="BW156" s="20">
        <v>0</v>
      </c>
      <c r="BX156" s="20">
        <v>0</v>
      </c>
      <c r="BY156" s="20">
        <v>0</v>
      </c>
      <c r="BZ156" s="20">
        <v>0</v>
      </c>
      <c r="CA156" s="20">
        <v>0</v>
      </c>
      <c r="CB156" s="20">
        <v>0</v>
      </c>
      <c r="CC156" s="20">
        <v>0</v>
      </c>
      <c r="CD156" s="20">
        <v>0</v>
      </c>
      <c r="CE156" s="20">
        <v>0</v>
      </c>
      <c r="CF156" s="11">
        <v>0</v>
      </c>
      <c r="CG156" s="11">
        <v>0</v>
      </c>
      <c r="CH156" s="11">
        <v>0</v>
      </c>
      <c r="CI156" s="11">
        <v>0</v>
      </c>
      <c r="CJ156" s="11">
        <v>0</v>
      </c>
      <c r="CK156" s="11">
        <v>0</v>
      </c>
      <c r="CL156" s="11">
        <v>0</v>
      </c>
      <c r="CM156" s="11">
        <v>0</v>
      </c>
      <c r="CN156" s="11">
        <v>0</v>
      </c>
      <c r="CO156" s="11">
        <v>0</v>
      </c>
      <c r="CP156" s="11">
        <v>0</v>
      </c>
      <c r="CQ156" s="11">
        <v>0</v>
      </c>
      <c r="CR156" s="11">
        <v>0</v>
      </c>
      <c r="CS156" t="str">
        <f>IFERROR(INDEX('Initiative Summary'!$C$5:$C$25,MATCH($A156,'Initiative Summary'!$A$5:$A$25,0)),"")</f>
        <v>Southgate Region</v>
      </c>
    </row>
    <row r="157" spans="1:97" x14ac:dyDescent="0.25">
      <c r="A157" s="6" t="s">
        <v>703</v>
      </c>
      <c r="B157" s="7" t="s">
        <v>702</v>
      </c>
      <c r="C157" s="8" t="s">
        <v>194</v>
      </c>
      <c r="D157" s="8" t="s">
        <v>203</v>
      </c>
      <c r="E157" s="8" t="s">
        <v>196</v>
      </c>
      <c r="F157" s="8" t="s">
        <v>197</v>
      </c>
      <c r="G157" s="8"/>
      <c r="H157" s="8"/>
      <c r="I157" s="8"/>
      <c r="J157" s="8"/>
      <c r="K157" s="7"/>
      <c r="L157" s="8" t="s">
        <v>750</v>
      </c>
      <c r="M157" s="8" t="s">
        <v>199</v>
      </c>
      <c r="N157" s="21">
        <v>0</v>
      </c>
      <c r="O157" s="8" t="b">
        <v>0</v>
      </c>
      <c r="P157" s="8" t="s">
        <v>201</v>
      </c>
      <c r="Q157" s="8" t="s">
        <v>202</v>
      </c>
      <c r="R157" s="8" t="s">
        <v>202</v>
      </c>
      <c r="S157" s="8">
        <v>0</v>
      </c>
      <c r="T157" s="21">
        <v>0</v>
      </c>
      <c r="U157" s="21">
        <v>0</v>
      </c>
      <c r="V157" s="21">
        <v>0</v>
      </c>
      <c r="W157" s="21">
        <v>0</v>
      </c>
      <c r="X157" s="8">
        <v>0</v>
      </c>
      <c r="Y157" s="8">
        <v>0</v>
      </c>
      <c r="Z157" s="8">
        <v>0</v>
      </c>
      <c r="AA157" s="8">
        <v>0</v>
      </c>
      <c r="AB157" s="8">
        <v>0</v>
      </c>
      <c r="AC157" s="8">
        <v>0</v>
      </c>
      <c r="AD157" s="8">
        <v>0</v>
      </c>
      <c r="AE157" s="8">
        <v>0</v>
      </c>
      <c r="AF157" s="8">
        <v>0</v>
      </c>
      <c r="AG157" s="8">
        <v>0</v>
      </c>
      <c r="AH157" s="8">
        <v>0</v>
      </c>
      <c r="AI157" s="8">
        <v>0</v>
      </c>
      <c r="AJ157" s="21">
        <v>0</v>
      </c>
      <c r="AK157" s="21">
        <v>0</v>
      </c>
      <c r="AL157" s="21">
        <v>0</v>
      </c>
      <c r="AM157" s="21">
        <v>0</v>
      </c>
      <c r="AN157" s="21">
        <v>0</v>
      </c>
      <c r="AO157" s="21">
        <v>0</v>
      </c>
      <c r="AP157" s="21">
        <v>0</v>
      </c>
      <c r="AQ157" s="21">
        <v>0</v>
      </c>
      <c r="AR157" s="21">
        <v>0</v>
      </c>
      <c r="AS157" s="21">
        <v>0</v>
      </c>
      <c r="AT157" s="21">
        <v>0</v>
      </c>
      <c r="AU157" s="21">
        <v>0</v>
      </c>
      <c r="AV157" s="21">
        <v>0</v>
      </c>
      <c r="AW157" s="21">
        <v>0</v>
      </c>
      <c r="AX157" s="21">
        <v>0</v>
      </c>
      <c r="AY157" s="21">
        <v>0</v>
      </c>
      <c r="AZ157" s="21">
        <v>0</v>
      </c>
      <c r="BA157" s="21">
        <v>0</v>
      </c>
      <c r="BB157" s="21">
        <v>0</v>
      </c>
      <c r="BC157" s="21">
        <v>0</v>
      </c>
      <c r="BD157" s="21">
        <v>0</v>
      </c>
      <c r="BE157" s="21">
        <v>0</v>
      </c>
      <c r="BF157" s="21">
        <v>0</v>
      </c>
      <c r="BG157" s="21">
        <v>0</v>
      </c>
      <c r="BH157" s="21">
        <v>0</v>
      </c>
      <c r="BI157" s="21">
        <v>0</v>
      </c>
      <c r="BJ157" s="21">
        <v>0</v>
      </c>
      <c r="BK157" s="21">
        <v>0</v>
      </c>
      <c r="BL157" s="21">
        <v>0</v>
      </c>
      <c r="BM157" s="21">
        <v>0</v>
      </c>
      <c r="BN157" s="21">
        <v>0</v>
      </c>
      <c r="BO157" s="21">
        <v>0</v>
      </c>
      <c r="BP157" s="21">
        <v>0</v>
      </c>
      <c r="BQ157" s="21">
        <v>0</v>
      </c>
      <c r="BR157" s="21">
        <v>0</v>
      </c>
      <c r="BS157" s="21">
        <v>0</v>
      </c>
      <c r="BT157" s="21">
        <v>0</v>
      </c>
      <c r="BU157" s="21">
        <v>0</v>
      </c>
      <c r="BV157" s="21">
        <v>0</v>
      </c>
      <c r="BW157" s="21">
        <v>0</v>
      </c>
      <c r="BX157" s="21">
        <v>0</v>
      </c>
      <c r="BY157" s="21">
        <v>0</v>
      </c>
      <c r="BZ157" s="21">
        <v>0</v>
      </c>
      <c r="CA157" s="21">
        <v>0</v>
      </c>
      <c r="CB157" s="21">
        <v>0</v>
      </c>
      <c r="CC157" s="21">
        <v>0</v>
      </c>
      <c r="CD157" s="21">
        <v>0</v>
      </c>
      <c r="CE157" s="21">
        <v>0</v>
      </c>
      <c r="CF157" s="8">
        <v>0</v>
      </c>
      <c r="CG157" s="8">
        <v>0</v>
      </c>
      <c r="CH157" s="8">
        <v>0</v>
      </c>
      <c r="CI157" s="8">
        <v>0</v>
      </c>
      <c r="CJ157" s="8">
        <v>0</v>
      </c>
      <c r="CK157" s="8">
        <v>0</v>
      </c>
      <c r="CL157" s="8">
        <v>0</v>
      </c>
      <c r="CM157" s="8">
        <v>0</v>
      </c>
      <c r="CN157" s="8">
        <v>0</v>
      </c>
      <c r="CO157" s="8">
        <v>0</v>
      </c>
      <c r="CP157" s="8">
        <v>0</v>
      </c>
      <c r="CQ157" s="8">
        <v>0</v>
      </c>
      <c r="CR157" s="8">
        <v>0</v>
      </c>
      <c r="CS157" t="str">
        <f>IFERROR(INDEX('Initiative Summary'!$C$5:$C$25,MATCH($A157,'Initiative Summary'!$A$5:$A$25,0)),"")</f>
        <v>Southgate Region</v>
      </c>
    </row>
    <row r="158" spans="1:97" x14ac:dyDescent="0.25">
      <c r="A158" s="6" t="s">
        <v>703</v>
      </c>
      <c r="B158" s="10" t="s">
        <v>702</v>
      </c>
      <c r="C158" s="11" t="s">
        <v>194</v>
      </c>
      <c r="D158" s="11" t="s">
        <v>204</v>
      </c>
      <c r="E158" s="11" t="s">
        <v>196</v>
      </c>
      <c r="F158" s="11" t="s">
        <v>197</v>
      </c>
      <c r="G158" s="11"/>
      <c r="H158" s="11"/>
      <c r="I158" s="11"/>
      <c r="J158" s="11"/>
      <c r="K158" s="10"/>
      <c r="L158" s="11" t="s">
        <v>750</v>
      </c>
      <c r="M158" s="11" t="s">
        <v>199</v>
      </c>
      <c r="N158" s="20">
        <v>0</v>
      </c>
      <c r="O158" s="11" t="b">
        <v>0</v>
      </c>
      <c r="P158" s="11" t="s">
        <v>201</v>
      </c>
      <c r="Q158" s="11" t="s">
        <v>202</v>
      </c>
      <c r="R158" s="11" t="s">
        <v>202</v>
      </c>
      <c r="S158" s="11">
        <v>0</v>
      </c>
      <c r="T158" s="11">
        <v>0</v>
      </c>
      <c r="U158" s="11">
        <v>0</v>
      </c>
      <c r="V158" s="11">
        <v>0</v>
      </c>
      <c r="W158" s="11">
        <v>0</v>
      </c>
      <c r="X158" s="11">
        <v>0</v>
      </c>
      <c r="Y158" s="11">
        <v>0</v>
      </c>
      <c r="Z158" s="11">
        <v>0</v>
      </c>
      <c r="AA158" s="11">
        <v>0</v>
      </c>
      <c r="AB158" s="11">
        <v>0</v>
      </c>
      <c r="AC158" s="11">
        <v>0</v>
      </c>
      <c r="AD158" s="11">
        <v>0</v>
      </c>
      <c r="AE158" s="11">
        <v>0</v>
      </c>
      <c r="AF158" s="11">
        <v>0</v>
      </c>
      <c r="AG158" s="11">
        <v>0</v>
      </c>
      <c r="AH158" s="11">
        <v>0</v>
      </c>
      <c r="AI158" s="11">
        <v>0</v>
      </c>
      <c r="AJ158" s="11">
        <v>0</v>
      </c>
      <c r="AK158" s="11">
        <v>0</v>
      </c>
      <c r="AL158" s="11">
        <v>0</v>
      </c>
      <c r="AM158" s="11">
        <v>0</v>
      </c>
      <c r="AN158" s="11">
        <v>0</v>
      </c>
      <c r="AO158" s="11">
        <v>0</v>
      </c>
      <c r="AP158" s="11">
        <v>0</v>
      </c>
      <c r="AQ158" s="11">
        <v>0</v>
      </c>
      <c r="AR158" s="11">
        <v>0</v>
      </c>
      <c r="AS158" s="11">
        <v>0</v>
      </c>
      <c r="AT158" s="11">
        <v>0</v>
      </c>
      <c r="AU158" s="11">
        <v>0</v>
      </c>
      <c r="AV158" s="11">
        <v>0</v>
      </c>
      <c r="AW158" s="11">
        <v>0</v>
      </c>
      <c r="AX158" s="11">
        <v>0</v>
      </c>
      <c r="AY158" s="11">
        <v>0</v>
      </c>
      <c r="AZ158" s="11">
        <v>0</v>
      </c>
      <c r="BA158" s="11">
        <v>0</v>
      </c>
      <c r="BB158" s="11">
        <v>0</v>
      </c>
      <c r="BC158" s="11">
        <v>0</v>
      </c>
      <c r="BD158" s="11">
        <v>0</v>
      </c>
      <c r="BE158" s="11">
        <v>0</v>
      </c>
      <c r="BF158" s="11">
        <v>0</v>
      </c>
      <c r="BG158" s="11">
        <v>0</v>
      </c>
      <c r="BH158" s="11">
        <v>0</v>
      </c>
      <c r="BI158" s="11">
        <v>0</v>
      </c>
      <c r="BJ158" s="11">
        <v>0</v>
      </c>
      <c r="BK158" s="11">
        <v>0</v>
      </c>
      <c r="BL158" s="11">
        <v>0</v>
      </c>
      <c r="BM158" s="11">
        <v>0</v>
      </c>
      <c r="BN158" s="11">
        <v>0</v>
      </c>
      <c r="BO158" s="11">
        <v>0</v>
      </c>
      <c r="BP158" s="11">
        <v>0</v>
      </c>
      <c r="BQ158" s="11">
        <v>0</v>
      </c>
      <c r="BR158" s="11">
        <v>0</v>
      </c>
      <c r="BS158" s="11">
        <v>0</v>
      </c>
      <c r="BT158" s="11">
        <v>0</v>
      </c>
      <c r="BU158" s="11">
        <v>0</v>
      </c>
      <c r="BV158" s="11">
        <v>0</v>
      </c>
      <c r="BW158" s="11">
        <v>0</v>
      </c>
      <c r="BX158" s="11">
        <v>0</v>
      </c>
      <c r="BY158" s="11">
        <v>0</v>
      </c>
      <c r="BZ158" s="11">
        <v>0</v>
      </c>
      <c r="CA158" s="11">
        <v>0</v>
      </c>
      <c r="CB158" s="11">
        <v>0</v>
      </c>
      <c r="CC158" s="11">
        <v>0</v>
      </c>
      <c r="CD158" s="11">
        <v>0</v>
      </c>
      <c r="CE158" s="11">
        <v>0</v>
      </c>
      <c r="CF158" s="11">
        <v>0</v>
      </c>
      <c r="CG158" s="11">
        <v>0</v>
      </c>
      <c r="CH158" s="11">
        <v>0</v>
      </c>
      <c r="CI158" s="11">
        <v>0</v>
      </c>
      <c r="CJ158" s="11">
        <v>0</v>
      </c>
      <c r="CK158" s="11">
        <v>0</v>
      </c>
      <c r="CL158" s="11">
        <v>0</v>
      </c>
      <c r="CM158" s="11">
        <v>0</v>
      </c>
      <c r="CN158" s="11">
        <v>0</v>
      </c>
      <c r="CO158" s="11">
        <v>0</v>
      </c>
      <c r="CP158" s="11">
        <v>0</v>
      </c>
      <c r="CQ158" s="11">
        <v>0</v>
      </c>
      <c r="CR158" s="11">
        <v>0</v>
      </c>
      <c r="CS158" t="str">
        <f>IFERROR(INDEX('Initiative Summary'!$C$5:$C$25,MATCH($A158,'Initiative Summary'!$A$5:$A$25,0)),"")</f>
        <v>Southgate Region</v>
      </c>
    </row>
    <row r="159" spans="1:97" x14ac:dyDescent="0.25">
      <c r="A159" s="6" t="s">
        <v>703</v>
      </c>
      <c r="B159" s="7" t="s">
        <v>702</v>
      </c>
      <c r="C159" s="8" t="s">
        <v>205</v>
      </c>
      <c r="D159" s="8" t="s">
        <v>195</v>
      </c>
      <c r="E159" s="8" t="s">
        <v>206</v>
      </c>
      <c r="F159" s="8" t="s">
        <v>207</v>
      </c>
      <c r="G159" s="8"/>
      <c r="H159" s="8"/>
      <c r="I159" s="8"/>
      <c r="J159" s="8"/>
      <c r="K159" s="7"/>
      <c r="L159" s="8" t="s">
        <v>751</v>
      </c>
      <c r="M159" s="8" t="s">
        <v>199</v>
      </c>
      <c r="N159" s="21">
        <v>3</v>
      </c>
      <c r="O159" s="8" t="b">
        <v>0</v>
      </c>
      <c r="P159" s="8" t="s">
        <v>201</v>
      </c>
      <c r="Q159" s="8" t="s">
        <v>202</v>
      </c>
      <c r="R159" s="8" t="s">
        <v>202</v>
      </c>
      <c r="S159" s="8"/>
      <c r="T159" s="21">
        <v>10.857000000000001</v>
      </c>
      <c r="U159" s="21">
        <v>15.729000000000001</v>
      </c>
      <c r="V159" s="21">
        <v>15.729000000000001</v>
      </c>
      <c r="W159" s="21">
        <v>15.729000000000001</v>
      </c>
      <c r="X159" s="8">
        <v>0</v>
      </c>
      <c r="Y159" s="8">
        <v>0</v>
      </c>
      <c r="Z159" s="8">
        <v>0</v>
      </c>
      <c r="AA159" s="8">
        <v>0</v>
      </c>
      <c r="AB159" s="8">
        <v>0</v>
      </c>
      <c r="AC159" s="8">
        <v>0</v>
      </c>
      <c r="AD159" s="8">
        <v>0</v>
      </c>
      <c r="AE159" s="8">
        <v>0</v>
      </c>
      <c r="AF159" s="8">
        <v>0</v>
      </c>
      <c r="AG159" s="8">
        <v>0</v>
      </c>
      <c r="AH159" s="8">
        <v>0</v>
      </c>
      <c r="AI159" s="8">
        <v>0</v>
      </c>
      <c r="AJ159" s="21">
        <v>0</v>
      </c>
      <c r="AK159" s="21">
        <v>0</v>
      </c>
      <c r="AL159" s="21">
        <v>0</v>
      </c>
      <c r="AM159" s="21">
        <v>0</v>
      </c>
      <c r="AN159" s="21">
        <v>0</v>
      </c>
      <c r="AO159" s="21">
        <v>0</v>
      </c>
      <c r="AP159" s="21">
        <v>0</v>
      </c>
      <c r="AQ159" s="21">
        <v>0</v>
      </c>
      <c r="AR159" s="21">
        <v>0</v>
      </c>
      <c r="AS159" s="21">
        <v>0</v>
      </c>
      <c r="AT159" s="21">
        <v>10.856999999999999</v>
      </c>
      <c r="AU159" s="21">
        <v>10.856999999999999</v>
      </c>
      <c r="AV159" s="21">
        <v>15.728999999999999</v>
      </c>
      <c r="AW159" s="21">
        <v>15.728999999999999</v>
      </c>
      <c r="AX159" s="21">
        <v>15.728999999999999</v>
      </c>
      <c r="AY159" s="21">
        <v>15.728999999999999</v>
      </c>
      <c r="AZ159" s="21">
        <v>15.728999999999999</v>
      </c>
      <c r="BA159" s="21">
        <v>15.728999999999999</v>
      </c>
      <c r="BB159" s="21">
        <v>15.728999999999999</v>
      </c>
      <c r="BC159" s="21">
        <v>15.728999999999999</v>
      </c>
      <c r="BD159" s="21">
        <v>15.728999999999999</v>
      </c>
      <c r="BE159" s="21">
        <v>15.728999999999999</v>
      </c>
      <c r="BF159" s="21">
        <v>15.728999999999999</v>
      </c>
      <c r="BG159" s="21">
        <v>15.728999999999999</v>
      </c>
      <c r="BH159" s="21">
        <v>15.728999999999999</v>
      </c>
      <c r="BI159" s="21">
        <v>15.728999999999999</v>
      </c>
      <c r="BJ159" s="21">
        <v>15.728999999999999</v>
      </c>
      <c r="BK159" s="21">
        <v>15.728999999999999</v>
      </c>
      <c r="BL159" s="21">
        <v>15.728999999999999</v>
      </c>
      <c r="BM159" s="21">
        <v>15.728999999999999</v>
      </c>
      <c r="BN159" s="21">
        <v>15.728999999999999</v>
      </c>
      <c r="BO159" s="21">
        <v>15.728999999999999</v>
      </c>
      <c r="BP159" s="21">
        <v>15.728999999999999</v>
      </c>
      <c r="BQ159" s="21">
        <v>15.728999999999999</v>
      </c>
      <c r="BR159" s="21">
        <v>15.728999999999999</v>
      </c>
      <c r="BS159" s="21">
        <v>15.728999999999999</v>
      </c>
      <c r="BT159" s="21">
        <v>15.728999999999999</v>
      </c>
      <c r="BU159" s="21">
        <v>15.728999999999999</v>
      </c>
      <c r="BV159" s="21">
        <v>15.728999999999999</v>
      </c>
      <c r="BW159" s="21">
        <v>15.728999999999999</v>
      </c>
      <c r="BX159" s="21">
        <v>15.728999999999999</v>
      </c>
      <c r="BY159" s="21">
        <v>15.728999999999999</v>
      </c>
      <c r="BZ159" s="21">
        <v>15.728999999999999</v>
      </c>
      <c r="CA159" s="21">
        <v>15.728999999999999</v>
      </c>
      <c r="CB159" s="21">
        <v>15.728999999999999</v>
      </c>
      <c r="CC159" s="21">
        <v>15.728999999999999</v>
      </c>
      <c r="CD159" s="21">
        <v>15.728999999999999</v>
      </c>
      <c r="CE159" s="21">
        <v>15.728999999999999</v>
      </c>
      <c r="CF159" s="8">
        <v>15.728999999999999</v>
      </c>
      <c r="CG159" s="8">
        <v>15.728999999999999</v>
      </c>
      <c r="CH159" s="8">
        <v>15.728999999999999</v>
      </c>
      <c r="CI159" s="8">
        <v>15.728999999999999</v>
      </c>
      <c r="CJ159" s="8">
        <v>15.728999999999999</v>
      </c>
      <c r="CK159" s="8">
        <v>15.728999999999999</v>
      </c>
      <c r="CL159" s="8">
        <v>15.728999999999999</v>
      </c>
      <c r="CM159" s="8">
        <v>15.728999999999999</v>
      </c>
      <c r="CN159" s="8">
        <v>15.728999999999999</v>
      </c>
      <c r="CO159" s="8">
        <v>15.728999999999999</v>
      </c>
      <c r="CP159" s="8">
        <v>15.728999999999999</v>
      </c>
      <c r="CQ159" s="8">
        <v>15.728999999999999</v>
      </c>
      <c r="CR159" s="8">
        <v>15.728999999999999</v>
      </c>
      <c r="CS159" t="str">
        <f>IFERROR(INDEX('Initiative Summary'!$C$5:$C$25,MATCH($A159,'Initiative Summary'!$A$5:$A$25,0)),"")</f>
        <v>Southgate Region</v>
      </c>
    </row>
    <row r="160" spans="1:97" x14ac:dyDescent="0.25">
      <c r="A160" s="6" t="s">
        <v>703</v>
      </c>
      <c r="B160" s="10" t="s">
        <v>702</v>
      </c>
      <c r="C160" s="11" t="s">
        <v>205</v>
      </c>
      <c r="D160" s="11" t="s">
        <v>203</v>
      </c>
      <c r="E160" s="11" t="s">
        <v>206</v>
      </c>
      <c r="F160" s="11" t="s">
        <v>207</v>
      </c>
      <c r="G160" s="11"/>
      <c r="H160" s="11"/>
      <c r="I160" s="11"/>
      <c r="J160" s="11"/>
      <c r="K160" s="10"/>
      <c r="L160" s="11" t="s">
        <v>751</v>
      </c>
      <c r="M160" s="11" t="s">
        <v>199</v>
      </c>
      <c r="N160" s="20">
        <v>3</v>
      </c>
      <c r="O160" s="11" t="b">
        <v>0</v>
      </c>
      <c r="P160" s="11" t="s">
        <v>201</v>
      </c>
      <c r="Q160" s="11" t="s">
        <v>202</v>
      </c>
      <c r="R160" s="11" t="s">
        <v>202</v>
      </c>
      <c r="S160" s="11"/>
      <c r="T160" s="20">
        <v>13.293000000000001</v>
      </c>
      <c r="U160" s="20">
        <v>18.879000000000001</v>
      </c>
      <c r="V160" s="20">
        <v>18.879000000000001</v>
      </c>
      <c r="W160" s="20">
        <v>18.879000000000001</v>
      </c>
      <c r="X160" s="11">
        <v>0</v>
      </c>
      <c r="Y160" s="11">
        <v>0</v>
      </c>
      <c r="Z160" s="11">
        <v>0</v>
      </c>
      <c r="AA160" s="11">
        <v>0</v>
      </c>
      <c r="AB160" s="11">
        <v>0</v>
      </c>
      <c r="AC160" s="11">
        <v>0</v>
      </c>
      <c r="AD160" s="11">
        <v>0</v>
      </c>
      <c r="AE160" s="11">
        <v>0</v>
      </c>
      <c r="AF160" s="11">
        <v>0</v>
      </c>
      <c r="AG160" s="11">
        <v>0</v>
      </c>
      <c r="AH160" s="11">
        <v>0</v>
      </c>
      <c r="AI160" s="11">
        <v>0</v>
      </c>
      <c r="AJ160" s="20">
        <v>0</v>
      </c>
      <c r="AK160" s="20">
        <v>0</v>
      </c>
      <c r="AL160" s="20">
        <v>0</v>
      </c>
      <c r="AM160" s="20">
        <v>0</v>
      </c>
      <c r="AN160" s="20">
        <v>0</v>
      </c>
      <c r="AO160" s="20">
        <v>0</v>
      </c>
      <c r="AP160" s="20">
        <v>0</v>
      </c>
      <c r="AQ160" s="20">
        <v>0</v>
      </c>
      <c r="AR160" s="20">
        <v>0</v>
      </c>
      <c r="AS160" s="20">
        <v>0</v>
      </c>
      <c r="AT160" s="20">
        <v>13.292999999999999</v>
      </c>
      <c r="AU160" s="20">
        <v>13.292999999999999</v>
      </c>
      <c r="AV160" s="20">
        <v>18.879000000000001</v>
      </c>
      <c r="AW160" s="20">
        <v>18.879000000000001</v>
      </c>
      <c r="AX160" s="20">
        <v>18.879000000000001</v>
      </c>
      <c r="AY160" s="20">
        <v>18.879000000000001</v>
      </c>
      <c r="AZ160" s="20">
        <v>18.879000000000001</v>
      </c>
      <c r="BA160" s="20">
        <v>18.879000000000001</v>
      </c>
      <c r="BB160" s="20">
        <v>18.879000000000001</v>
      </c>
      <c r="BC160" s="20">
        <v>18.879000000000001</v>
      </c>
      <c r="BD160" s="20">
        <v>18.879000000000001</v>
      </c>
      <c r="BE160" s="20">
        <v>18.879000000000001</v>
      </c>
      <c r="BF160" s="20">
        <v>18.879000000000001</v>
      </c>
      <c r="BG160" s="20">
        <v>18.879000000000001</v>
      </c>
      <c r="BH160" s="20">
        <v>18.879000000000001</v>
      </c>
      <c r="BI160" s="20">
        <v>18.879000000000001</v>
      </c>
      <c r="BJ160" s="20">
        <v>18.879000000000001</v>
      </c>
      <c r="BK160" s="20">
        <v>18.879000000000001</v>
      </c>
      <c r="BL160" s="20">
        <v>18.879000000000001</v>
      </c>
      <c r="BM160" s="20">
        <v>18.879000000000001</v>
      </c>
      <c r="BN160" s="20">
        <v>18.879000000000001</v>
      </c>
      <c r="BO160" s="20">
        <v>18.879000000000001</v>
      </c>
      <c r="BP160" s="20">
        <v>18.879000000000001</v>
      </c>
      <c r="BQ160" s="20">
        <v>18.879000000000001</v>
      </c>
      <c r="BR160" s="20">
        <v>18.879000000000001</v>
      </c>
      <c r="BS160" s="20">
        <v>18.879000000000001</v>
      </c>
      <c r="BT160" s="20">
        <v>18.879000000000001</v>
      </c>
      <c r="BU160" s="20">
        <v>18.879000000000001</v>
      </c>
      <c r="BV160" s="20">
        <v>18.879000000000001</v>
      </c>
      <c r="BW160" s="20">
        <v>18.879000000000001</v>
      </c>
      <c r="BX160" s="20">
        <v>18.879000000000001</v>
      </c>
      <c r="BY160" s="20">
        <v>18.879000000000001</v>
      </c>
      <c r="BZ160" s="20">
        <v>18.879000000000001</v>
      </c>
      <c r="CA160" s="20">
        <v>18.879000000000001</v>
      </c>
      <c r="CB160" s="20">
        <v>18.879000000000001</v>
      </c>
      <c r="CC160" s="20">
        <v>18.879000000000001</v>
      </c>
      <c r="CD160" s="20">
        <v>18.879000000000001</v>
      </c>
      <c r="CE160" s="20">
        <v>18.879000000000001</v>
      </c>
      <c r="CF160" s="11">
        <v>18.879000000000001</v>
      </c>
      <c r="CG160" s="11">
        <v>18.879000000000001</v>
      </c>
      <c r="CH160" s="11">
        <v>18.879000000000001</v>
      </c>
      <c r="CI160" s="11">
        <v>18.879000000000001</v>
      </c>
      <c r="CJ160" s="11">
        <v>18.879000000000001</v>
      </c>
      <c r="CK160" s="11">
        <v>18.879000000000001</v>
      </c>
      <c r="CL160" s="11">
        <v>18.879000000000001</v>
      </c>
      <c r="CM160" s="11">
        <v>18.879000000000001</v>
      </c>
      <c r="CN160" s="11">
        <v>18.879000000000001</v>
      </c>
      <c r="CO160" s="11">
        <v>18.879000000000001</v>
      </c>
      <c r="CP160" s="11">
        <v>18.879000000000001</v>
      </c>
      <c r="CQ160" s="11">
        <v>18.879000000000001</v>
      </c>
      <c r="CR160" s="11">
        <v>18.879000000000001</v>
      </c>
      <c r="CS160" t="str">
        <f>IFERROR(INDEX('Initiative Summary'!$C$5:$C$25,MATCH($A160,'Initiative Summary'!$A$5:$A$25,0)),"")</f>
        <v>Southgate Region</v>
      </c>
    </row>
    <row r="161" spans="1:97" x14ac:dyDescent="0.25">
      <c r="A161" s="6" t="s">
        <v>703</v>
      </c>
      <c r="B161" s="7" t="s">
        <v>702</v>
      </c>
      <c r="C161" s="8" t="s">
        <v>205</v>
      </c>
      <c r="D161" s="8" t="s">
        <v>204</v>
      </c>
      <c r="E161" s="8" t="s">
        <v>206</v>
      </c>
      <c r="F161" s="8" t="s">
        <v>207</v>
      </c>
      <c r="G161" s="8"/>
      <c r="H161" s="8"/>
      <c r="I161" s="8"/>
      <c r="J161" s="8"/>
      <c r="K161" s="7"/>
      <c r="L161" s="8" t="s">
        <v>751</v>
      </c>
      <c r="M161" s="8" t="s">
        <v>199</v>
      </c>
      <c r="N161" s="21">
        <v>3</v>
      </c>
      <c r="O161" s="8" t="b">
        <v>0</v>
      </c>
      <c r="P161" s="8" t="s">
        <v>201</v>
      </c>
      <c r="Q161" s="8" t="s">
        <v>202</v>
      </c>
      <c r="R161" s="8" t="s">
        <v>202</v>
      </c>
      <c r="S161" s="8"/>
      <c r="T161" s="8"/>
      <c r="U161" s="8"/>
      <c r="V161" s="8"/>
      <c r="W161" s="8"/>
      <c r="X161" s="8">
        <v>0</v>
      </c>
      <c r="Y161" s="8">
        <v>0</v>
      </c>
      <c r="Z161" s="8">
        <v>0</v>
      </c>
      <c r="AA161" s="8">
        <v>0</v>
      </c>
      <c r="AB161" s="8">
        <v>0</v>
      </c>
      <c r="AC161" s="8">
        <v>0</v>
      </c>
      <c r="AD161" s="8">
        <v>0</v>
      </c>
      <c r="AE161" s="8">
        <v>0</v>
      </c>
      <c r="AF161" s="8">
        <v>0</v>
      </c>
      <c r="AG161" s="8">
        <v>0</v>
      </c>
      <c r="AH161" s="8">
        <v>0</v>
      </c>
      <c r="AI161" s="8">
        <v>0</v>
      </c>
      <c r="AJ161" s="8">
        <v>0</v>
      </c>
      <c r="AK161" s="8">
        <v>0</v>
      </c>
      <c r="AL161" s="8">
        <v>0</v>
      </c>
      <c r="AM161" s="8">
        <v>0</v>
      </c>
      <c r="AN161" s="8">
        <v>0</v>
      </c>
      <c r="AO161" s="8">
        <v>0</v>
      </c>
      <c r="AP161" s="8">
        <v>0</v>
      </c>
      <c r="AQ161" s="8">
        <v>0</v>
      </c>
      <c r="AR161" s="8">
        <v>0</v>
      </c>
      <c r="AS161" s="8">
        <v>0</v>
      </c>
      <c r="AT161" s="8">
        <v>0</v>
      </c>
      <c r="AU161" s="8">
        <v>0</v>
      </c>
      <c r="AV161" s="8">
        <v>0</v>
      </c>
      <c r="AW161" s="8">
        <v>0</v>
      </c>
      <c r="AX161" s="8">
        <v>0</v>
      </c>
      <c r="AY161" s="8">
        <v>0</v>
      </c>
      <c r="AZ161" s="8">
        <v>0</v>
      </c>
      <c r="BA161" s="8">
        <v>0</v>
      </c>
      <c r="BB161" s="8">
        <v>0</v>
      </c>
      <c r="BC161" s="8">
        <v>0</v>
      </c>
      <c r="BD161" s="8">
        <v>0</v>
      </c>
      <c r="BE161" s="8">
        <v>0</v>
      </c>
      <c r="BF161" s="8">
        <v>0</v>
      </c>
      <c r="BG161" s="8">
        <v>0</v>
      </c>
      <c r="BH161" s="8">
        <v>0</v>
      </c>
      <c r="BI161" s="8">
        <v>0</v>
      </c>
      <c r="BJ161" s="8">
        <v>0</v>
      </c>
      <c r="BK161" s="8">
        <v>0</v>
      </c>
      <c r="BL161" s="8">
        <v>0</v>
      </c>
      <c r="BM161" s="8">
        <v>0</v>
      </c>
      <c r="BN161" s="8">
        <v>0</v>
      </c>
      <c r="BO161" s="8">
        <v>0</v>
      </c>
      <c r="BP161" s="8">
        <v>0</v>
      </c>
      <c r="BQ161" s="8">
        <v>0</v>
      </c>
      <c r="BR161" s="8">
        <v>0</v>
      </c>
      <c r="BS161" s="8">
        <v>0</v>
      </c>
      <c r="BT161" s="8">
        <v>0</v>
      </c>
      <c r="BU161" s="8">
        <v>0</v>
      </c>
      <c r="BV161" s="8">
        <v>0</v>
      </c>
      <c r="BW161" s="8">
        <v>0</v>
      </c>
      <c r="BX161" s="8">
        <v>0</v>
      </c>
      <c r="BY161" s="8">
        <v>0</v>
      </c>
      <c r="BZ161" s="8">
        <v>0</v>
      </c>
      <c r="CA161" s="8">
        <v>0</v>
      </c>
      <c r="CB161" s="8">
        <v>0</v>
      </c>
      <c r="CC161" s="8">
        <v>0</v>
      </c>
      <c r="CD161" s="8">
        <v>0</v>
      </c>
      <c r="CE161" s="8">
        <v>0</v>
      </c>
      <c r="CF161" s="8">
        <v>0</v>
      </c>
      <c r="CG161" s="8">
        <v>0</v>
      </c>
      <c r="CH161" s="8">
        <v>0</v>
      </c>
      <c r="CI161" s="8">
        <v>0</v>
      </c>
      <c r="CJ161" s="8">
        <v>0</v>
      </c>
      <c r="CK161" s="8">
        <v>0</v>
      </c>
      <c r="CL161" s="8">
        <v>0</v>
      </c>
      <c r="CM161" s="8">
        <v>0</v>
      </c>
      <c r="CN161" s="8">
        <v>0</v>
      </c>
      <c r="CO161" s="8">
        <v>0</v>
      </c>
      <c r="CP161" s="8">
        <v>0</v>
      </c>
      <c r="CQ161" s="8">
        <v>0</v>
      </c>
      <c r="CR161" s="8">
        <v>0</v>
      </c>
      <c r="CS161" t="str">
        <f>IFERROR(INDEX('Initiative Summary'!$C$5:$C$25,MATCH($A161,'Initiative Summary'!$A$5:$A$25,0)),"")</f>
        <v>Southgate Region</v>
      </c>
    </row>
    <row r="162" spans="1:97" x14ac:dyDescent="0.25">
      <c r="A162" s="6" t="s">
        <v>703</v>
      </c>
      <c r="B162" s="10" t="s">
        <v>702</v>
      </c>
      <c r="C162" s="11" t="s">
        <v>206</v>
      </c>
      <c r="D162" s="11" t="s">
        <v>195</v>
      </c>
      <c r="E162" s="11" t="s">
        <v>206</v>
      </c>
      <c r="F162" s="11" t="s">
        <v>197</v>
      </c>
      <c r="G162" s="11"/>
      <c r="H162" s="11"/>
      <c r="I162" s="11"/>
      <c r="J162" s="11"/>
      <c r="K162" s="10"/>
      <c r="L162" s="11" t="s">
        <v>752</v>
      </c>
      <c r="M162" s="11" t="s">
        <v>199</v>
      </c>
      <c r="N162" s="20">
        <v>100</v>
      </c>
      <c r="O162" s="11" t="b">
        <v>0</v>
      </c>
      <c r="P162" s="11" t="s">
        <v>201</v>
      </c>
      <c r="Q162" s="11" t="s">
        <v>210</v>
      </c>
      <c r="R162" s="11" t="s">
        <v>210</v>
      </c>
      <c r="S162" s="11">
        <v>0</v>
      </c>
      <c r="T162" s="20">
        <v>0.441</v>
      </c>
      <c r="U162" s="20">
        <v>0.65100000000000002</v>
      </c>
      <c r="V162" s="20">
        <v>0.65100000000000002</v>
      </c>
      <c r="W162" s="20">
        <v>0.65100000000000002</v>
      </c>
      <c r="X162" s="11">
        <v>0</v>
      </c>
      <c r="Y162" s="11">
        <v>0</v>
      </c>
      <c r="Z162" s="11">
        <v>0</v>
      </c>
      <c r="AA162" s="11">
        <v>0</v>
      </c>
      <c r="AB162" s="11">
        <v>0</v>
      </c>
      <c r="AC162" s="11">
        <v>0</v>
      </c>
      <c r="AD162" s="11">
        <v>0</v>
      </c>
      <c r="AE162" s="11">
        <v>0</v>
      </c>
      <c r="AF162" s="11">
        <v>0</v>
      </c>
      <c r="AG162" s="11">
        <v>0</v>
      </c>
      <c r="AH162" s="11">
        <v>0</v>
      </c>
      <c r="AI162" s="11">
        <v>0</v>
      </c>
      <c r="AJ162" s="20">
        <v>0</v>
      </c>
      <c r="AK162" s="20">
        <v>0</v>
      </c>
      <c r="AL162" s="20">
        <v>0</v>
      </c>
      <c r="AM162" s="20">
        <v>0</v>
      </c>
      <c r="AN162" s="20">
        <v>0</v>
      </c>
      <c r="AO162" s="20">
        <v>0</v>
      </c>
      <c r="AP162" s="20">
        <v>0</v>
      </c>
      <c r="AQ162" s="20">
        <v>0</v>
      </c>
      <c r="AR162" s="20">
        <v>0</v>
      </c>
      <c r="AS162" s="20">
        <v>0</v>
      </c>
      <c r="AT162" s="20">
        <v>0.2205</v>
      </c>
      <c r="AU162" s="20">
        <v>0.2205</v>
      </c>
      <c r="AV162" s="20">
        <v>5.425E-2</v>
      </c>
      <c r="AW162" s="20">
        <v>5.425E-2</v>
      </c>
      <c r="AX162" s="20">
        <v>5.425E-2</v>
      </c>
      <c r="AY162" s="20">
        <v>5.425E-2</v>
      </c>
      <c r="AZ162" s="20">
        <v>5.425E-2</v>
      </c>
      <c r="BA162" s="20">
        <v>5.425E-2</v>
      </c>
      <c r="BB162" s="20">
        <v>5.425E-2</v>
      </c>
      <c r="BC162" s="20">
        <v>5.425E-2</v>
      </c>
      <c r="BD162" s="20">
        <v>5.425E-2</v>
      </c>
      <c r="BE162" s="20">
        <v>5.425E-2</v>
      </c>
      <c r="BF162" s="20">
        <v>5.425E-2</v>
      </c>
      <c r="BG162" s="20">
        <v>5.425E-2</v>
      </c>
      <c r="BH162" s="20">
        <v>5.425E-2</v>
      </c>
      <c r="BI162" s="20">
        <v>5.425E-2</v>
      </c>
      <c r="BJ162" s="20">
        <v>5.425E-2</v>
      </c>
      <c r="BK162" s="20">
        <v>5.425E-2</v>
      </c>
      <c r="BL162" s="20">
        <v>5.425E-2</v>
      </c>
      <c r="BM162" s="20">
        <v>5.425E-2</v>
      </c>
      <c r="BN162" s="20">
        <v>5.425E-2</v>
      </c>
      <c r="BO162" s="20">
        <v>5.425E-2</v>
      </c>
      <c r="BP162" s="20">
        <v>5.425E-2</v>
      </c>
      <c r="BQ162" s="20">
        <v>5.425E-2</v>
      </c>
      <c r="BR162" s="20">
        <v>5.425E-2</v>
      </c>
      <c r="BS162" s="20">
        <v>5.425E-2</v>
      </c>
      <c r="BT162" s="20">
        <v>5.425E-2</v>
      </c>
      <c r="BU162" s="20">
        <v>5.425E-2</v>
      </c>
      <c r="BV162" s="20">
        <v>5.425E-2</v>
      </c>
      <c r="BW162" s="20">
        <v>5.425E-2</v>
      </c>
      <c r="BX162" s="20">
        <v>5.425E-2</v>
      </c>
      <c r="BY162" s="20">
        <v>5.425E-2</v>
      </c>
      <c r="BZ162" s="20">
        <v>5.425E-2</v>
      </c>
      <c r="CA162" s="20">
        <v>5.425E-2</v>
      </c>
      <c r="CB162" s="20">
        <v>5.425E-2</v>
      </c>
      <c r="CC162" s="20">
        <v>5.425E-2</v>
      </c>
      <c r="CD162" s="20">
        <v>5.425E-2</v>
      </c>
      <c r="CE162" s="20">
        <v>5.425E-2</v>
      </c>
      <c r="CF162" s="11">
        <v>0.65100000000000002</v>
      </c>
      <c r="CG162" s="11">
        <v>5.425E-2</v>
      </c>
      <c r="CH162" s="11">
        <v>5.425E-2</v>
      </c>
      <c r="CI162" s="11">
        <v>5.425E-2</v>
      </c>
      <c r="CJ162" s="11">
        <v>5.425E-2</v>
      </c>
      <c r="CK162" s="11">
        <v>5.425E-2</v>
      </c>
      <c r="CL162" s="11">
        <v>5.425E-2</v>
      </c>
      <c r="CM162" s="11">
        <v>5.425E-2</v>
      </c>
      <c r="CN162" s="11">
        <v>5.425E-2</v>
      </c>
      <c r="CO162" s="11">
        <v>5.425E-2</v>
      </c>
      <c r="CP162" s="11">
        <v>5.425E-2</v>
      </c>
      <c r="CQ162" s="11">
        <v>5.425E-2</v>
      </c>
      <c r="CR162" s="11">
        <v>5.425E-2</v>
      </c>
      <c r="CS162" t="str">
        <f>IFERROR(INDEX('Initiative Summary'!$C$5:$C$25,MATCH($A162,'Initiative Summary'!$A$5:$A$25,0)),"")</f>
        <v>Southgate Region</v>
      </c>
    </row>
    <row r="163" spans="1:97" x14ac:dyDescent="0.25">
      <c r="A163" s="6" t="s">
        <v>703</v>
      </c>
      <c r="B163" s="7" t="s">
        <v>702</v>
      </c>
      <c r="C163" s="8" t="s">
        <v>206</v>
      </c>
      <c r="D163" s="8" t="s">
        <v>203</v>
      </c>
      <c r="E163" s="8" t="s">
        <v>206</v>
      </c>
      <c r="F163" s="8" t="s">
        <v>197</v>
      </c>
      <c r="G163" s="8"/>
      <c r="H163" s="8"/>
      <c r="I163" s="8"/>
      <c r="J163" s="8"/>
      <c r="K163" s="7"/>
      <c r="L163" s="8" t="s">
        <v>752</v>
      </c>
      <c r="M163" s="8" t="s">
        <v>199</v>
      </c>
      <c r="N163" s="21">
        <v>100</v>
      </c>
      <c r="O163" s="8" t="b">
        <v>0</v>
      </c>
      <c r="P163" s="8" t="s">
        <v>201</v>
      </c>
      <c r="Q163" s="8" t="s">
        <v>210</v>
      </c>
      <c r="R163" s="8" t="s">
        <v>210</v>
      </c>
      <c r="S163" s="8">
        <v>0</v>
      </c>
      <c r="T163" s="21">
        <v>0.54600000000000004</v>
      </c>
      <c r="U163" s="21">
        <v>0.77700000000000002</v>
      </c>
      <c r="V163" s="21">
        <v>0.77700000000000002</v>
      </c>
      <c r="W163" s="21">
        <v>0.77700000000000002</v>
      </c>
      <c r="X163" s="8">
        <v>0</v>
      </c>
      <c r="Y163" s="8">
        <v>0</v>
      </c>
      <c r="Z163" s="8">
        <v>0</v>
      </c>
      <c r="AA163" s="8">
        <v>0</v>
      </c>
      <c r="AB163" s="8">
        <v>0</v>
      </c>
      <c r="AC163" s="8">
        <v>0</v>
      </c>
      <c r="AD163" s="8">
        <v>0</v>
      </c>
      <c r="AE163" s="8">
        <v>0</v>
      </c>
      <c r="AF163" s="8">
        <v>0</v>
      </c>
      <c r="AG163" s="8">
        <v>0</v>
      </c>
      <c r="AH163" s="8">
        <v>0</v>
      </c>
      <c r="AI163" s="8">
        <v>0</v>
      </c>
      <c r="AJ163" s="21">
        <v>0</v>
      </c>
      <c r="AK163" s="21">
        <v>0</v>
      </c>
      <c r="AL163" s="21">
        <v>0</v>
      </c>
      <c r="AM163" s="21">
        <v>0</v>
      </c>
      <c r="AN163" s="21">
        <v>0</v>
      </c>
      <c r="AO163" s="21">
        <v>0</v>
      </c>
      <c r="AP163" s="21">
        <v>0</v>
      </c>
      <c r="AQ163" s="21">
        <v>0</v>
      </c>
      <c r="AR163" s="21">
        <v>0</v>
      </c>
      <c r="AS163" s="21">
        <v>0</v>
      </c>
      <c r="AT163" s="21">
        <v>0.27300000000000002</v>
      </c>
      <c r="AU163" s="21">
        <v>0.27300000000000002</v>
      </c>
      <c r="AV163" s="21">
        <v>6.4750000000000002E-2</v>
      </c>
      <c r="AW163" s="21">
        <v>6.4750000000000002E-2</v>
      </c>
      <c r="AX163" s="21">
        <v>6.4750000000000002E-2</v>
      </c>
      <c r="AY163" s="21">
        <v>6.4750000000000002E-2</v>
      </c>
      <c r="AZ163" s="21">
        <v>6.4750000000000002E-2</v>
      </c>
      <c r="BA163" s="21">
        <v>6.4750000000000002E-2</v>
      </c>
      <c r="BB163" s="21">
        <v>6.4750000000000002E-2</v>
      </c>
      <c r="BC163" s="21">
        <v>6.4750000000000002E-2</v>
      </c>
      <c r="BD163" s="21">
        <v>6.4750000000000002E-2</v>
      </c>
      <c r="BE163" s="21">
        <v>6.4750000000000002E-2</v>
      </c>
      <c r="BF163" s="21">
        <v>6.4750000000000002E-2</v>
      </c>
      <c r="BG163" s="21">
        <v>6.4750000000000002E-2</v>
      </c>
      <c r="BH163" s="21">
        <v>6.4750000000000002E-2</v>
      </c>
      <c r="BI163" s="21">
        <v>6.4750000000000002E-2</v>
      </c>
      <c r="BJ163" s="21">
        <v>6.4750000000000002E-2</v>
      </c>
      <c r="BK163" s="21">
        <v>6.4750000000000002E-2</v>
      </c>
      <c r="BL163" s="21">
        <v>6.4750000000000002E-2</v>
      </c>
      <c r="BM163" s="21">
        <v>6.4750000000000002E-2</v>
      </c>
      <c r="BN163" s="21">
        <v>6.4750000000000002E-2</v>
      </c>
      <c r="BO163" s="21">
        <v>6.4750000000000002E-2</v>
      </c>
      <c r="BP163" s="21">
        <v>6.4750000000000002E-2</v>
      </c>
      <c r="BQ163" s="21">
        <v>6.4750000000000002E-2</v>
      </c>
      <c r="BR163" s="21">
        <v>6.4750000000000002E-2</v>
      </c>
      <c r="BS163" s="21">
        <v>6.4750000000000002E-2</v>
      </c>
      <c r="BT163" s="21">
        <v>6.4750000000000002E-2</v>
      </c>
      <c r="BU163" s="21">
        <v>6.4750000000000002E-2</v>
      </c>
      <c r="BV163" s="21">
        <v>6.4750000000000002E-2</v>
      </c>
      <c r="BW163" s="21">
        <v>6.4750000000000002E-2</v>
      </c>
      <c r="BX163" s="21">
        <v>6.4750000000000002E-2</v>
      </c>
      <c r="BY163" s="21">
        <v>6.4750000000000002E-2</v>
      </c>
      <c r="BZ163" s="21">
        <v>6.4750000000000002E-2</v>
      </c>
      <c r="CA163" s="21">
        <v>6.4750000000000002E-2</v>
      </c>
      <c r="CB163" s="21">
        <v>6.4750000000000002E-2</v>
      </c>
      <c r="CC163" s="21">
        <v>6.4750000000000002E-2</v>
      </c>
      <c r="CD163" s="21">
        <v>6.4750000000000002E-2</v>
      </c>
      <c r="CE163" s="21">
        <v>6.4750000000000002E-2</v>
      </c>
      <c r="CF163" s="8">
        <v>0.77700000000000002</v>
      </c>
      <c r="CG163" s="8">
        <v>6.4750000000000002E-2</v>
      </c>
      <c r="CH163" s="8">
        <v>6.4750000000000002E-2</v>
      </c>
      <c r="CI163" s="8">
        <v>6.4750000000000002E-2</v>
      </c>
      <c r="CJ163" s="8">
        <v>6.4750000000000002E-2</v>
      </c>
      <c r="CK163" s="8">
        <v>6.4750000000000002E-2</v>
      </c>
      <c r="CL163" s="8">
        <v>6.4750000000000002E-2</v>
      </c>
      <c r="CM163" s="8">
        <v>6.4750000000000002E-2</v>
      </c>
      <c r="CN163" s="8">
        <v>6.4750000000000002E-2</v>
      </c>
      <c r="CO163" s="8">
        <v>6.4750000000000002E-2</v>
      </c>
      <c r="CP163" s="8">
        <v>6.4750000000000002E-2</v>
      </c>
      <c r="CQ163" s="8">
        <v>6.4750000000000002E-2</v>
      </c>
      <c r="CR163" s="8">
        <v>6.4750000000000002E-2</v>
      </c>
      <c r="CS163" t="str">
        <f>IFERROR(INDEX('Initiative Summary'!$C$5:$C$25,MATCH($A163,'Initiative Summary'!$A$5:$A$25,0)),"")</f>
        <v>Southgate Region</v>
      </c>
    </row>
    <row r="164" spans="1:97" x14ac:dyDescent="0.25">
      <c r="A164" s="6" t="s">
        <v>703</v>
      </c>
      <c r="B164" s="10" t="s">
        <v>702</v>
      </c>
      <c r="C164" s="11" t="s">
        <v>206</v>
      </c>
      <c r="D164" s="11" t="s">
        <v>204</v>
      </c>
      <c r="E164" s="11" t="s">
        <v>206</v>
      </c>
      <c r="F164" s="11" t="s">
        <v>197</v>
      </c>
      <c r="G164" s="11"/>
      <c r="H164" s="11"/>
      <c r="I164" s="11"/>
      <c r="J164" s="11"/>
      <c r="K164" s="10"/>
      <c r="L164" s="11" t="s">
        <v>752</v>
      </c>
      <c r="M164" s="11" t="s">
        <v>199</v>
      </c>
      <c r="N164" s="20">
        <v>100</v>
      </c>
      <c r="O164" s="11" t="b">
        <v>0</v>
      </c>
      <c r="P164" s="11" t="s">
        <v>201</v>
      </c>
      <c r="Q164" s="11" t="s">
        <v>210</v>
      </c>
      <c r="R164" s="11" t="s">
        <v>210</v>
      </c>
      <c r="S164" s="11"/>
      <c r="T164" s="11"/>
      <c r="U164" s="11"/>
      <c r="V164" s="11"/>
      <c r="W164" s="11"/>
      <c r="X164" s="11">
        <v>0</v>
      </c>
      <c r="Y164" s="11">
        <v>0</v>
      </c>
      <c r="Z164" s="11">
        <v>0</v>
      </c>
      <c r="AA164" s="11">
        <v>0</v>
      </c>
      <c r="AB164" s="11">
        <v>0</v>
      </c>
      <c r="AC164" s="11">
        <v>0</v>
      </c>
      <c r="AD164" s="11">
        <v>0</v>
      </c>
      <c r="AE164" s="11">
        <v>0</v>
      </c>
      <c r="AF164" s="11">
        <v>0</v>
      </c>
      <c r="AG164" s="11">
        <v>0</v>
      </c>
      <c r="AH164" s="11">
        <v>0</v>
      </c>
      <c r="AI164" s="11">
        <v>0</v>
      </c>
      <c r="AJ164" s="11">
        <v>0</v>
      </c>
      <c r="AK164" s="11">
        <v>0</v>
      </c>
      <c r="AL164" s="11">
        <v>0</v>
      </c>
      <c r="AM164" s="11">
        <v>0</v>
      </c>
      <c r="AN164" s="11">
        <v>0</v>
      </c>
      <c r="AO164" s="11">
        <v>0</v>
      </c>
      <c r="AP164" s="11">
        <v>0</v>
      </c>
      <c r="AQ164" s="11">
        <v>0</v>
      </c>
      <c r="AR164" s="11">
        <v>0</v>
      </c>
      <c r="AS164" s="11">
        <v>0</v>
      </c>
      <c r="AT164" s="11">
        <v>0</v>
      </c>
      <c r="AU164" s="11">
        <v>0</v>
      </c>
      <c r="AV164" s="11">
        <v>0</v>
      </c>
      <c r="AW164" s="11">
        <v>0</v>
      </c>
      <c r="AX164" s="11">
        <v>0</v>
      </c>
      <c r="AY164" s="11">
        <v>0</v>
      </c>
      <c r="AZ164" s="11">
        <v>0</v>
      </c>
      <c r="BA164" s="11">
        <v>0</v>
      </c>
      <c r="BB164" s="11">
        <v>0</v>
      </c>
      <c r="BC164" s="11">
        <v>0</v>
      </c>
      <c r="BD164" s="11">
        <v>0</v>
      </c>
      <c r="BE164" s="11">
        <v>0</v>
      </c>
      <c r="BF164" s="11">
        <v>0</v>
      </c>
      <c r="BG164" s="11">
        <v>0</v>
      </c>
      <c r="BH164" s="11">
        <v>0</v>
      </c>
      <c r="BI164" s="11">
        <v>0</v>
      </c>
      <c r="BJ164" s="11">
        <v>0</v>
      </c>
      <c r="BK164" s="11">
        <v>0</v>
      </c>
      <c r="BL164" s="11">
        <v>0</v>
      </c>
      <c r="BM164" s="11">
        <v>0</v>
      </c>
      <c r="BN164" s="11">
        <v>0</v>
      </c>
      <c r="BO164" s="11">
        <v>0</v>
      </c>
      <c r="BP164" s="11">
        <v>0</v>
      </c>
      <c r="BQ164" s="11">
        <v>0</v>
      </c>
      <c r="BR164" s="11">
        <v>0</v>
      </c>
      <c r="BS164" s="11">
        <v>0</v>
      </c>
      <c r="BT164" s="11">
        <v>0</v>
      </c>
      <c r="BU164" s="11">
        <v>0</v>
      </c>
      <c r="BV164" s="11">
        <v>0</v>
      </c>
      <c r="BW164" s="11">
        <v>0</v>
      </c>
      <c r="BX164" s="11">
        <v>0</v>
      </c>
      <c r="BY164" s="11">
        <v>0</v>
      </c>
      <c r="BZ164" s="11">
        <v>0</v>
      </c>
      <c r="CA164" s="11">
        <v>0</v>
      </c>
      <c r="CB164" s="11">
        <v>0</v>
      </c>
      <c r="CC164" s="11">
        <v>0</v>
      </c>
      <c r="CD164" s="11">
        <v>0</v>
      </c>
      <c r="CE164" s="11">
        <v>0</v>
      </c>
      <c r="CF164" s="11">
        <v>0</v>
      </c>
      <c r="CG164" s="11">
        <v>0</v>
      </c>
      <c r="CH164" s="11">
        <v>0</v>
      </c>
      <c r="CI164" s="11">
        <v>0</v>
      </c>
      <c r="CJ164" s="11">
        <v>0</v>
      </c>
      <c r="CK164" s="11">
        <v>0</v>
      </c>
      <c r="CL164" s="11">
        <v>0</v>
      </c>
      <c r="CM164" s="11">
        <v>0</v>
      </c>
      <c r="CN164" s="11">
        <v>0</v>
      </c>
      <c r="CO164" s="11">
        <v>0</v>
      </c>
      <c r="CP164" s="11">
        <v>0</v>
      </c>
      <c r="CQ164" s="11">
        <v>0</v>
      </c>
      <c r="CR164" s="11">
        <v>0</v>
      </c>
      <c r="CS164" t="str">
        <f>IFERROR(INDEX('Initiative Summary'!$C$5:$C$25,MATCH($A164,'Initiative Summary'!$A$5:$A$25,0)),"")</f>
        <v>Southgate Region</v>
      </c>
    </row>
    <row r="165" spans="1:97" ht="24" x14ac:dyDescent="0.25">
      <c r="A165" s="6" t="s">
        <v>708</v>
      </c>
      <c r="B165" s="10" t="s">
        <v>707</v>
      </c>
      <c r="C165" s="11" t="s">
        <v>194</v>
      </c>
      <c r="D165" s="11" t="s">
        <v>195</v>
      </c>
      <c r="E165" s="11" t="s">
        <v>196</v>
      </c>
      <c r="F165" s="11" t="s">
        <v>197</v>
      </c>
      <c r="G165" s="11"/>
      <c r="H165" s="11" t="s">
        <v>215</v>
      </c>
      <c r="I165" s="11" t="s">
        <v>216</v>
      </c>
      <c r="J165" s="11"/>
      <c r="K165" s="10"/>
      <c r="L165" s="11" t="s">
        <v>753</v>
      </c>
      <c r="M165" s="11" t="s">
        <v>199</v>
      </c>
      <c r="N165" s="20">
        <v>0</v>
      </c>
      <c r="O165" s="11" t="b">
        <v>0</v>
      </c>
      <c r="P165" s="11" t="s">
        <v>218</v>
      </c>
      <c r="Q165" s="11" t="s">
        <v>219</v>
      </c>
      <c r="R165" s="11" t="s">
        <v>219</v>
      </c>
      <c r="S165" s="11">
        <v>0</v>
      </c>
      <c r="T165" s="11">
        <v>0</v>
      </c>
      <c r="U165" s="11">
        <v>0</v>
      </c>
      <c r="V165" s="11">
        <v>0</v>
      </c>
      <c r="W165" s="11">
        <v>0</v>
      </c>
      <c r="X165" s="11">
        <v>0</v>
      </c>
      <c r="Y165" s="11">
        <v>0</v>
      </c>
      <c r="Z165" s="11">
        <v>0</v>
      </c>
      <c r="AA165" s="11">
        <v>0</v>
      </c>
      <c r="AB165" s="11">
        <v>0</v>
      </c>
      <c r="AC165" s="11">
        <v>0</v>
      </c>
      <c r="AD165" s="11">
        <v>0</v>
      </c>
      <c r="AE165" s="11">
        <v>0</v>
      </c>
      <c r="AF165" s="11">
        <v>0</v>
      </c>
      <c r="AG165" s="11">
        <v>0</v>
      </c>
      <c r="AH165" s="11">
        <v>0</v>
      </c>
      <c r="AI165" s="11">
        <v>0</v>
      </c>
      <c r="AJ165" s="11">
        <v>0</v>
      </c>
      <c r="AK165" s="11">
        <v>0</v>
      </c>
      <c r="AL165" s="11">
        <v>0</v>
      </c>
      <c r="AM165" s="11">
        <v>0</v>
      </c>
      <c r="AN165" s="11">
        <v>0</v>
      </c>
      <c r="AO165" s="11">
        <v>0</v>
      </c>
      <c r="AP165" s="11">
        <v>0</v>
      </c>
      <c r="AQ165" s="11">
        <v>0</v>
      </c>
      <c r="AR165" s="11">
        <v>0</v>
      </c>
      <c r="AS165" s="11">
        <v>0</v>
      </c>
      <c r="AT165" s="11">
        <v>0</v>
      </c>
      <c r="AU165" s="11">
        <v>0</v>
      </c>
      <c r="AV165" s="11">
        <v>0</v>
      </c>
      <c r="AW165" s="11">
        <v>0</v>
      </c>
      <c r="AX165" s="11">
        <v>0</v>
      </c>
      <c r="AY165" s="11">
        <v>0</v>
      </c>
      <c r="AZ165" s="11">
        <v>0</v>
      </c>
      <c r="BA165" s="11">
        <v>0</v>
      </c>
      <c r="BB165" s="11">
        <v>0</v>
      </c>
      <c r="BC165" s="11">
        <v>0</v>
      </c>
      <c r="BD165" s="11">
        <v>0</v>
      </c>
      <c r="BE165" s="11">
        <v>0</v>
      </c>
      <c r="BF165" s="11">
        <v>0</v>
      </c>
      <c r="BG165" s="11">
        <v>0</v>
      </c>
      <c r="BH165" s="11">
        <v>0</v>
      </c>
      <c r="BI165" s="11">
        <v>0</v>
      </c>
      <c r="BJ165" s="11">
        <v>0</v>
      </c>
      <c r="BK165" s="11">
        <v>0</v>
      </c>
      <c r="BL165" s="11">
        <v>0</v>
      </c>
      <c r="BM165" s="11">
        <v>0</v>
      </c>
      <c r="BN165" s="11">
        <v>0</v>
      </c>
      <c r="BO165" s="11">
        <v>0</v>
      </c>
      <c r="BP165" s="11">
        <v>0</v>
      </c>
      <c r="BQ165" s="11">
        <v>0</v>
      </c>
      <c r="BR165" s="11">
        <v>0</v>
      </c>
      <c r="BS165" s="11">
        <v>0</v>
      </c>
      <c r="BT165" s="11">
        <v>0</v>
      </c>
      <c r="BU165" s="11">
        <v>0</v>
      </c>
      <c r="BV165" s="11">
        <v>0</v>
      </c>
      <c r="BW165" s="11">
        <v>0</v>
      </c>
      <c r="BX165" s="11">
        <v>0</v>
      </c>
      <c r="BY165" s="11">
        <v>0</v>
      </c>
      <c r="BZ165" s="11">
        <v>0</v>
      </c>
      <c r="CA165" s="11">
        <v>0</v>
      </c>
      <c r="CB165" s="11">
        <v>0</v>
      </c>
      <c r="CC165" s="11">
        <v>0</v>
      </c>
      <c r="CD165" s="11">
        <v>0</v>
      </c>
      <c r="CE165" s="11">
        <v>0</v>
      </c>
      <c r="CF165" s="11">
        <v>0</v>
      </c>
      <c r="CG165" s="11">
        <v>0</v>
      </c>
      <c r="CH165" s="11">
        <v>0</v>
      </c>
      <c r="CI165" s="11">
        <v>0</v>
      </c>
      <c r="CJ165" s="11">
        <v>0</v>
      </c>
      <c r="CK165" s="11">
        <v>0</v>
      </c>
      <c r="CL165" s="11">
        <v>0</v>
      </c>
      <c r="CM165" s="11">
        <v>0</v>
      </c>
      <c r="CN165" s="11">
        <v>0</v>
      </c>
      <c r="CO165" s="11">
        <v>0</v>
      </c>
      <c r="CP165" s="11">
        <v>0</v>
      </c>
      <c r="CQ165" s="11">
        <v>0</v>
      </c>
      <c r="CR165" s="11">
        <v>0</v>
      </c>
      <c r="CS165" t="str">
        <f>IFERROR(INDEX('Initiative Summary'!$C$5:$C$25,MATCH($A165,'Initiative Summary'!$A$5:$A$25,0)),"")</f>
        <v>Southgate Region</v>
      </c>
    </row>
    <row r="166" spans="1:97" ht="24" x14ac:dyDescent="0.25">
      <c r="A166" s="6" t="s">
        <v>708</v>
      </c>
      <c r="B166" s="7" t="s">
        <v>707</v>
      </c>
      <c r="C166" s="8" t="s">
        <v>194</v>
      </c>
      <c r="D166" s="8" t="s">
        <v>203</v>
      </c>
      <c r="E166" s="8" t="s">
        <v>196</v>
      </c>
      <c r="F166" s="8" t="s">
        <v>197</v>
      </c>
      <c r="G166" s="8"/>
      <c r="H166" s="8" t="s">
        <v>215</v>
      </c>
      <c r="I166" s="8" t="s">
        <v>216</v>
      </c>
      <c r="J166" s="8"/>
      <c r="K166" s="7"/>
      <c r="L166" s="8" t="s">
        <v>753</v>
      </c>
      <c r="M166" s="8" t="s">
        <v>199</v>
      </c>
      <c r="N166" s="21">
        <v>0</v>
      </c>
      <c r="O166" s="8" t="b">
        <v>0</v>
      </c>
      <c r="P166" s="8" t="s">
        <v>218</v>
      </c>
      <c r="Q166" s="8" t="s">
        <v>219</v>
      </c>
      <c r="R166" s="8" t="s">
        <v>219</v>
      </c>
      <c r="S166" s="8">
        <v>0</v>
      </c>
      <c r="T166" s="8">
        <v>0</v>
      </c>
      <c r="U166" s="8">
        <v>0</v>
      </c>
      <c r="V166" s="8">
        <v>0</v>
      </c>
      <c r="W166" s="8">
        <v>0</v>
      </c>
      <c r="X166" s="8">
        <v>0</v>
      </c>
      <c r="Y166" s="8">
        <v>0</v>
      </c>
      <c r="Z166" s="8">
        <v>0</v>
      </c>
      <c r="AA166" s="8">
        <v>0</v>
      </c>
      <c r="AB166" s="8">
        <v>0</v>
      </c>
      <c r="AC166" s="8">
        <v>0</v>
      </c>
      <c r="AD166" s="8">
        <v>0</v>
      </c>
      <c r="AE166" s="8">
        <v>0</v>
      </c>
      <c r="AF166" s="8">
        <v>0</v>
      </c>
      <c r="AG166" s="8">
        <v>0</v>
      </c>
      <c r="AH166" s="8">
        <v>0</v>
      </c>
      <c r="AI166" s="8">
        <v>0</v>
      </c>
      <c r="AJ166" s="8">
        <v>0</v>
      </c>
      <c r="AK166" s="8">
        <v>0</v>
      </c>
      <c r="AL166" s="8">
        <v>0</v>
      </c>
      <c r="AM166" s="8">
        <v>0</v>
      </c>
      <c r="AN166" s="8">
        <v>0</v>
      </c>
      <c r="AO166" s="8">
        <v>0</v>
      </c>
      <c r="AP166" s="8">
        <v>0</v>
      </c>
      <c r="AQ166" s="8">
        <v>0</v>
      </c>
      <c r="AR166" s="8">
        <v>0</v>
      </c>
      <c r="AS166" s="8">
        <v>0</v>
      </c>
      <c r="AT166" s="8">
        <v>0</v>
      </c>
      <c r="AU166" s="8">
        <v>0</v>
      </c>
      <c r="AV166" s="8">
        <v>0</v>
      </c>
      <c r="AW166" s="8">
        <v>0</v>
      </c>
      <c r="AX166" s="8">
        <v>0</v>
      </c>
      <c r="AY166" s="8">
        <v>0</v>
      </c>
      <c r="AZ166" s="8">
        <v>0</v>
      </c>
      <c r="BA166" s="8">
        <v>0</v>
      </c>
      <c r="BB166" s="8">
        <v>0</v>
      </c>
      <c r="BC166" s="8">
        <v>0</v>
      </c>
      <c r="BD166" s="8">
        <v>0</v>
      </c>
      <c r="BE166" s="8">
        <v>0</v>
      </c>
      <c r="BF166" s="8">
        <v>0</v>
      </c>
      <c r="BG166" s="8">
        <v>0</v>
      </c>
      <c r="BH166" s="8">
        <v>0</v>
      </c>
      <c r="BI166" s="8">
        <v>0</v>
      </c>
      <c r="BJ166" s="8">
        <v>0</v>
      </c>
      <c r="BK166" s="8">
        <v>0</v>
      </c>
      <c r="BL166" s="8">
        <v>0</v>
      </c>
      <c r="BM166" s="8">
        <v>0</v>
      </c>
      <c r="BN166" s="8">
        <v>0</v>
      </c>
      <c r="BO166" s="8">
        <v>0</v>
      </c>
      <c r="BP166" s="8">
        <v>0</v>
      </c>
      <c r="BQ166" s="8">
        <v>0</v>
      </c>
      <c r="BR166" s="8">
        <v>0</v>
      </c>
      <c r="BS166" s="8">
        <v>0</v>
      </c>
      <c r="BT166" s="8">
        <v>0</v>
      </c>
      <c r="BU166" s="8">
        <v>0</v>
      </c>
      <c r="BV166" s="8">
        <v>0</v>
      </c>
      <c r="BW166" s="8">
        <v>0</v>
      </c>
      <c r="BX166" s="8">
        <v>0</v>
      </c>
      <c r="BY166" s="8">
        <v>0</v>
      </c>
      <c r="BZ166" s="8">
        <v>0</v>
      </c>
      <c r="CA166" s="8">
        <v>0</v>
      </c>
      <c r="CB166" s="8">
        <v>0</v>
      </c>
      <c r="CC166" s="8">
        <v>0</v>
      </c>
      <c r="CD166" s="8">
        <v>0</v>
      </c>
      <c r="CE166" s="8">
        <v>0</v>
      </c>
      <c r="CF166" s="8">
        <v>0</v>
      </c>
      <c r="CG166" s="8">
        <v>0</v>
      </c>
      <c r="CH166" s="8">
        <v>0</v>
      </c>
      <c r="CI166" s="8">
        <v>0</v>
      </c>
      <c r="CJ166" s="8">
        <v>0</v>
      </c>
      <c r="CK166" s="8">
        <v>0</v>
      </c>
      <c r="CL166" s="8">
        <v>0</v>
      </c>
      <c r="CM166" s="8">
        <v>0</v>
      </c>
      <c r="CN166" s="8">
        <v>0</v>
      </c>
      <c r="CO166" s="8">
        <v>0</v>
      </c>
      <c r="CP166" s="8">
        <v>0</v>
      </c>
      <c r="CQ166" s="8">
        <v>0</v>
      </c>
      <c r="CR166" s="8">
        <v>0</v>
      </c>
      <c r="CS166" t="str">
        <f>IFERROR(INDEX('Initiative Summary'!$C$5:$C$25,MATCH($A166,'Initiative Summary'!$A$5:$A$25,0)),"")</f>
        <v>Southgate Region</v>
      </c>
    </row>
    <row r="167" spans="1:97" ht="24" x14ac:dyDescent="0.25">
      <c r="A167" s="6" t="s">
        <v>708</v>
      </c>
      <c r="B167" s="10" t="s">
        <v>707</v>
      </c>
      <c r="C167" s="11" t="s">
        <v>194</v>
      </c>
      <c r="D167" s="11" t="s">
        <v>204</v>
      </c>
      <c r="E167" s="11" t="s">
        <v>196</v>
      </c>
      <c r="F167" s="11" t="s">
        <v>197</v>
      </c>
      <c r="G167" s="11"/>
      <c r="H167" s="11" t="s">
        <v>215</v>
      </c>
      <c r="I167" s="11" t="s">
        <v>216</v>
      </c>
      <c r="J167" s="11"/>
      <c r="K167" s="10"/>
      <c r="L167" s="11" t="s">
        <v>753</v>
      </c>
      <c r="M167" s="11" t="s">
        <v>199</v>
      </c>
      <c r="N167" s="20">
        <v>0</v>
      </c>
      <c r="O167" s="11" t="b">
        <v>0</v>
      </c>
      <c r="P167" s="11" t="s">
        <v>218</v>
      </c>
      <c r="Q167" s="11" t="s">
        <v>219</v>
      </c>
      <c r="R167" s="11" t="s">
        <v>219</v>
      </c>
      <c r="S167" s="11">
        <v>0</v>
      </c>
      <c r="T167" s="11">
        <v>0</v>
      </c>
      <c r="U167" s="11">
        <v>0</v>
      </c>
      <c r="V167" s="11">
        <v>0</v>
      </c>
      <c r="W167" s="11">
        <v>0</v>
      </c>
      <c r="X167" s="11">
        <v>0</v>
      </c>
      <c r="Y167" s="11">
        <v>0</v>
      </c>
      <c r="Z167" s="11">
        <v>0</v>
      </c>
      <c r="AA167" s="11">
        <v>0</v>
      </c>
      <c r="AB167" s="11">
        <v>0</v>
      </c>
      <c r="AC167" s="11">
        <v>0</v>
      </c>
      <c r="AD167" s="11">
        <v>0</v>
      </c>
      <c r="AE167" s="11">
        <v>0</v>
      </c>
      <c r="AF167" s="11">
        <v>0</v>
      </c>
      <c r="AG167" s="11">
        <v>0</v>
      </c>
      <c r="AH167" s="11">
        <v>0</v>
      </c>
      <c r="AI167" s="11">
        <v>0</v>
      </c>
      <c r="AJ167" s="11">
        <v>0</v>
      </c>
      <c r="AK167" s="11">
        <v>0</v>
      </c>
      <c r="AL167" s="11">
        <v>0</v>
      </c>
      <c r="AM167" s="11">
        <v>0</v>
      </c>
      <c r="AN167" s="11">
        <v>0</v>
      </c>
      <c r="AO167" s="11">
        <v>0</v>
      </c>
      <c r="AP167" s="11">
        <v>0</v>
      </c>
      <c r="AQ167" s="11">
        <v>0</v>
      </c>
      <c r="AR167" s="11">
        <v>0</v>
      </c>
      <c r="AS167" s="11">
        <v>0</v>
      </c>
      <c r="AT167" s="11">
        <v>0</v>
      </c>
      <c r="AU167" s="11">
        <v>0</v>
      </c>
      <c r="AV167" s="11">
        <v>0</v>
      </c>
      <c r="AW167" s="11">
        <v>0</v>
      </c>
      <c r="AX167" s="11">
        <v>0</v>
      </c>
      <c r="AY167" s="11">
        <v>0</v>
      </c>
      <c r="AZ167" s="11">
        <v>0</v>
      </c>
      <c r="BA167" s="11">
        <v>0</v>
      </c>
      <c r="BB167" s="11">
        <v>0</v>
      </c>
      <c r="BC167" s="11">
        <v>0</v>
      </c>
      <c r="BD167" s="11">
        <v>0</v>
      </c>
      <c r="BE167" s="11">
        <v>0</v>
      </c>
      <c r="BF167" s="11">
        <v>0</v>
      </c>
      <c r="BG167" s="11">
        <v>0</v>
      </c>
      <c r="BH167" s="11">
        <v>0</v>
      </c>
      <c r="BI167" s="11">
        <v>0</v>
      </c>
      <c r="BJ167" s="11">
        <v>0</v>
      </c>
      <c r="BK167" s="11">
        <v>0</v>
      </c>
      <c r="BL167" s="11">
        <v>0</v>
      </c>
      <c r="BM167" s="11">
        <v>0</v>
      </c>
      <c r="BN167" s="11">
        <v>0</v>
      </c>
      <c r="BO167" s="11">
        <v>0</v>
      </c>
      <c r="BP167" s="11">
        <v>0</v>
      </c>
      <c r="BQ167" s="11">
        <v>0</v>
      </c>
      <c r="BR167" s="11">
        <v>0</v>
      </c>
      <c r="BS167" s="11">
        <v>0</v>
      </c>
      <c r="BT167" s="11">
        <v>0</v>
      </c>
      <c r="BU167" s="11">
        <v>0</v>
      </c>
      <c r="BV167" s="11">
        <v>0</v>
      </c>
      <c r="BW167" s="11">
        <v>0</v>
      </c>
      <c r="BX167" s="11">
        <v>0</v>
      </c>
      <c r="BY167" s="11">
        <v>0</v>
      </c>
      <c r="BZ167" s="11">
        <v>0</v>
      </c>
      <c r="CA167" s="11">
        <v>0</v>
      </c>
      <c r="CB167" s="11">
        <v>0</v>
      </c>
      <c r="CC167" s="11">
        <v>0</v>
      </c>
      <c r="CD167" s="11">
        <v>0</v>
      </c>
      <c r="CE167" s="11">
        <v>0</v>
      </c>
      <c r="CF167" s="11">
        <v>0</v>
      </c>
      <c r="CG167" s="11">
        <v>0</v>
      </c>
      <c r="CH167" s="11">
        <v>0</v>
      </c>
      <c r="CI167" s="11">
        <v>0</v>
      </c>
      <c r="CJ167" s="11">
        <v>0</v>
      </c>
      <c r="CK167" s="11">
        <v>0</v>
      </c>
      <c r="CL167" s="11">
        <v>0</v>
      </c>
      <c r="CM167" s="11">
        <v>0</v>
      </c>
      <c r="CN167" s="11">
        <v>0</v>
      </c>
      <c r="CO167" s="11">
        <v>0</v>
      </c>
      <c r="CP167" s="11">
        <v>0</v>
      </c>
      <c r="CQ167" s="11">
        <v>0</v>
      </c>
      <c r="CR167" s="11">
        <v>0</v>
      </c>
      <c r="CS167" t="str">
        <f>IFERROR(INDEX('Initiative Summary'!$C$5:$C$25,MATCH($A167,'Initiative Summary'!$A$5:$A$25,0)),"")</f>
        <v>Southgate Region</v>
      </c>
    </row>
    <row r="168" spans="1:97" ht="24" x14ac:dyDescent="0.25">
      <c r="A168" s="6" t="s">
        <v>708</v>
      </c>
      <c r="B168" s="7" t="s">
        <v>707</v>
      </c>
      <c r="C168" s="8" t="s">
        <v>205</v>
      </c>
      <c r="D168" s="8" t="s">
        <v>195</v>
      </c>
      <c r="E168" s="8" t="s">
        <v>206</v>
      </c>
      <c r="F168" s="8" t="s">
        <v>207</v>
      </c>
      <c r="G168" s="8"/>
      <c r="H168" s="8"/>
      <c r="I168" s="8"/>
      <c r="J168" s="8"/>
      <c r="K168" s="7"/>
      <c r="L168" s="8" t="s">
        <v>754</v>
      </c>
      <c r="M168" s="8" t="s">
        <v>199</v>
      </c>
      <c r="N168" s="21">
        <v>3</v>
      </c>
      <c r="O168" s="8" t="b">
        <v>0</v>
      </c>
      <c r="P168" s="8" t="s">
        <v>201</v>
      </c>
      <c r="Q168" s="8" t="s">
        <v>219</v>
      </c>
      <c r="R168" s="8" t="s">
        <v>219</v>
      </c>
      <c r="S168" s="8"/>
      <c r="T168" s="21">
        <v>10.658999999999999</v>
      </c>
      <c r="U168" s="21">
        <v>17.169999999999998</v>
      </c>
      <c r="V168" s="21">
        <v>17.169999999999998</v>
      </c>
      <c r="W168" s="21">
        <v>17.169999999999998</v>
      </c>
      <c r="X168" s="8">
        <v>0</v>
      </c>
      <c r="Y168" s="8">
        <v>0</v>
      </c>
      <c r="Z168" s="8">
        <v>0</v>
      </c>
      <c r="AA168" s="8">
        <v>0</v>
      </c>
      <c r="AB168" s="8">
        <v>0</v>
      </c>
      <c r="AC168" s="8">
        <v>0</v>
      </c>
      <c r="AD168" s="8">
        <v>0</v>
      </c>
      <c r="AE168" s="8">
        <v>0</v>
      </c>
      <c r="AF168" s="8">
        <v>0</v>
      </c>
      <c r="AG168" s="8">
        <v>0</v>
      </c>
      <c r="AH168" s="8">
        <v>0</v>
      </c>
      <c r="AI168" s="8">
        <v>0</v>
      </c>
      <c r="AJ168" s="21">
        <v>0</v>
      </c>
      <c r="AK168" s="21">
        <v>0</v>
      </c>
      <c r="AL168" s="21">
        <v>0</v>
      </c>
      <c r="AM168" s="21">
        <v>0</v>
      </c>
      <c r="AN168" s="21">
        <v>0</v>
      </c>
      <c r="AO168" s="21">
        <v>10.659000000000001</v>
      </c>
      <c r="AP168" s="21">
        <v>10.659000000000001</v>
      </c>
      <c r="AQ168" s="21">
        <v>10.659000000000001</v>
      </c>
      <c r="AR168" s="21">
        <v>10.659000000000001</v>
      </c>
      <c r="AS168" s="21">
        <v>10.659000000000001</v>
      </c>
      <c r="AT168" s="21">
        <v>10.659000000000001</v>
      </c>
      <c r="AU168" s="21">
        <v>10.659000000000001</v>
      </c>
      <c r="AV168" s="21">
        <v>17.170000000000002</v>
      </c>
      <c r="AW168" s="21">
        <v>17.170000000000002</v>
      </c>
      <c r="AX168" s="21">
        <v>17.170000000000002</v>
      </c>
      <c r="AY168" s="21">
        <v>17.170000000000002</v>
      </c>
      <c r="AZ168" s="21">
        <v>17.170000000000002</v>
      </c>
      <c r="BA168" s="21">
        <v>17.170000000000002</v>
      </c>
      <c r="BB168" s="21">
        <v>17.170000000000002</v>
      </c>
      <c r="BC168" s="21">
        <v>17.170000000000002</v>
      </c>
      <c r="BD168" s="21">
        <v>17.170000000000002</v>
      </c>
      <c r="BE168" s="21">
        <v>17.170000000000002</v>
      </c>
      <c r="BF168" s="21">
        <v>17.170000000000002</v>
      </c>
      <c r="BG168" s="21">
        <v>17.170000000000002</v>
      </c>
      <c r="BH168" s="21">
        <v>17.170000000000002</v>
      </c>
      <c r="BI168" s="21">
        <v>17.170000000000002</v>
      </c>
      <c r="BJ168" s="21">
        <v>17.170000000000002</v>
      </c>
      <c r="BK168" s="21">
        <v>17.170000000000002</v>
      </c>
      <c r="BL168" s="21">
        <v>17.170000000000002</v>
      </c>
      <c r="BM168" s="21">
        <v>17.170000000000002</v>
      </c>
      <c r="BN168" s="21">
        <v>17.170000000000002</v>
      </c>
      <c r="BO168" s="21">
        <v>17.170000000000002</v>
      </c>
      <c r="BP168" s="21">
        <v>17.170000000000002</v>
      </c>
      <c r="BQ168" s="21">
        <v>17.170000000000002</v>
      </c>
      <c r="BR168" s="21">
        <v>17.170000000000002</v>
      </c>
      <c r="BS168" s="21">
        <v>17.170000000000002</v>
      </c>
      <c r="BT168" s="21">
        <v>17.170000000000002</v>
      </c>
      <c r="BU168" s="21">
        <v>17.170000000000002</v>
      </c>
      <c r="BV168" s="21">
        <v>17.170000000000002</v>
      </c>
      <c r="BW168" s="21">
        <v>17.170000000000002</v>
      </c>
      <c r="BX168" s="21">
        <v>17.170000000000002</v>
      </c>
      <c r="BY168" s="21">
        <v>17.170000000000002</v>
      </c>
      <c r="BZ168" s="21">
        <v>17.170000000000002</v>
      </c>
      <c r="CA168" s="21">
        <v>17.170000000000002</v>
      </c>
      <c r="CB168" s="21">
        <v>17.170000000000002</v>
      </c>
      <c r="CC168" s="21">
        <v>17.170000000000002</v>
      </c>
      <c r="CD168" s="21">
        <v>17.170000000000002</v>
      </c>
      <c r="CE168" s="21">
        <v>17.170000000000002</v>
      </c>
      <c r="CF168" s="8">
        <v>17.170000000000002</v>
      </c>
      <c r="CG168" s="8">
        <v>17.170000000000002</v>
      </c>
      <c r="CH168" s="8">
        <v>17.170000000000002</v>
      </c>
      <c r="CI168" s="8">
        <v>17.170000000000002</v>
      </c>
      <c r="CJ168" s="8">
        <v>17.170000000000002</v>
      </c>
      <c r="CK168" s="8">
        <v>17.170000000000002</v>
      </c>
      <c r="CL168" s="8">
        <v>17.170000000000002</v>
      </c>
      <c r="CM168" s="8">
        <v>17.170000000000002</v>
      </c>
      <c r="CN168" s="8">
        <v>17.170000000000002</v>
      </c>
      <c r="CO168" s="8">
        <v>17.170000000000002</v>
      </c>
      <c r="CP168" s="8">
        <v>17.170000000000002</v>
      </c>
      <c r="CQ168" s="8">
        <v>17.170000000000002</v>
      </c>
      <c r="CR168" s="8">
        <v>17.170000000000002</v>
      </c>
      <c r="CS168" t="str">
        <f>IFERROR(INDEX('Initiative Summary'!$C$5:$C$25,MATCH($A168,'Initiative Summary'!$A$5:$A$25,0)),"")</f>
        <v>Southgate Region</v>
      </c>
    </row>
    <row r="169" spans="1:97" ht="24" x14ac:dyDescent="0.25">
      <c r="A169" s="6" t="s">
        <v>708</v>
      </c>
      <c r="B169" s="10" t="s">
        <v>707</v>
      </c>
      <c r="C169" s="11" t="s">
        <v>205</v>
      </c>
      <c r="D169" s="11" t="s">
        <v>203</v>
      </c>
      <c r="E169" s="11" t="s">
        <v>206</v>
      </c>
      <c r="F169" s="11" t="s">
        <v>207</v>
      </c>
      <c r="G169" s="11"/>
      <c r="H169" s="11"/>
      <c r="I169" s="11"/>
      <c r="J169" s="11"/>
      <c r="K169" s="10"/>
      <c r="L169" s="11" t="s">
        <v>754</v>
      </c>
      <c r="M169" s="11" t="s">
        <v>199</v>
      </c>
      <c r="N169" s="20">
        <v>3</v>
      </c>
      <c r="O169" s="11" t="b">
        <v>0</v>
      </c>
      <c r="P169" s="11" t="s">
        <v>201</v>
      </c>
      <c r="Q169" s="11" t="s">
        <v>219</v>
      </c>
      <c r="R169" s="11" t="s">
        <v>219</v>
      </c>
      <c r="S169" s="11"/>
      <c r="T169" s="20">
        <v>14.297000000000001</v>
      </c>
      <c r="U169" s="20">
        <v>22.882000000000001</v>
      </c>
      <c r="V169" s="20">
        <v>22.882000000000001</v>
      </c>
      <c r="W169" s="20">
        <v>22.882000000000001</v>
      </c>
      <c r="X169" s="11">
        <v>0</v>
      </c>
      <c r="Y169" s="11">
        <v>0</v>
      </c>
      <c r="Z169" s="11">
        <v>0</v>
      </c>
      <c r="AA169" s="11">
        <v>0</v>
      </c>
      <c r="AB169" s="11">
        <v>0</v>
      </c>
      <c r="AC169" s="11">
        <v>0</v>
      </c>
      <c r="AD169" s="11">
        <v>0</v>
      </c>
      <c r="AE169" s="11">
        <v>0</v>
      </c>
      <c r="AF169" s="11">
        <v>0</v>
      </c>
      <c r="AG169" s="11">
        <v>0</v>
      </c>
      <c r="AH169" s="11">
        <v>0</v>
      </c>
      <c r="AI169" s="11">
        <v>0</v>
      </c>
      <c r="AJ169" s="20">
        <v>0</v>
      </c>
      <c r="AK169" s="20">
        <v>0</v>
      </c>
      <c r="AL169" s="20">
        <v>0</v>
      </c>
      <c r="AM169" s="20">
        <v>0</v>
      </c>
      <c r="AN169" s="20">
        <v>0</v>
      </c>
      <c r="AO169" s="20">
        <v>14.297000000000001</v>
      </c>
      <c r="AP169" s="20">
        <v>14.297000000000001</v>
      </c>
      <c r="AQ169" s="20">
        <v>14.297000000000001</v>
      </c>
      <c r="AR169" s="20">
        <v>14.297000000000001</v>
      </c>
      <c r="AS169" s="20">
        <v>14.297000000000001</v>
      </c>
      <c r="AT169" s="20">
        <v>14.297000000000001</v>
      </c>
      <c r="AU169" s="20">
        <v>14.297000000000001</v>
      </c>
      <c r="AV169" s="20">
        <v>22.882000000000001</v>
      </c>
      <c r="AW169" s="20">
        <v>22.882000000000001</v>
      </c>
      <c r="AX169" s="20">
        <v>22.882000000000001</v>
      </c>
      <c r="AY169" s="20">
        <v>22.882000000000001</v>
      </c>
      <c r="AZ169" s="20">
        <v>22.882000000000001</v>
      </c>
      <c r="BA169" s="20">
        <v>22.882000000000001</v>
      </c>
      <c r="BB169" s="20">
        <v>22.882000000000001</v>
      </c>
      <c r="BC169" s="20">
        <v>22.882000000000001</v>
      </c>
      <c r="BD169" s="20">
        <v>22.882000000000001</v>
      </c>
      <c r="BE169" s="20">
        <v>22.882000000000001</v>
      </c>
      <c r="BF169" s="20">
        <v>22.882000000000001</v>
      </c>
      <c r="BG169" s="20">
        <v>22.882000000000001</v>
      </c>
      <c r="BH169" s="20">
        <v>22.882000000000001</v>
      </c>
      <c r="BI169" s="20">
        <v>22.882000000000001</v>
      </c>
      <c r="BJ169" s="20">
        <v>22.882000000000001</v>
      </c>
      <c r="BK169" s="20">
        <v>22.882000000000001</v>
      </c>
      <c r="BL169" s="20">
        <v>22.882000000000001</v>
      </c>
      <c r="BM169" s="20">
        <v>22.882000000000001</v>
      </c>
      <c r="BN169" s="20">
        <v>22.882000000000001</v>
      </c>
      <c r="BO169" s="20">
        <v>22.882000000000001</v>
      </c>
      <c r="BP169" s="20">
        <v>22.882000000000001</v>
      </c>
      <c r="BQ169" s="20">
        <v>22.882000000000001</v>
      </c>
      <c r="BR169" s="20">
        <v>22.882000000000001</v>
      </c>
      <c r="BS169" s="20">
        <v>22.882000000000001</v>
      </c>
      <c r="BT169" s="20">
        <v>22.882000000000001</v>
      </c>
      <c r="BU169" s="20">
        <v>22.882000000000001</v>
      </c>
      <c r="BV169" s="20">
        <v>22.882000000000001</v>
      </c>
      <c r="BW169" s="20">
        <v>22.882000000000001</v>
      </c>
      <c r="BX169" s="20">
        <v>22.882000000000001</v>
      </c>
      <c r="BY169" s="20">
        <v>22.882000000000001</v>
      </c>
      <c r="BZ169" s="20">
        <v>22.882000000000001</v>
      </c>
      <c r="CA169" s="20">
        <v>22.882000000000001</v>
      </c>
      <c r="CB169" s="20">
        <v>22.882000000000001</v>
      </c>
      <c r="CC169" s="20">
        <v>22.882000000000001</v>
      </c>
      <c r="CD169" s="20">
        <v>22.882000000000001</v>
      </c>
      <c r="CE169" s="20">
        <v>22.882000000000001</v>
      </c>
      <c r="CF169" s="11">
        <v>22.882000000000001</v>
      </c>
      <c r="CG169" s="11">
        <v>22.882000000000001</v>
      </c>
      <c r="CH169" s="11">
        <v>22.882000000000001</v>
      </c>
      <c r="CI169" s="11">
        <v>22.882000000000001</v>
      </c>
      <c r="CJ169" s="11">
        <v>22.882000000000001</v>
      </c>
      <c r="CK169" s="11">
        <v>22.882000000000001</v>
      </c>
      <c r="CL169" s="11">
        <v>22.882000000000001</v>
      </c>
      <c r="CM169" s="11">
        <v>22.882000000000001</v>
      </c>
      <c r="CN169" s="11">
        <v>22.882000000000001</v>
      </c>
      <c r="CO169" s="11">
        <v>22.882000000000001</v>
      </c>
      <c r="CP169" s="11">
        <v>22.882000000000001</v>
      </c>
      <c r="CQ169" s="11">
        <v>22.882000000000001</v>
      </c>
      <c r="CR169" s="11">
        <v>22.882000000000001</v>
      </c>
      <c r="CS169" t="str">
        <f>IFERROR(INDEX('Initiative Summary'!$C$5:$C$25,MATCH($A169,'Initiative Summary'!$A$5:$A$25,0)),"")</f>
        <v>Southgate Region</v>
      </c>
    </row>
    <row r="170" spans="1:97" ht="24" x14ac:dyDescent="0.25">
      <c r="A170" s="6" t="s">
        <v>708</v>
      </c>
      <c r="B170" s="7" t="s">
        <v>707</v>
      </c>
      <c r="C170" s="8" t="s">
        <v>205</v>
      </c>
      <c r="D170" s="8" t="s">
        <v>204</v>
      </c>
      <c r="E170" s="8" t="s">
        <v>206</v>
      </c>
      <c r="F170" s="8" t="s">
        <v>207</v>
      </c>
      <c r="G170" s="8"/>
      <c r="H170" s="8"/>
      <c r="I170" s="8"/>
      <c r="J170" s="8"/>
      <c r="K170" s="7"/>
      <c r="L170" s="8" t="s">
        <v>754</v>
      </c>
      <c r="M170" s="8" t="s">
        <v>199</v>
      </c>
      <c r="N170" s="21">
        <v>3</v>
      </c>
      <c r="O170" s="8" t="b">
        <v>0</v>
      </c>
      <c r="P170" s="8" t="s">
        <v>201</v>
      </c>
      <c r="Q170" s="8" t="s">
        <v>219</v>
      </c>
      <c r="R170" s="8" t="s">
        <v>219</v>
      </c>
      <c r="S170" s="8"/>
      <c r="T170" s="8"/>
      <c r="U170" s="8"/>
      <c r="V170" s="8"/>
      <c r="W170" s="8"/>
      <c r="X170" s="8">
        <v>0</v>
      </c>
      <c r="Y170" s="8">
        <v>0</v>
      </c>
      <c r="Z170" s="8">
        <v>0</v>
      </c>
      <c r="AA170" s="8">
        <v>0</v>
      </c>
      <c r="AB170" s="8">
        <v>0</v>
      </c>
      <c r="AC170" s="8">
        <v>0</v>
      </c>
      <c r="AD170" s="8">
        <v>0</v>
      </c>
      <c r="AE170" s="8">
        <v>0</v>
      </c>
      <c r="AF170" s="8">
        <v>0</v>
      </c>
      <c r="AG170" s="8">
        <v>0</v>
      </c>
      <c r="AH170" s="8">
        <v>0</v>
      </c>
      <c r="AI170" s="8">
        <v>0</v>
      </c>
      <c r="AJ170" s="8">
        <v>0</v>
      </c>
      <c r="AK170" s="8">
        <v>0</v>
      </c>
      <c r="AL170" s="8">
        <v>0</v>
      </c>
      <c r="AM170" s="8">
        <v>0</v>
      </c>
      <c r="AN170" s="8">
        <v>0</v>
      </c>
      <c r="AO170" s="8">
        <v>0</v>
      </c>
      <c r="AP170" s="8">
        <v>0</v>
      </c>
      <c r="AQ170" s="8">
        <v>0</v>
      </c>
      <c r="AR170" s="8">
        <v>0</v>
      </c>
      <c r="AS170" s="8">
        <v>0</v>
      </c>
      <c r="AT170" s="8">
        <v>0</v>
      </c>
      <c r="AU170" s="8">
        <v>0</v>
      </c>
      <c r="AV170" s="8">
        <v>0</v>
      </c>
      <c r="AW170" s="8">
        <v>0</v>
      </c>
      <c r="AX170" s="8">
        <v>0</v>
      </c>
      <c r="AY170" s="8">
        <v>0</v>
      </c>
      <c r="AZ170" s="8">
        <v>0</v>
      </c>
      <c r="BA170" s="8">
        <v>0</v>
      </c>
      <c r="BB170" s="8">
        <v>0</v>
      </c>
      <c r="BC170" s="8">
        <v>0</v>
      </c>
      <c r="BD170" s="8">
        <v>0</v>
      </c>
      <c r="BE170" s="8">
        <v>0</v>
      </c>
      <c r="BF170" s="8">
        <v>0</v>
      </c>
      <c r="BG170" s="8">
        <v>0</v>
      </c>
      <c r="BH170" s="8">
        <v>0</v>
      </c>
      <c r="BI170" s="8">
        <v>0</v>
      </c>
      <c r="BJ170" s="8">
        <v>0</v>
      </c>
      <c r="BK170" s="8">
        <v>0</v>
      </c>
      <c r="BL170" s="8">
        <v>0</v>
      </c>
      <c r="BM170" s="8">
        <v>0</v>
      </c>
      <c r="BN170" s="8">
        <v>0</v>
      </c>
      <c r="BO170" s="8">
        <v>0</v>
      </c>
      <c r="BP170" s="8">
        <v>0</v>
      </c>
      <c r="BQ170" s="8">
        <v>0</v>
      </c>
      <c r="BR170" s="8">
        <v>0</v>
      </c>
      <c r="BS170" s="8">
        <v>0</v>
      </c>
      <c r="BT170" s="8">
        <v>0</v>
      </c>
      <c r="BU170" s="8">
        <v>0</v>
      </c>
      <c r="BV170" s="8">
        <v>0</v>
      </c>
      <c r="BW170" s="8">
        <v>0</v>
      </c>
      <c r="BX170" s="8">
        <v>0</v>
      </c>
      <c r="BY170" s="8">
        <v>0</v>
      </c>
      <c r="BZ170" s="8">
        <v>0</v>
      </c>
      <c r="CA170" s="8">
        <v>0</v>
      </c>
      <c r="CB170" s="8">
        <v>0</v>
      </c>
      <c r="CC170" s="8">
        <v>0</v>
      </c>
      <c r="CD170" s="8">
        <v>0</v>
      </c>
      <c r="CE170" s="8">
        <v>0</v>
      </c>
      <c r="CF170" s="8">
        <v>0</v>
      </c>
      <c r="CG170" s="8">
        <v>0</v>
      </c>
      <c r="CH170" s="8">
        <v>0</v>
      </c>
      <c r="CI170" s="8">
        <v>0</v>
      </c>
      <c r="CJ170" s="8">
        <v>0</v>
      </c>
      <c r="CK170" s="8">
        <v>0</v>
      </c>
      <c r="CL170" s="8">
        <v>0</v>
      </c>
      <c r="CM170" s="8">
        <v>0</v>
      </c>
      <c r="CN170" s="8">
        <v>0</v>
      </c>
      <c r="CO170" s="8">
        <v>0</v>
      </c>
      <c r="CP170" s="8">
        <v>0</v>
      </c>
      <c r="CQ170" s="8">
        <v>0</v>
      </c>
      <c r="CR170" s="8">
        <v>0</v>
      </c>
      <c r="CS170" t="str">
        <f>IFERROR(INDEX('Initiative Summary'!$C$5:$C$25,MATCH($A170,'Initiative Summary'!$A$5:$A$25,0)),"")</f>
        <v>Southgate Region</v>
      </c>
    </row>
    <row r="171" spans="1:97" ht="24" x14ac:dyDescent="0.25">
      <c r="A171" s="6" t="s">
        <v>708</v>
      </c>
      <c r="B171" s="10" t="s">
        <v>707</v>
      </c>
      <c r="C171" s="11" t="s">
        <v>206</v>
      </c>
      <c r="D171" s="11" t="s">
        <v>195</v>
      </c>
      <c r="E171" s="11" t="s">
        <v>206</v>
      </c>
      <c r="F171" s="11" t="s">
        <v>197</v>
      </c>
      <c r="G171" s="11"/>
      <c r="H171" s="11"/>
      <c r="I171" s="11"/>
      <c r="J171" s="11"/>
      <c r="K171" s="10"/>
      <c r="L171" s="11" t="s">
        <v>755</v>
      </c>
      <c r="M171" s="11" t="s">
        <v>199</v>
      </c>
      <c r="N171" s="20">
        <v>100</v>
      </c>
      <c r="O171" s="11" t="b">
        <v>0</v>
      </c>
      <c r="P171" s="11" t="s">
        <v>201</v>
      </c>
      <c r="Q171" s="11" t="s">
        <v>210</v>
      </c>
      <c r="R171" s="11" t="s">
        <v>210</v>
      </c>
      <c r="S171" s="11">
        <v>0</v>
      </c>
      <c r="T171" s="20">
        <v>1.054</v>
      </c>
      <c r="U171" s="20">
        <v>1.581</v>
      </c>
      <c r="V171" s="20">
        <v>1.581</v>
      </c>
      <c r="W171" s="20">
        <v>1.581</v>
      </c>
      <c r="X171" s="11">
        <v>0</v>
      </c>
      <c r="Y171" s="11">
        <v>0</v>
      </c>
      <c r="Z171" s="11">
        <v>0</v>
      </c>
      <c r="AA171" s="11">
        <v>0</v>
      </c>
      <c r="AB171" s="11">
        <v>0</v>
      </c>
      <c r="AC171" s="11">
        <v>0</v>
      </c>
      <c r="AD171" s="11">
        <v>0</v>
      </c>
      <c r="AE171" s="11">
        <v>0</v>
      </c>
      <c r="AF171" s="11">
        <v>0</v>
      </c>
      <c r="AG171" s="11">
        <v>0</v>
      </c>
      <c r="AH171" s="11">
        <v>0</v>
      </c>
      <c r="AI171" s="11">
        <v>0</v>
      </c>
      <c r="AJ171" s="20">
        <v>0</v>
      </c>
      <c r="AK171" s="20">
        <v>0</v>
      </c>
      <c r="AL171" s="20">
        <v>0</v>
      </c>
      <c r="AM171" s="20">
        <v>0</v>
      </c>
      <c r="AN171" s="20">
        <v>0</v>
      </c>
      <c r="AO171" s="20">
        <v>0.15057142857142858</v>
      </c>
      <c r="AP171" s="20">
        <v>0.15057142857142858</v>
      </c>
      <c r="AQ171" s="20">
        <v>0.15057142857142858</v>
      </c>
      <c r="AR171" s="20">
        <v>0.15057142857142858</v>
      </c>
      <c r="AS171" s="20">
        <v>0.15057142857142858</v>
      </c>
      <c r="AT171" s="20">
        <v>0.15057142857142858</v>
      </c>
      <c r="AU171" s="20">
        <v>0.15057142857142858</v>
      </c>
      <c r="AV171" s="20">
        <v>0.13175000000000001</v>
      </c>
      <c r="AW171" s="20">
        <v>0.13175000000000001</v>
      </c>
      <c r="AX171" s="20">
        <v>0.13175000000000001</v>
      </c>
      <c r="AY171" s="20">
        <v>0.13175000000000001</v>
      </c>
      <c r="AZ171" s="20">
        <v>0.13175000000000001</v>
      </c>
      <c r="BA171" s="20">
        <v>0.13175000000000001</v>
      </c>
      <c r="BB171" s="20">
        <v>0.13175000000000001</v>
      </c>
      <c r="BC171" s="20">
        <v>0.13175000000000001</v>
      </c>
      <c r="BD171" s="20">
        <v>0.13175000000000001</v>
      </c>
      <c r="BE171" s="20">
        <v>0.13175000000000001</v>
      </c>
      <c r="BF171" s="20">
        <v>0.13175000000000001</v>
      </c>
      <c r="BG171" s="20">
        <v>0.13175000000000001</v>
      </c>
      <c r="BH171" s="20">
        <v>0.13175000000000001</v>
      </c>
      <c r="BI171" s="20">
        <v>0.13175000000000001</v>
      </c>
      <c r="BJ171" s="20">
        <v>0.13175000000000001</v>
      </c>
      <c r="BK171" s="20">
        <v>0.13175000000000001</v>
      </c>
      <c r="BL171" s="20">
        <v>0.13175000000000001</v>
      </c>
      <c r="BM171" s="20">
        <v>0.13175000000000001</v>
      </c>
      <c r="BN171" s="20">
        <v>0.13175000000000001</v>
      </c>
      <c r="BO171" s="20">
        <v>0.13175000000000001</v>
      </c>
      <c r="BP171" s="20">
        <v>0.13175000000000001</v>
      </c>
      <c r="BQ171" s="20">
        <v>0.13175000000000001</v>
      </c>
      <c r="BR171" s="20">
        <v>0.13175000000000001</v>
      </c>
      <c r="BS171" s="20">
        <v>0.13175000000000001</v>
      </c>
      <c r="BT171" s="20">
        <v>0.13175000000000001</v>
      </c>
      <c r="BU171" s="20">
        <v>0.13175000000000001</v>
      </c>
      <c r="BV171" s="20">
        <v>0.13175000000000001</v>
      </c>
      <c r="BW171" s="20">
        <v>0.13175000000000001</v>
      </c>
      <c r="BX171" s="20">
        <v>0.13175000000000001</v>
      </c>
      <c r="BY171" s="20">
        <v>0.13175000000000001</v>
      </c>
      <c r="BZ171" s="20">
        <v>0.13175000000000001</v>
      </c>
      <c r="CA171" s="20">
        <v>0.13175000000000001</v>
      </c>
      <c r="CB171" s="20">
        <v>0.13175000000000001</v>
      </c>
      <c r="CC171" s="20">
        <v>0.13175000000000001</v>
      </c>
      <c r="CD171" s="20">
        <v>0.13175000000000001</v>
      </c>
      <c r="CE171" s="20">
        <v>0.13175000000000001</v>
      </c>
      <c r="CF171" s="11">
        <v>1.581</v>
      </c>
      <c r="CG171" s="11">
        <v>0.13175000000000001</v>
      </c>
      <c r="CH171" s="11">
        <v>0.13175000000000001</v>
      </c>
      <c r="CI171" s="11">
        <v>0.13175000000000001</v>
      </c>
      <c r="CJ171" s="11">
        <v>0.13175000000000001</v>
      </c>
      <c r="CK171" s="11">
        <v>0.13175000000000001</v>
      </c>
      <c r="CL171" s="11">
        <v>0.13175000000000001</v>
      </c>
      <c r="CM171" s="11">
        <v>0.13175000000000001</v>
      </c>
      <c r="CN171" s="11">
        <v>0.13175000000000001</v>
      </c>
      <c r="CO171" s="11">
        <v>0.13175000000000001</v>
      </c>
      <c r="CP171" s="11">
        <v>0.13175000000000001</v>
      </c>
      <c r="CQ171" s="11">
        <v>0.13175000000000001</v>
      </c>
      <c r="CR171" s="11">
        <v>0.13175000000000001</v>
      </c>
      <c r="CS171" t="str">
        <f>IFERROR(INDEX('Initiative Summary'!$C$5:$C$25,MATCH($A171,'Initiative Summary'!$A$5:$A$25,0)),"")</f>
        <v>Southgate Region</v>
      </c>
    </row>
    <row r="172" spans="1:97" ht="24" x14ac:dyDescent="0.25">
      <c r="A172" s="6" t="s">
        <v>708</v>
      </c>
      <c r="B172" s="7" t="s">
        <v>707</v>
      </c>
      <c r="C172" s="8" t="s">
        <v>206</v>
      </c>
      <c r="D172" s="8" t="s">
        <v>203</v>
      </c>
      <c r="E172" s="8" t="s">
        <v>206</v>
      </c>
      <c r="F172" s="8" t="s">
        <v>197</v>
      </c>
      <c r="G172" s="8"/>
      <c r="H172" s="8"/>
      <c r="I172" s="8"/>
      <c r="J172" s="8"/>
      <c r="K172" s="7"/>
      <c r="L172" s="8" t="s">
        <v>755</v>
      </c>
      <c r="M172" s="8" t="s">
        <v>199</v>
      </c>
      <c r="N172" s="21">
        <v>100</v>
      </c>
      <c r="O172" s="8" t="b">
        <v>0</v>
      </c>
      <c r="P172" s="8" t="s">
        <v>201</v>
      </c>
      <c r="Q172" s="8" t="s">
        <v>210</v>
      </c>
      <c r="R172" s="8" t="s">
        <v>210</v>
      </c>
      <c r="S172" s="8">
        <v>0</v>
      </c>
      <c r="T172" s="21">
        <v>1.411</v>
      </c>
      <c r="U172" s="21">
        <v>2.1080000000000001</v>
      </c>
      <c r="V172" s="21">
        <v>2.1080000000000001</v>
      </c>
      <c r="W172" s="21">
        <v>2.1080000000000001</v>
      </c>
      <c r="X172" s="8">
        <v>0</v>
      </c>
      <c r="Y172" s="8">
        <v>0</v>
      </c>
      <c r="Z172" s="8">
        <v>0</v>
      </c>
      <c r="AA172" s="8">
        <v>0</v>
      </c>
      <c r="AB172" s="8">
        <v>0</v>
      </c>
      <c r="AC172" s="8">
        <v>0</v>
      </c>
      <c r="AD172" s="8">
        <v>0</v>
      </c>
      <c r="AE172" s="8">
        <v>0</v>
      </c>
      <c r="AF172" s="8">
        <v>0</v>
      </c>
      <c r="AG172" s="8">
        <v>0</v>
      </c>
      <c r="AH172" s="8">
        <v>0</v>
      </c>
      <c r="AI172" s="8">
        <v>0</v>
      </c>
      <c r="AJ172" s="21">
        <v>0</v>
      </c>
      <c r="AK172" s="21">
        <v>0</v>
      </c>
      <c r="AL172" s="21">
        <v>0</v>
      </c>
      <c r="AM172" s="21">
        <v>0</v>
      </c>
      <c r="AN172" s="21">
        <v>0</v>
      </c>
      <c r="AO172" s="21">
        <v>0.20157142857142857</v>
      </c>
      <c r="AP172" s="21">
        <v>0.20157142857142857</v>
      </c>
      <c r="AQ172" s="21">
        <v>0.20157142857142857</v>
      </c>
      <c r="AR172" s="21">
        <v>0.20157142857142857</v>
      </c>
      <c r="AS172" s="21">
        <v>0.20157142857142857</v>
      </c>
      <c r="AT172" s="21">
        <v>0.20157142857142857</v>
      </c>
      <c r="AU172" s="21">
        <v>0.20157142857142857</v>
      </c>
      <c r="AV172" s="21">
        <v>0.17566666666666667</v>
      </c>
      <c r="AW172" s="21">
        <v>0.17566666666666667</v>
      </c>
      <c r="AX172" s="21">
        <v>0.17566666666666667</v>
      </c>
      <c r="AY172" s="21">
        <v>0.17566666666666667</v>
      </c>
      <c r="AZ172" s="21">
        <v>0.17566666666666667</v>
      </c>
      <c r="BA172" s="21">
        <v>0.17566666666666667</v>
      </c>
      <c r="BB172" s="21">
        <v>0.17566666666666667</v>
      </c>
      <c r="BC172" s="21">
        <v>0.17566666666666667</v>
      </c>
      <c r="BD172" s="21">
        <v>0.17566666666666667</v>
      </c>
      <c r="BE172" s="21">
        <v>0.17566666666666667</v>
      </c>
      <c r="BF172" s="21">
        <v>0.17566666666666667</v>
      </c>
      <c r="BG172" s="21">
        <v>0.17566666666666667</v>
      </c>
      <c r="BH172" s="21">
        <v>0.17566666666666667</v>
      </c>
      <c r="BI172" s="21">
        <v>0.17566666666666667</v>
      </c>
      <c r="BJ172" s="21">
        <v>0.17566666666666667</v>
      </c>
      <c r="BK172" s="21">
        <v>0.17566666666666667</v>
      </c>
      <c r="BL172" s="21">
        <v>0.17566666666666667</v>
      </c>
      <c r="BM172" s="21">
        <v>0.17566666666666667</v>
      </c>
      <c r="BN172" s="21">
        <v>0.17566666666666667</v>
      </c>
      <c r="BO172" s="21">
        <v>0.17566666666666667</v>
      </c>
      <c r="BP172" s="21">
        <v>0.17566666666666667</v>
      </c>
      <c r="BQ172" s="21">
        <v>0.17566666666666667</v>
      </c>
      <c r="BR172" s="21">
        <v>0.17566666666666667</v>
      </c>
      <c r="BS172" s="21">
        <v>0.17566666666666667</v>
      </c>
      <c r="BT172" s="21">
        <v>0.17566666666666667</v>
      </c>
      <c r="BU172" s="21">
        <v>0.17566666666666667</v>
      </c>
      <c r="BV172" s="21">
        <v>0.17566666666666667</v>
      </c>
      <c r="BW172" s="21">
        <v>0.17566666666666667</v>
      </c>
      <c r="BX172" s="21">
        <v>0.17566666666666667</v>
      </c>
      <c r="BY172" s="21">
        <v>0.17566666666666667</v>
      </c>
      <c r="BZ172" s="21">
        <v>0.17566666666666667</v>
      </c>
      <c r="CA172" s="21">
        <v>0.17566666666666667</v>
      </c>
      <c r="CB172" s="21">
        <v>0.17566666666666667</v>
      </c>
      <c r="CC172" s="21">
        <v>0.17566666666666667</v>
      </c>
      <c r="CD172" s="21">
        <v>0.17566666666666667</v>
      </c>
      <c r="CE172" s="21">
        <v>0.17566666666666667</v>
      </c>
      <c r="CF172" s="8">
        <v>2.1080000000000001</v>
      </c>
      <c r="CG172" s="8">
        <v>0.17566666666666667</v>
      </c>
      <c r="CH172" s="8">
        <v>0.17566666666666667</v>
      </c>
      <c r="CI172" s="8">
        <v>0.17566666666666667</v>
      </c>
      <c r="CJ172" s="8">
        <v>0.17566666666666667</v>
      </c>
      <c r="CK172" s="8">
        <v>0.17566666666666667</v>
      </c>
      <c r="CL172" s="8">
        <v>0.17566666666666667</v>
      </c>
      <c r="CM172" s="8">
        <v>0.17566666666666667</v>
      </c>
      <c r="CN172" s="8">
        <v>0.17566666666666667</v>
      </c>
      <c r="CO172" s="8">
        <v>0.17566666666666667</v>
      </c>
      <c r="CP172" s="8">
        <v>0.17566666666666667</v>
      </c>
      <c r="CQ172" s="8">
        <v>0.17566666666666667</v>
      </c>
      <c r="CR172" s="8">
        <v>0.17566666666666667</v>
      </c>
      <c r="CS172" t="str">
        <f>IFERROR(INDEX('Initiative Summary'!$C$5:$C$25,MATCH($A172,'Initiative Summary'!$A$5:$A$25,0)),"")</f>
        <v>Southgate Region</v>
      </c>
    </row>
    <row r="173" spans="1:97" ht="24" x14ac:dyDescent="0.25">
      <c r="A173" s="6" t="s">
        <v>708</v>
      </c>
      <c r="B173" s="10" t="s">
        <v>707</v>
      </c>
      <c r="C173" s="11" t="s">
        <v>206</v>
      </c>
      <c r="D173" s="11" t="s">
        <v>204</v>
      </c>
      <c r="E173" s="11" t="s">
        <v>206</v>
      </c>
      <c r="F173" s="11" t="s">
        <v>197</v>
      </c>
      <c r="G173" s="11"/>
      <c r="H173" s="11"/>
      <c r="I173" s="11"/>
      <c r="J173" s="11"/>
      <c r="K173" s="10"/>
      <c r="L173" s="11" t="s">
        <v>755</v>
      </c>
      <c r="M173" s="11" t="s">
        <v>199</v>
      </c>
      <c r="N173" s="20">
        <v>100</v>
      </c>
      <c r="O173" s="11" t="b">
        <v>0</v>
      </c>
      <c r="P173" s="11" t="s">
        <v>201</v>
      </c>
      <c r="Q173" s="11" t="s">
        <v>210</v>
      </c>
      <c r="R173" s="11" t="s">
        <v>210</v>
      </c>
      <c r="S173" s="11"/>
      <c r="T173" s="11"/>
      <c r="U173" s="11"/>
      <c r="V173" s="11"/>
      <c r="W173" s="11"/>
      <c r="X173" s="11">
        <v>0</v>
      </c>
      <c r="Y173" s="11">
        <v>0</v>
      </c>
      <c r="Z173" s="11">
        <v>0</v>
      </c>
      <c r="AA173" s="11">
        <v>0</v>
      </c>
      <c r="AB173" s="11">
        <v>0</v>
      </c>
      <c r="AC173" s="11">
        <v>0</v>
      </c>
      <c r="AD173" s="11">
        <v>0</v>
      </c>
      <c r="AE173" s="11">
        <v>0</v>
      </c>
      <c r="AF173" s="11">
        <v>0</v>
      </c>
      <c r="AG173" s="11">
        <v>0</v>
      </c>
      <c r="AH173" s="11">
        <v>0</v>
      </c>
      <c r="AI173" s="11">
        <v>0</v>
      </c>
      <c r="AJ173" s="11">
        <v>0</v>
      </c>
      <c r="AK173" s="11">
        <v>0</v>
      </c>
      <c r="AL173" s="11">
        <v>0</v>
      </c>
      <c r="AM173" s="11">
        <v>0</v>
      </c>
      <c r="AN173" s="11">
        <v>0</v>
      </c>
      <c r="AO173" s="11">
        <v>0</v>
      </c>
      <c r="AP173" s="11">
        <v>0</v>
      </c>
      <c r="AQ173" s="11">
        <v>0</v>
      </c>
      <c r="AR173" s="11">
        <v>0</v>
      </c>
      <c r="AS173" s="11">
        <v>0</v>
      </c>
      <c r="AT173" s="11">
        <v>0</v>
      </c>
      <c r="AU173" s="11">
        <v>0</v>
      </c>
      <c r="AV173" s="11">
        <v>0</v>
      </c>
      <c r="AW173" s="11">
        <v>0</v>
      </c>
      <c r="AX173" s="11">
        <v>0</v>
      </c>
      <c r="AY173" s="11">
        <v>0</v>
      </c>
      <c r="AZ173" s="11">
        <v>0</v>
      </c>
      <c r="BA173" s="11">
        <v>0</v>
      </c>
      <c r="BB173" s="11">
        <v>0</v>
      </c>
      <c r="BC173" s="11">
        <v>0</v>
      </c>
      <c r="BD173" s="11">
        <v>0</v>
      </c>
      <c r="BE173" s="11">
        <v>0</v>
      </c>
      <c r="BF173" s="11">
        <v>0</v>
      </c>
      <c r="BG173" s="11">
        <v>0</v>
      </c>
      <c r="BH173" s="11">
        <v>0</v>
      </c>
      <c r="BI173" s="11">
        <v>0</v>
      </c>
      <c r="BJ173" s="11">
        <v>0</v>
      </c>
      <c r="BK173" s="11">
        <v>0</v>
      </c>
      <c r="BL173" s="11">
        <v>0</v>
      </c>
      <c r="BM173" s="11">
        <v>0</v>
      </c>
      <c r="BN173" s="11">
        <v>0</v>
      </c>
      <c r="BO173" s="11">
        <v>0</v>
      </c>
      <c r="BP173" s="11">
        <v>0</v>
      </c>
      <c r="BQ173" s="11">
        <v>0</v>
      </c>
      <c r="BR173" s="11">
        <v>0</v>
      </c>
      <c r="BS173" s="11">
        <v>0</v>
      </c>
      <c r="BT173" s="11">
        <v>0</v>
      </c>
      <c r="BU173" s="11">
        <v>0</v>
      </c>
      <c r="BV173" s="11">
        <v>0</v>
      </c>
      <c r="BW173" s="11">
        <v>0</v>
      </c>
      <c r="BX173" s="11">
        <v>0</v>
      </c>
      <c r="BY173" s="11">
        <v>0</v>
      </c>
      <c r="BZ173" s="11">
        <v>0</v>
      </c>
      <c r="CA173" s="11">
        <v>0</v>
      </c>
      <c r="CB173" s="11">
        <v>0</v>
      </c>
      <c r="CC173" s="11">
        <v>0</v>
      </c>
      <c r="CD173" s="11">
        <v>0</v>
      </c>
      <c r="CE173" s="11">
        <v>0</v>
      </c>
      <c r="CF173" s="11">
        <v>0</v>
      </c>
      <c r="CG173" s="11">
        <v>0</v>
      </c>
      <c r="CH173" s="11">
        <v>0</v>
      </c>
      <c r="CI173" s="11">
        <v>0</v>
      </c>
      <c r="CJ173" s="11">
        <v>0</v>
      </c>
      <c r="CK173" s="11">
        <v>0</v>
      </c>
      <c r="CL173" s="11">
        <v>0</v>
      </c>
      <c r="CM173" s="11">
        <v>0</v>
      </c>
      <c r="CN173" s="11">
        <v>0</v>
      </c>
      <c r="CO173" s="11">
        <v>0</v>
      </c>
      <c r="CP173" s="11">
        <v>0</v>
      </c>
      <c r="CQ173" s="11">
        <v>0</v>
      </c>
      <c r="CR173" s="11">
        <v>0</v>
      </c>
      <c r="CS173" t="str">
        <f>IFERROR(INDEX('Initiative Summary'!$C$5:$C$25,MATCH($A173,'Initiative Summary'!$A$5:$A$25,0)),"")</f>
        <v>Southgate Region</v>
      </c>
    </row>
    <row r="174" spans="1:97" ht="24" x14ac:dyDescent="0.25">
      <c r="A174" s="6" t="s">
        <v>711</v>
      </c>
      <c r="B174" s="7" t="s">
        <v>710</v>
      </c>
      <c r="C174" s="8" t="s">
        <v>194</v>
      </c>
      <c r="D174" s="8" t="s">
        <v>195</v>
      </c>
      <c r="E174" s="8" t="s">
        <v>196</v>
      </c>
      <c r="F174" s="8" t="s">
        <v>197</v>
      </c>
      <c r="G174" s="8"/>
      <c r="H174" s="8"/>
      <c r="I174" s="8"/>
      <c r="J174" s="8"/>
      <c r="K174" s="7"/>
      <c r="L174" s="8" t="s">
        <v>756</v>
      </c>
      <c r="M174" s="8" t="s">
        <v>199</v>
      </c>
      <c r="N174" s="21">
        <v>0</v>
      </c>
      <c r="O174" s="8" t="b">
        <v>0</v>
      </c>
      <c r="P174" s="8" t="s">
        <v>201</v>
      </c>
      <c r="Q174" s="8" t="s">
        <v>223</v>
      </c>
      <c r="R174" s="8" t="s">
        <v>223</v>
      </c>
      <c r="S174" s="8">
        <v>0.59799999999999998</v>
      </c>
      <c r="T174" s="21">
        <v>1.2649999999999999</v>
      </c>
      <c r="U174" s="21">
        <v>1.2649999999999999</v>
      </c>
      <c r="V174" s="21">
        <v>1.2649999999999999</v>
      </c>
      <c r="W174" s="21">
        <v>1.2649999999999999</v>
      </c>
      <c r="X174" s="8">
        <v>0</v>
      </c>
      <c r="Y174" s="8">
        <v>0</v>
      </c>
      <c r="Z174" s="8">
        <v>0</v>
      </c>
      <c r="AA174" s="8">
        <v>0</v>
      </c>
      <c r="AB174" s="8">
        <v>0</v>
      </c>
      <c r="AC174" s="8">
        <v>0</v>
      </c>
      <c r="AD174" s="8">
        <v>0</v>
      </c>
      <c r="AE174" s="8">
        <v>0</v>
      </c>
      <c r="AF174" s="8">
        <v>0</v>
      </c>
      <c r="AG174" s="8">
        <v>0</v>
      </c>
      <c r="AH174" s="8">
        <v>0.29899999999999999</v>
      </c>
      <c r="AI174" s="8">
        <v>0.29899999999999999</v>
      </c>
      <c r="AJ174" s="21">
        <v>0.10541666666666666</v>
      </c>
      <c r="AK174" s="21">
        <v>0.10541666666666666</v>
      </c>
      <c r="AL174" s="21">
        <v>0.10541666666666666</v>
      </c>
      <c r="AM174" s="21">
        <v>0.10541666666666666</v>
      </c>
      <c r="AN174" s="21">
        <v>0.10541666666666666</v>
      </c>
      <c r="AO174" s="21">
        <v>0.10541666666666666</v>
      </c>
      <c r="AP174" s="21">
        <v>0.10541666666666666</v>
      </c>
      <c r="AQ174" s="21">
        <v>0.10541666666666666</v>
      </c>
      <c r="AR174" s="21">
        <v>0.10541666666666666</v>
      </c>
      <c r="AS174" s="21">
        <v>0.10541666666666666</v>
      </c>
      <c r="AT174" s="21">
        <v>0.10541666666666666</v>
      </c>
      <c r="AU174" s="21">
        <v>0.10541666666666666</v>
      </c>
      <c r="AV174" s="21">
        <v>0.10541666666666666</v>
      </c>
      <c r="AW174" s="21">
        <v>0.10541666666666666</v>
      </c>
      <c r="AX174" s="21">
        <v>0.10541666666666666</v>
      </c>
      <c r="AY174" s="21">
        <v>0.10541666666666666</v>
      </c>
      <c r="AZ174" s="21">
        <v>0.10541666666666666</v>
      </c>
      <c r="BA174" s="21">
        <v>0.10541666666666666</v>
      </c>
      <c r="BB174" s="21">
        <v>0.10541666666666666</v>
      </c>
      <c r="BC174" s="21">
        <v>0.10541666666666666</v>
      </c>
      <c r="BD174" s="21">
        <v>0.10541666666666666</v>
      </c>
      <c r="BE174" s="21">
        <v>0.10541666666666666</v>
      </c>
      <c r="BF174" s="21">
        <v>0.10541666666666666</v>
      </c>
      <c r="BG174" s="21">
        <v>0.10541666666666666</v>
      </c>
      <c r="BH174" s="21">
        <v>0.10541666666666666</v>
      </c>
      <c r="BI174" s="21">
        <v>0.10541666666666666</v>
      </c>
      <c r="BJ174" s="21">
        <v>0.10541666666666666</v>
      </c>
      <c r="BK174" s="21">
        <v>0.10541666666666666</v>
      </c>
      <c r="BL174" s="21">
        <v>0.10541666666666666</v>
      </c>
      <c r="BM174" s="21">
        <v>0.10541666666666666</v>
      </c>
      <c r="BN174" s="21">
        <v>0.10541666666666666</v>
      </c>
      <c r="BO174" s="21">
        <v>0.10541666666666666</v>
      </c>
      <c r="BP174" s="21">
        <v>0.10541666666666666</v>
      </c>
      <c r="BQ174" s="21">
        <v>0.10541666666666666</v>
      </c>
      <c r="BR174" s="21">
        <v>0.10541666666666666</v>
      </c>
      <c r="BS174" s="21">
        <v>0.10541666666666666</v>
      </c>
      <c r="BT174" s="21">
        <v>0.10541666666666666</v>
      </c>
      <c r="BU174" s="21">
        <v>0.10541666666666666</v>
      </c>
      <c r="BV174" s="21">
        <v>0.10541666666666666</v>
      </c>
      <c r="BW174" s="21">
        <v>0.10541666666666666</v>
      </c>
      <c r="BX174" s="21">
        <v>0.10541666666666666</v>
      </c>
      <c r="BY174" s="21">
        <v>0.10541666666666666</v>
      </c>
      <c r="BZ174" s="21">
        <v>0.10541666666666666</v>
      </c>
      <c r="CA174" s="21">
        <v>0.10541666666666666</v>
      </c>
      <c r="CB174" s="21">
        <v>0.10541666666666666</v>
      </c>
      <c r="CC174" s="21">
        <v>0.10541666666666666</v>
      </c>
      <c r="CD174" s="21">
        <v>0.10541666666666666</v>
      </c>
      <c r="CE174" s="21">
        <v>0.10541666666666666</v>
      </c>
      <c r="CF174" s="8">
        <v>1.2649999999999999</v>
      </c>
      <c r="CG174" s="8">
        <v>0.10541666666666666</v>
      </c>
      <c r="CH174" s="8">
        <v>0.10541666666666666</v>
      </c>
      <c r="CI174" s="8">
        <v>0.10541666666666666</v>
      </c>
      <c r="CJ174" s="8">
        <v>0.10541666666666666</v>
      </c>
      <c r="CK174" s="8">
        <v>0.10541666666666666</v>
      </c>
      <c r="CL174" s="8">
        <v>0.10541666666666666</v>
      </c>
      <c r="CM174" s="8">
        <v>0.10541666666666666</v>
      </c>
      <c r="CN174" s="8">
        <v>0.10541666666666666</v>
      </c>
      <c r="CO174" s="8">
        <v>0.10541666666666666</v>
      </c>
      <c r="CP174" s="8">
        <v>0.10541666666666666</v>
      </c>
      <c r="CQ174" s="8">
        <v>0.10541666666666666</v>
      </c>
      <c r="CR174" s="8">
        <v>0.10541666666666666</v>
      </c>
      <c r="CS174" t="str">
        <f>IFERROR(INDEX('Initiative Summary'!$C$5:$C$25,MATCH($A174,'Initiative Summary'!$A$5:$A$25,0)),"")</f>
        <v>Southgate Region</v>
      </c>
    </row>
    <row r="175" spans="1:97" ht="24" x14ac:dyDescent="0.25">
      <c r="A175" s="6" t="s">
        <v>711</v>
      </c>
      <c r="B175" s="10" t="s">
        <v>710</v>
      </c>
      <c r="C175" s="11" t="s">
        <v>194</v>
      </c>
      <c r="D175" s="11" t="s">
        <v>203</v>
      </c>
      <c r="E175" s="11" t="s">
        <v>196</v>
      </c>
      <c r="F175" s="11" t="s">
        <v>197</v>
      </c>
      <c r="G175" s="11"/>
      <c r="H175" s="11"/>
      <c r="I175" s="11"/>
      <c r="J175" s="11"/>
      <c r="K175" s="10"/>
      <c r="L175" s="11" t="s">
        <v>756</v>
      </c>
      <c r="M175" s="11" t="s">
        <v>199</v>
      </c>
      <c r="N175" s="20">
        <v>0</v>
      </c>
      <c r="O175" s="11" t="b">
        <v>0</v>
      </c>
      <c r="P175" s="11" t="s">
        <v>201</v>
      </c>
      <c r="Q175" s="11" t="s">
        <v>223</v>
      </c>
      <c r="R175" s="11" t="s">
        <v>223</v>
      </c>
      <c r="S175" s="11">
        <v>0.89700000000000002</v>
      </c>
      <c r="T175" s="20">
        <v>1.794</v>
      </c>
      <c r="U175" s="20">
        <v>1.794</v>
      </c>
      <c r="V175" s="20">
        <v>1.794</v>
      </c>
      <c r="W175" s="20">
        <v>1.794</v>
      </c>
      <c r="X175" s="11">
        <v>0</v>
      </c>
      <c r="Y175" s="11">
        <v>0</v>
      </c>
      <c r="Z175" s="11">
        <v>0</v>
      </c>
      <c r="AA175" s="11">
        <v>0</v>
      </c>
      <c r="AB175" s="11">
        <v>0</v>
      </c>
      <c r="AC175" s="11">
        <v>0</v>
      </c>
      <c r="AD175" s="11">
        <v>0</v>
      </c>
      <c r="AE175" s="11">
        <v>0</v>
      </c>
      <c r="AF175" s="11">
        <v>0</v>
      </c>
      <c r="AG175" s="11">
        <v>0</v>
      </c>
      <c r="AH175" s="11">
        <v>0.44850000000000001</v>
      </c>
      <c r="AI175" s="11">
        <v>0.44850000000000001</v>
      </c>
      <c r="AJ175" s="20">
        <v>0.14949999999999999</v>
      </c>
      <c r="AK175" s="20">
        <v>0.14949999999999999</v>
      </c>
      <c r="AL175" s="20">
        <v>0.14949999999999999</v>
      </c>
      <c r="AM175" s="20">
        <v>0.14949999999999999</v>
      </c>
      <c r="AN175" s="20">
        <v>0.14949999999999999</v>
      </c>
      <c r="AO175" s="20">
        <v>0.14949999999999999</v>
      </c>
      <c r="AP175" s="20">
        <v>0.14949999999999999</v>
      </c>
      <c r="AQ175" s="20">
        <v>0.14949999999999999</v>
      </c>
      <c r="AR175" s="20">
        <v>0.14949999999999999</v>
      </c>
      <c r="AS175" s="20">
        <v>0.14949999999999999</v>
      </c>
      <c r="AT175" s="20">
        <v>0.14949999999999999</v>
      </c>
      <c r="AU175" s="20">
        <v>0.14949999999999999</v>
      </c>
      <c r="AV175" s="20">
        <v>0.14949999999999999</v>
      </c>
      <c r="AW175" s="20">
        <v>0.14949999999999999</v>
      </c>
      <c r="AX175" s="20">
        <v>0.14949999999999999</v>
      </c>
      <c r="AY175" s="20">
        <v>0.14949999999999999</v>
      </c>
      <c r="AZ175" s="20">
        <v>0.14949999999999999</v>
      </c>
      <c r="BA175" s="20">
        <v>0.14949999999999999</v>
      </c>
      <c r="BB175" s="20">
        <v>0.14949999999999999</v>
      </c>
      <c r="BC175" s="20">
        <v>0.14949999999999999</v>
      </c>
      <c r="BD175" s="20">
        <v>0.14949999999999999</v>
      </c>
      <c r="BE175" s="20">
        <v>0.14949999999999999</v>
      </c>
      <c r="BF175" s="20">
        <v>0.14949999999999999</v>
      </c>
      <c r="BG175" s="20">
        <v>0.14949999999999999</v>
      </c>
      <c r="BH175" s="20">
        <v>0.14949999999999999</v>
      </c>
      <c r="BI175" s="20">
        <v>0.14949999999999999</v>
      </c>
      <c r="BJ175" s="20">
        <v>0.14949999999999999</v>
      </c>
      <c r="BK175" s="20">
        <v>0.14949999999999999</v>
      </c>
      <c r="BL175" s="20">
        <v>0.14949999999999999</v>
      </c>
      <c r="BM175" s="20">
        <v>0.14949999999999999</v>
      </c>
      <c r="BN175" s="20">
        <v>0.14949999999999999</v>
      </c>
      <c r="BO175" s="20">
        <v>0.14949999999999999</v>
      </c>
      <c r="BP175" s="20">
        <v>0.14949999999999999</v>
      </c>
      <c r="BQ175" s="20">
        <v>0.14949999999999999</v>
      </c>
      <c r="BR175" s="20">
        <v>0.14949999999999999</v>
      </c>
      <c r="BS175" s="20">
        <v>0.14949999999999999</v>
      </c>
      <c r="BT175" s="20">
        <v>0.14949999999999999</v>
      </c>
      <c r="BU175" s="20">
        <v>0.14949999999999999</v>
      </c>
      <c r="BV175" s="20">
        <v>0.14949999999999999</v>
      </c>
      <c r="BW175" s="20">
        <v>0.14949999999999999</v>
      </c>
      <c r="BX175" s="20">
        <v>0.14949999999999999</v>
      </c>
      <c r="BY175" s="20">
        <v>0.14949999999999999</v>
      </c>
      <c r="BZ175" s="20">
        <v>0.14949999999999999</v>
      </c>
      <c r="CA175" s="20">
        <v>0.14949999999999999</v>
      </c>
      <c r="CB175" s="20">
        <v>0.14949999999999999</v>
      </c>
      <c r="CC175" s="20">
        <v>0.14949999999999999</v>
      </c>
      <c r="CD175" s="20">
        <v>0.14949999999999999</v>
      </c>
      <c r="CE175" s="20">
        <v>0.14949999999999999</v>
      </c>
      <c r="CF175" s="11">
        <v>1.794</v>
      </c>
      <c r="CG175" s="11">
        <v>0.14949999999999999</v>
      </c>
      <c r="CH175" s="11">
        <v>0.14949999999999999</v>
      </c>
      <c r="CI175" s="11">
        <v>0.14949999999999999</v>
      </c>
      <c r="CJ175" s="11">
        <v>0.14949999999999999</v>
      </c>
      <c r="CK175" s="11">
        <v>0.14949999999999999</v>
      </c>
      <c r="CL175" s="11">
        <v>0.14949999999999999</v>
      </c>
      <c r="CM175" s="11">
        <v>0.14949999999999999</v>
      </c>
      <c r="CN175" s="11">
        <v>0.14949999999999999</v>
      </c>
      <c r="CO175" s="11">
        <v>0.14949999999999999</v>
      </c>
      <c r="CP175" s="11">
        <v>0.14949999999999999</v>
      </c>
      <c r="CQ175" s="11">
        <v>0.14949999999999999</v>
      </c>
      <c r="CR175" s="11">
        <v>0.14949999999999999</v>
      </c>
      <c r="CS175" t="str">
        <f>IFERROR(INDEX('Initiative Summary'!$C$5:$C$25,MATCH($A175,'Initiative Summary'!$A$5:$A$25,0)),"")</f>
        <v>Southgate Region</v>
      </c>
    </row>
    <row r="176" spans="1:97" ht="24" x14ac:dyDescent="0.25">
      <c r="A176" s="6" t="s">
        <v>711</v>
      </c>
      <c r="B176" s="7" t="s">
        <v>710</v>
      </c>
      <c r="C176" s="8" t="s">
        <v>194</v>
      </c>
      <c r="D176" s="8" t="s">
        <v>204</v>
      </c>
      <c r="E176" s="8" t="s">
        <v>196</v>
      </c>
      <c r="F176" s="8" t="s">
        <v>197</v>
      </c>
      <c r="G176" s="8"/>
      <c r="H176" s="8"/>
      <c r="I176" s="8"/>
      <c r="J176" s="8"/>
      <c r="K176" s="7"/>
      <c r="L176" s="8" t="s">
        <v>756</v>
      </c>
      <c r="M176" s="8" t="s">
        <v>199</v>
      </c>
      <c r="N176" s="21">
        <v>0</v>
      </c>
      <c r="O176" s="8" t="b">
        <v>0</v>
      </c>
      <c r="P176" s="8" t="s">
        <v>201</v>
      </c>
      <c r="Q176" s="8" t="s">
        <v>223</v>
      </c>
      <c r="R176" s="8" t="s">
        <v>223</v>
      </c>
      <c r="S176" s="8"/>
      <c r="T176" s="8"/>
      <c r="U176" s="8"/>
      <c r="V176" s="8"/>
      <c r="W176" s="8"/>
      <c r="X176" s="8">
        <v>0</v>
      </c>
      <c r="Y176" s="8">
        <v>0</v>
      </c>
      <c r="Z176" s="8">
        <v>0</v>
      </c>
      <c r="AA176" s="8">
        <v>0</v>
      </c>
      <c r="AB176" s="8">
        <v>0</v>
      </c>
      <c r="AC176" s="8">
        <v>0</v>
      </c>
      <c r="AD176" s="8">
        <v>0</v>
      </c>
      <c r="AE176" s="8">
        <v>0</v>
      </c>
      <c r="AF176" s="8">
        <v>0</v>
      </c>
      <c r="AG176" s="8">
        <v>0</v>
      </c>
      <c r="AH176" s="8">
        <v>0</v>
      </c>
      <c r="AI176" s="8">
        <v>0</v>
      </c>
      <c r="AJ176" s="8">
        <v>0</v>
      </c>
      <c r="AK176" s="8">
        <v>0</v>
      </c>
      <c r="AL176" s="8">
        <v>0</v>
      </c>
      <c r="AM176" s="8">
        <v>0</v>
      </c>
      <c r="AN176" s="8">
        <v>0</v>
      </c>
      <c r="AO176" s="8">
        <v>0</v>
      </c>
      <c r="AP176" s="8">
        <v>0</v>
      </c>
      <c r="AQ176" s="8">
        <v>0</v>
      </c>
      <c r="AR176" s="8">
        <v>0</v>
      </c>
      <c r="AS176" s="8">
        <v>0</v>
      </c>
      <c r="AT176" s="8">
        <v>0</v>
      </c>
      <c r="AU176" s="8">
        <v>0</v>
      </c>
      <c r="AV176" s="8">
        <v>0</v>
      </c>
      <c r="AW176" s="8">
        <v>0</v>
      </c>
      <c r="AX176" s="8">
        <v>0</v>
      </c>
      <c r="AY176" s="8">
        <v>0</v>
      </c>
      <c r="AZ176" s="8">
        <v>0</v>
      </c>
      <c r="BA176" s="8">
        <v>0</v>
      </c>
      <c r="BB176" s="8">
        <v>0</v>
      </c>
      <c r="BC176" s="8">
        <v>0</v>
      </c>
      <c r="BD176" s="8">
        <v>0</v>
      </c>
      <c r="BE176" s="8">
        <v>0</v>
      </c>
      <c r="BF176" s="8">
        <v>0</v>
      </c>
      <c r="BG176" s="8">
        <v>0</v>
      </c>
      <c r="BH176" s="8">
        <v>0</v>
      </c>
      <c r="BI176" s="8">
        <v>0</v>
      </c>
      <c r="BJ176" s="8">
        <v>0</v>
      </c>
      <c r="BK176" s="8">
        <v>0</v>
      </c>
      <c r="BL176" s="8">
        <v>0</v>
      </c>
      <c r="BM176" s="8">
        <v>0</v>
      </c>
      <c r="BN176" s="8">
        <v>0</v>
      </c>
      <c r="BO176" s="8">
        <v>0</v>
      </c>
      <c r="BP176" s="8">
        <v>0</v>
      </c>
      <c r="BQ176" s="8">
        <v>0</v>
      </c>
      <c r="BR176" s="8">
        <v>0</v>
      </c>
      <c r="BS176" s="8">
        <v>0</v>
      </c>
      <c r="BT176" s="8">
        <v>0</v>
      </c>
      <c r="BU176" s="8">
        <v>0</v>
      </c>
      <c r="BV176" s="8">
        <v>0</v>
      </c>
      <c r="BW176" s="8">
        <v>0</v>
      </c>
      <c r="BX176" s="8">
        <v>0</v>
      </c>
      <c r="BY176" s="8">
        <v>0</v>
      </c>
      <c r="BZ176" s="8">
        <v>0</v>
      </c>
      <c r="CA176" s="8">
        <v>0</v>
      </c>
      <c r="CB176" s="8">
        <v>0</v>
      </c>
      <c r="CC176" s="8">
        <v>0</v>
      </c>
      <c r="CD176" s="8">
        <v>0</v>
      </c>
      <c r="CE176" s="8">
        <v>0</v>
      </c>
      <c r="CF176" s="8">
        <v>0</v>
      </c>
      <c r="CG176" s="8">
        <v>0</v>
      </c>
      <c r="CH176" s="8">
        <v>0</v>
      </c>
      <c r="CI176" s="8">
        <v>0</v>
      </c>
      <c r="CJ176" s="8">
        <v>0</v>
      </c>
      <c r="CK176" s="8">
        <v>0</v>
      </c>
      <c r="CL176" s="8">
        <v>0</v>
      </c>
      <c r="CM176" s="8">
        <v>0</v>
      </c>
      <c r="CN176" s="8">
        <v>0</v>
      </c>
      <c r="CO176" s="8">
        <v>0</v>
      </c>
      <c r="CP176" s="8">
        <v>0</v>
      </c>
      <c r="CQ176" s="8">
        <v>0</v>
      </c>
      <c r="CR176" s="8">
        <v>0</v>
      </c>
      <c r="CS176" t="str">
        <f>IFERROR(INDEX('Initiative Summary'!$C$5:$C$25,MATCH($A176,'Initiative Summary'!$A$5:$A$25,0)),"")</f>
        <v>Southgate Region</v>
      </c>
    </row>
    <row r="177" spans="1:97" ht="24" x14ac:dyDescent="0.25">
      <c r="A177" s="6" t="s">
        <v>711</v>
      </c>
      <c r="B177" s="10" t="s">
        <v>710</v>
      </c>
      <c r="C177" s="11" t="s">
        <v>205</v>
      </c>
      <c r="D177" s="11" t="s">
        <v>195</v>
      </c>
      <c r="E177" s="11" t="s">
        <v>206</v>
      </c>
      <c r="F177" s="11" t="s">
        <v>207</v>
      </c>
      <c r="G177" s="11"/>
      <c r="H177" s="11" t="s">
        <v>215</v>
      </c>
      <c r="I177" s="11" t="s">
        <v>216</v>
      </c>
      <c r="J177" s="11"/>
      <c r="K177" s="10"/>
      <c r="L177" s="11" t="s">
        <v>757</v>
      </c>
      <c r="M177" s="11" t="s">
        <v>199</v>
      </c>
      <c r="N177" s="20">
        <v>3</v>
      </c>
      <c r="O177" s="11" t="b">
        <v>0</v>
      </c>
      <c r="P177" s="11" t="s">
        <v>218</v>
      </c>
      <c r="Q177" s="11" t="s">
        <v>223</v>
      </c>
      <c r="R177" s="11" t="s">
        <v>223</v>
      </c>
      <c r="S177" s="11"/>
      <c r="T177" s="11"/>
      <c r="U177" s="11"/>
      <c r="V177" s="11"/>
      <c r="W177" s="11"/>
      <c r="X177" s="11">
        <v>0</v>
      </c>
      <c r="Y177" s="11">
        <v>0</v>
      </c>
      <c r="Z177" s="11">
        <v>0</v>
      </c>
      <c r="AA177" s="11">
        <v>0</v>
      </c>
      <c r="AB177" s="11">
        <v>0</v>
      </c>
      <c r="AC177" s="11">
        <v>0</v>
      </c>
      <c r="AD177" s="11">
        <v>0</v>
      </c>
      <c r="AE177" s="11">
        <v>0</v>
      </c>
      <c r="AF177" s="11">
        <v>0</v>
      </c>
      <c r="AG177" s="11">
        <v>0</v>
      </c>
      <c r="AH177" s="11">
        <v>0</v>
      </c>
      <c r="AI177" s="11">
        <v>0</v>
      </c>
      <c r="AJ177" s="11">
        <v>0</v>
      </c>
      <c r="AK177" s="11">
        <v>0</v>
      </c>
      <c r="AL177" s="11">
        <v>0</v>
      </c>
      <c r="AM177" s="11">
        <v>0</v>
      </c>
      <c r="AN177" s="11">
        <v>0</v>
      </c>
      <c r="AO177" s="11">
        <v>0</v>
      </c>
      <c r="AP177" s="11">
        <v>0</v>
      </c>
      <c r="AQ177" s="11">
        <v>0</v>
      </c>
      <c r="AR177" s="11">
        <v>0</v>
      </c>
      <c r="AS177" s="11">
        <v>0</v>
      </c>
      <c r="AT177" s="11">
        <v>0</v>
      </c>
      <c r="AU177" s="11">
        <v>0</v>
      </c>
      <c r="AV177" s="11">
        <v>0</v>
      </c>
      <c r="AW177" s="11">
        <v>0</v>
      </c>
      <c r="AX177" s="11">
        <v>0</v>
      </c>
      <c r="AY177" s="11">
        <v>0</v>
      </c>
      <c r="AZ177" s="11">
        <v>0</v>
      </c>
      <c r="BA177" s="11">
        <v>0</v>
      </c>
      <c r="BB177" s="11">
        <v>0</v>
      </c>
      <c r="BC177" s="11">
        <v>0</v>
      </c>
      <c r="BD177" s="11">
        <v>0</v>
      </c>
      <c r="BE177" s="11">
        <v>0</v>
      </c>
      <c r="BF177" s="11">
        <v>0</v>
      </c>
      <c r="BG177" s="11">
        <v>0</v>
      </c>
      <c r="BH177" s="11">
        <v>0</v>
      </c>
      <c r="BI177" s="11">
        <v>0</v>
      </c>
      <c r="BJ177" s="11">
        <v>0</v>
      </c>
      <c r="BK177" s="11">
        <v>0</v>
      </c>
      <c r="BL177" s="11">
        <v>0</v>
      </c>
      <c r="BM177" s="11">
        <v>0</v>
      </c>
      <c r="BN177" s="11">
        <v>0</v>
      </c>
      <c r="BO177" s="11">
        <v>0</v>
      </c>
      <c r="BP177" s="11">
        <v>0</v>
      </c>
      <c r="BQ177" s="11">
        <v>0</v>
      </c>
      <c r="BR177" s="11">
        <v>0</v>
      </c>
      <c r="BS177" s="11">
        <v>0</v>
      </c>
      <c r="BT177" s="11">
        <v>0</v>
      </c>
      <c r="BU177" s="11">
        <v>0</v>
      </c>
      <c r="BV177" s="11">
        <v>0</v>
      </c>
      <c r="BW177" s="11">
        <v>0</v>
      </c>
      <c r="BX177" s="11">
        <v>0</v>
      </c>
      <c r="BY177" s="11">
        <v>0</v>
      </c>
      <c r="BZ177" s="11">
        <v>0</v>
      </c>
      <c r="CA177" s="11">
        <v>0</v>
      </c>
      <c r="CB177" s="11">
        <v>0</v>
      </c>
      <c r="CC177" s="11">
        <v>0</v>
      </c>
      <c r="CD177" s="11">
        <v>0</v>
      </c>
      <c r="CE177" s="11">
        <v>0</v>
      </c>
      <c r="CF177" s="11">
        <v>0</v>
      </c>
      <c r="CG177" s="11">
        <v>0</v>
      </c>
      <c r="CH177" s="11">
        <v>0</v>
      </c>
      <c r="CI177" s="11">
        <v>0</v>
      </c>
      <c r="CJ177" s="11">
        <v>0</v>
      </c>
      <c r="CK177" s="11">
        <v>0</v>
      </c>
      <c r="CL177" s="11">
        <v>0</v>
      </c>
      <c r="CM177" s="11">
        <v>0</v>
      </c>
      <c r="CN177" s="11">
        <v>0</v>
      </c>
      <c r="CO177" s="11">
        <v>0</v>
      </c>
      <c r="CP177" s="11">
        <v>0</v>
      </c>
      <c r="CQ177" s="11">
        <v>0</v>
      </c>
      <c r="CR177" s="11">
        <v>0</v>
      </c>
      <c r="CS177" t="str">
        <f>IFERROR(INDEX('Initiative Summary'!$C$5:$C$25,MATCH($A177,'Initiative Summary'!$A$5:$A$25,0)),"")</f>
        <v>Southgate Region</v>
      </c>
    </row>
    <row r="178" spans="1:97" ht="24" x14ac:dyDescent="0.25">
      <c r="A178" s="6" t="s">
        <v>711</v>
      </c>
      <c r="B178" s="7" t="s">
        <v>710</v>
      </c>
      <c r="C178" s="8" t="s">
        <v>205</v>
      </c>
      <c r="D178" s="8" t="s">
        <v>203</v>
      </c>
      <c r="E178" s="8" t="s">
        <v>206</v>
      </c>
      <c r="F178" s="8" t="s">
        <v>207</v>
      </c>
      <c r="G178" s="8"/>
      <c r="H178" s="8" t="s">
        <v>215</v>
      </c>
      <c r="I178" s="8" t="s">
        <v>216</v>
      </c>
      <c r="J178" s="8"/>
      <c r="K178" s="7"/>
      <c r="L178" s="8" t="s">
        <v>757</v>
      </c>
      <c r="M178" s="8" t="s">
        <v>199</v>
      </c>
      <c r="N178" s="21">
        <v>3</v>
      </c>
      <c r="O178" s="8" t="b">
        <v>0</v>
      </c>
      <c r="P178" s="8" t="s">
        <v>218</v>
      </c>
      <c r="Q178" s="8" t="s">
        <v>223</v>
      </c>
      <c r="R178" s="8" t="s">
        <v>223</v>
      </c>
      <c r="S178" s="8"/>
      <c r="T178" s="8"/>
      <c r="U178" s="8"/>
      <c r="V178" s="8"/>
      <c r="W178" s="8"/>
      <c r="X178" s="8">
        <v>0</v>
      </c>
      <c r="Y178" s="8">
        <v>0</v>
      </c>
      <c r="Z178" s="8">
        <v>0</v>
      </c>
      <c r="AA178" s="8">
        <v>0</v>
      </c>
      <c r="AB178" s="8">
        <v>0</v>
      </c>
      <c r="AC178" s="8">
        <v>0</v>
      </c>
      <c r="AD178" s="8">
        <v>0</v>
      </c>
      <c r="AE178" s="8">
        <v>0</v>
      </c>
      <c r="AF178" s="8">
        <v>0</v>
      </c>
      <c r="AG178" s="8">
        <v>0</v>
      </c>
      <c r="AH178" s="8">
        <v>0</v>
      </c>
      <c r="AI178" s="8">
        <v>0</v>
      </c>
      <c r="AJ178" s="8">
        <v>0</v>
      </c>
      <c r="AK178" s="8">
        <v>0</v>
      </c>
      <c r="AL178" s="8">
        <v>0</v>
      </c>
      <c r="AM178" s="8">
        <v>0</v>
      </c>
      <c r="AN178" s="8">
        <v>0</v>
      </c>
      <c r="AO178" s="8">
        <v>0</v>
      </c>
      <c r="AP178" s="8">
        <v>0</v>
      </c>
      <c r="AQ178" s="8">
        <v>0</v>
      </c>
      <c r="AR178" s="8">
        <v>0</v>
      </c>
      <c r="AS178" s="8">
        <v>0</v>
      </c>
      <c r="AT178" s="8">
        <v>0</v>
      </c>
      <c r="AU178" s="8">
        <v>0</v>
      </c>
      <c r="AV178" s="8">
        <v>0</v>
      </c>
      <c r="AW178" s="8">
        <v>0</v>
      </c>
      <c r="AX178" s="8">
        <v>0</v>
      </c>
      <c r="AY178" s="8">
        <v>0</v>
      </c>
      <c r="AZ178" s="8">
        <v>0</v>
      </c>
      <c r="BA178" s="8">
        <v>0</v>
      </c>
      <c r="BB178" s="8">
        <v>0</v>
      </c>
      <c r="BC178" s="8">
        <v>0</v>
      </c>
      <c r="BD178" s="8">
        <v>0</v>
      </c>
      <c r="BE178" s="8">
        <v>0</v>
      </c>
      <c r="BF178" s="8">
        <v>0</v>
      </c>
      <c r="BG178" s="8">
        <v>0</v>
      </c>
      <c r="BH178" s="8">
        <v>0</v>
      </c>
      <c r="BI178" s="8">
        <v>0</v>
      </c>
      <c r="BJ178" s="8">
        <v>0</v>
      </c>
      <c r="BK178" s="8">
        <v>0</v>
      </c>
      <c r="BL178" s="8">
        <v>0</v>
      </c>
      <c r="BM178" s="8">
        <v>0</v>
      </c>
      <c r="BN178" s="8">
        <v>0</v>
      </c>
      <c r="BO178" s="8">
        <v>0</v>
      </c>
      <c r="BP178" s="8">
        <v>0</v>
      </c>
      <c r="BQ178" s="8">
        <v>0</v>
      </c>
      <c r="BR178" s="8">
        <v>0</v>
      </c>
      <c r="BS178" s="8">
        <v>0</v>
      </c>
      <c r="BT178" s="8">
        <v>0</v>
      </c>
      <c r="BU178" s="8">
        <v>0</v>
      </c>
      <c r="BV178" s="8">
        <v>0</v>
      </c>
      <c r="BW178" s="8">
        <v>0</v>
      </c>
      <c r="BX178" s="8">
        <v>0</v>
      </c>
      <c r="BY178" s="8">
        <v>0</v>
      </c>
      <c r="BZ178" s="8">
        <v>0</v>
      </c>
      <c r="CA178" s="8">
        <v>0</v>
      </c>
      <c r="CB178" s="8">
        <v>0</v>
      </c>
      <c r="CC178" s="8">
        <v>0</v>
      </c>
      <c r="CD178" s="8">
        <v>0</v>
      </c>
      <c r="CE178" s="8">
        <v>0</v>
      </c>
      <c r="CF178" s="8">
        <v>0</v>
      </c>
      <c r="CG178" s="8">
        <v>0</v>
      </c>
      <c r="CH178" s="8">
        <v>0</v>
      </c>
      <c r="CI178" s="8">
        <v>0</v>
      </c>
      <c r="CJ178" s="8">
        <v>0</v>
      </c>
      <c r="CK178" s="8">
        <v>0</v>
      </c>
      <c r="CL178" s="8">
        <v>0</v>
      </c>
      <c r="CM178" s="8">
        <v>0</v>
      </c>
      <c r="CN178" s="8">
        <v>0</v>
      </c>
      <c r="CO178" s="8">
        <v>0</v>
      </c>
      <c r="CP178" s="8">
        <v>0</v>
      </c>
      <c r="CQ178" s="8">
        <v>0</v>
      </c>
      <c r="CR178" s="8">
        <v>0</v>
      </c>
      <c r="CS178" t="str">
        <f>IFERROR(INDEX('Initiative Summary'!$C$5:$C$25,MATCH($A178,'Initiative Summary'!$A$5:$A$25,0)),"")</f>
        <v>Southgate Region</v>
      </c>
    </row>
    <row r="179" spans="1:97" ht="24" x14ac:dyDescent="0.25">
      <c r="A179" s="6" t="s">
        <v>711</v>
      </c>
      <c r="B179" s="10" t="s">
        <v>710</v>
      </c>
      <c r="C179" s="11" t="s">
        <v>205</v>
      </c>
      <c r="D179" s="11" t="s">
        <v>204</v>
      </c>
      <c r="E179" s="11" t="s">
        <v>206</v>
      </c>
      <c r="F179" s="11" t="s">
        <v>207</v>
      </c>
      <c r="G179" s="11"/>
      <c r="H179" s="11" t="s">
        <v>215</v>
      </c>
      <c r="I179" s="11" t="s">
        <v>216</v>
      </c>
      <c r="J179" s="11"/>
      <c r="K179" s="10"/>
      <c r="L179" s="11" t="s">
        <v>757</v>
      </c>
      <c r="M179" s="11" t="s">
        <v>199</v>
      </c>
      <c r="N179" s="20">
        <v>3</v>
      </c>
      <c r="O179" s="11" t="b">
        <v>0</v>
      </c>
      <c r="P179" s="11" t="s">
        <v>218</v>
      </c>
      <c r="Q179" s="11" t="s">
        <v>223</v>
      </c>
      <c r="R179" s="11" t="s">
        <v>223</v>
      </c>
      <c r="S179" s="11"/>
      <c r="T179" s="11"/>
      <c r="U179" s="11"/>
      <c r="V179" s="11"/>
      <c r="W179" s="11"/>
      <c r="X179" s="11">
        <v>0</v>
      </c>
      <c r="Y179" s="11">
        <v>0</v>
      </c>
      <c r="Z179" s="11">
        <v>0</v>
      </c>
      <c r="AA179" s="11">
        <v>0</v>
      </c>
      <c r="AB179" s="11">
        <v>0</v>
      </c>
      <c r="AC179" s="11">
        <v>0</v>
      </c>
      <c r="AD179" s="11">
        <v>0</v>
      </c>
      <c r="AE179" s="11">
        <v>0</v>
      </c>
      <c r="AF179" s="11">
        <v>0</v>
      </c>
      <c r="AG179" s="11">
        <v>0</v>
      </c>
      <c r="AH179" s="11">
        <v>0</v>
      </c>
      <c r="AI179" s="11">
        <v>0</v>
      </c>
      <c r="AJ179" s="11">
        <v>0</v>
      </c>
      <c r="AK179" s="11">
        <v>0</v>
      </c>
      <c r="AL179" s="11">
        <v>0</v>
      </c>
      <c r="AM179" s="11">
        <v>0</v>
      </c>
      <c r="AN179" s="11">
        <v>0</v>
      </c>
      <c r="AO179" s="11">
        <v>0</v>
      </c>
      <c r="AP179" s="11">
        <v>0</v>
      </c>
      <c r="AQ179" s="11">
        <v>0</v>
      </c>
      <c r="AR179" s="11">
        <v>0</v>
      </c>
      <c r="AS179" s="11">
        <v>0</v>
      </c>
      <c r="AT179" s="11">
        <v>0</v>
      </c>
      <c r="AU179" s="11">
        <v>0</v>
      </c>
      <c r="AV179" s="11">
        <v>0</v>
      </c>
      <c r="AW179" s="11">
        <v>0</v>
      </c>
      <c r="AX179" s="11">
        <v>0</v>
      </c>
      <c r="AY179" s="11">
        <v>0</v>
      </c>
      <c r="AZ179" s="11">
        <v>0</v>
      </c>
      <c r="BA179" s="11">
        <v>0</v>
      </c>
      <c r="BB179" s="11">
        <v>0</v>
      </c>
      <c r="BC179" s="11">
        <v>0</v>
      </c>
      <c r="BD179" s="11">
        <v>0</v>
      </c>
      <c r="BE179" s="11">
        <v>0</v>
      </c>
      <c r="BF179" s="11">
        <v>0</v>
      </c>
      <c r="BG179" s="11">
        <v>0</v>
      </c>
      <c r="BH179" s="11">
        <v>0</v>
      </c>
      <c r="BI179" s="11">
        <v>0</v>
      </c>
      <c r="BJ179" s="11">
        <v>0</v>
      </c>
      <c r="BK179" s="11">
        <v>0</v>
      </c>
      <c r="BL179" s="11">
        <v>0</v>
      </c>
      <c r="BM179" s="11">
        <v>0</v>
      </c>
      <c r="BN179" s="11">
        <v>0</v>
      </c>
      <c r="BO179" s="11">
        <v>0</v>
      </c>
      <c r="BP179" s="11">
        <v>0</v>
      </c>
      <c r="BQ179" s="11">
        <v>0</v>
      </c>
      <c r="BR179" s="11">
        <v>0</v>
      </c>
      <c r="BS179" s="11">
        <v>0</v>
      </c>
      <c r="BT179" s="11">
        <v>0</v>
      </c>
      <c r="BU179" s="11">
        <v>0</v>
      </c>
      <c r="BV179" s="11">
        <v>0</v>
      </c>
      <c r="BW179" s="11">
        <v>0</v>
      </c>
      <c r="BX179" s="11">
        <v>0</v>
      </c>
      <c r="BY179" s="11">
        <v>0</v>
      </c>
      <c r="BZ179" s="11">
        <v>0</v>
      </c>
      <c r="CA179" s="11">
        <v>0</v>
      </c>
      <c r="CB179" s="11">
        <v>0</v>
      </c>
      <c r="CC179" s="11">
        <v>0</v>
      </c>
      <c r="CD179" s="11">
        <v>0</v>
      </c>
      <c r="CE179" s="11">
        <v>0</v>
      </c>
      <c r="CF179" s="11">
        <v>0</v>
      </c>
      <c r="CG179" s="11">
        <v>0</v>
      </c>
      <c r="CH179" s="11">
        <v>0</v>
      </c>
      <c r="CI179" s="11">
        <v>0</v>
      </c>
      <c r="CJ179" s="11">
        <v>0</v>
      </c>
      <c r="CK179" s="11">
        <v>0</v>
      </c>
      <c r="CL179" s="11">
        <v>0</v>
      </c>
      <c r="CM179" s="11">
        <v>0</v>
      </c>
      <c r="CN179" s="11">
        <v>0</v>
      </c>
      <c r="CO179" s="11">
        <v>0</v>
      </c>
      <c r="CP179" s="11">
        <v>0</v>
      </c>
      <c r="CQ179" s="11">
        <v>0</v>
      </c>
      <c r="CR179" s="11">
        <v>0</v>
      </c>
      <c r="CS179" t="str">
        <f>IFERROR(INDEX('Initiative Summary'!$C$5:$C$25,MATCH($A179,'Initiative Summary'!$A$5:$A$25,0)),"")</f>
        <v>Southgate Region</v>
      </c>
    </row>
    <row r="180" spans="1:97" ht="24" x14ac:dyDescent="0.25">
      <c r="A180" s="6" t="s">
        <v>711</v>
      </c>
      <c r="B180" s="7" t="s">
        <v>710</v>
      </c>
      <c r="C180" s="8" t="s">
        <v>206</v>
      </c>
      <c r="D180" s="8" t="s">
        <v>195</v>
      </c>
      <c r="E180" s="8" t="s">
        <v>206</v>
      </c>
      <c r="F180" s="8" t="s">
        <v>197</v>
      </c>
      <c r="G180" s="8"/>
      <c r="H180" s="8"/>
      <c r="I180" s="8"/>
      <c r="J180" s="8"/>
      <c r="K180" s="7"/>
      <c r="L180" s="8" t="s">
        <v>758</v>
      </c>
      <c r="M180" s="8" t="s">
        <v>199</v>
      </c>
      <c r="N180" s="21">
        <v>100</v>
      </c>
      <c r="O180" s="8" t="b">
        <v>0</v>
      </c>
      <c r="P180" s="8" t="s">
        <v>201</v>
      </c>
      <c r="Q180" s="8" t="s">
        <v>210</v>
      </c>
      <c r="R180" s="8" t="s">
        <v>210</v>
      </c>
      <c r="S180" s="8">
        <v>0.32200000000000001</v>
      </c>
      <c r="T180" s="21">
        <v>0.82799999999999996</v>
      </c>
      <c r="U180" s="21">
        <v>0.82799999999999996</v>
      </c>
      <c r="V180" s="21">
        <v>0.82799999999999996</v>
      </c>
      <c r="W180" s="21">
        <v>0.82799999999999996</v>
      </c>
      <c r="X180" s="8">
        <v>0</v>
      </c>
      <c r="Y180" s="8">
        <v>0</v>
      </c>
      <c r="Z180" s="8">
        <v>0</v>
      </c>
      <c r="AA180" s="8">
        <v>0</v>
      </c>
      <c r="AB180" s="8">
        <v>0</v>
      </c>
      <c r="AC180" s="8">
        <v>0</v>
      </c>
      <c r="AD180" s="8">
        <v>0</v>
      </c>
      <c r="AE180" s="8">
        <v>0</v>
      </c>
      <c r="AF180" s="8">
        <v>0</v>
      </c>
      <c r="AG180" s="8">
        <v>0</v>
      </c>
      <c r="AH180" s="8">
        <v>0.161</v>
      </c>
      <c r="AI180" s="8">
        <v>0.161</v>
      </c>
      <c r="AJ180" s="21">
        <v>6.8999999999999992E-2</v>
      </c>
      <c r="AK180" s="21">
        <v>6.8999999999999992E-2</v>
      </c>
      <c r="AL180" s="21">
        <v>6.8999999999999992E-2</v>
      </c>
      <c r="AM180" s="21">
        <v>6.8999999999999992E-2</v>
      </c>
      <c r="AN180" s="21">
        <v>6.8999999999999992E-2</v>
      </c>
      <c r="AO180" s="21">
        <v>6.8999999999999992E-2</v>
      </c>
      <c r="AP180" s="21">
        <v>6.8999999999999992E-2</v>
      </c>
      <c r="AQ180" s="21">
        <v>6.8999999999999992E-2</v>
      </c>
      <c r="AR180" s="21">
        <v>6.8999999999999992E-2</v>
      </c>
      <c r="AS180" s="21">
        <v>6.8999999999999992E-2</v>
      </c>
      <c r="AT180" s="21">
        <v>6.8999999999999992E-2</v>
      </c>
      <c r="AU180" s="21">
        <v>6.8999999999999992E-2</v>
      </c>
      <c r="AV180" s="21">
        <v>6.8999999999999992E-2</v>
      </c>
      <c r="AW180" s="21">
        <v>6.8999999999999992E-2</v>
      </c>
      <c r="AX180" s="21">
        <v>6.8999999999999992E-2</v>
      </c>
      <c r="AY180" s="21">
        <v>6.8999999999999992E-2</v>
      </c>
      <c r="AZ180" s="21">
        <v>6.8999999999999992E-2</v>
      </c>
      <c r="BA180" s="21">
        <v>6.8999999999999992E-2</v>
      </c>
      <c r="BB180" s="21">
        <v>6.8999999999999992E-2</v>
      </c>
      <c r="BC180" s="21">
        <v>6.8999999999999992E-2</v>
      </c>
      <c r="BD180" s="21">
        <v>6.8999999999999992E-2</v>
      </c>
      <c r="BE180" s="21">
        <v>6.8999999999999992E-2</v>
      </c>
      <c r="BF180" s="21">
        <v>6.8999999999999992E-2</v>
      </c>
      <c r="BG180" s="21">
        <v>6.8999999999999992E-2</v>
      </c>
      <c r="BH180" s="21">
        <v>6.8999999999999992E-2</v>
      </c>
      <c r="BI180" s="21">
        <v>6.8999999999999992E-2</v>
      </c>
      <c r="BJ180" s="21">
        <v>6.8999999999999992E-2</v>
      </c>
      <c r="BK180" s="21">
        <v>6.8999999999999992E-2</v>
      </c>
      <c r="BL180" s="21">
        <v>6.8999999999999992E-2</v>
      </c>
      <c r="BM180" s="21">
        <v>6.8999999999999992E-2</v>
      </c>
      <c r="BN180" s="21">
        <v>6.8999999999999992E-2</v>
      </c>
      <c r="BO180" s="21">
        <v>6.8999999999999992E-2</v>
      </c>
      <c r="BP180" s="21">
        <v>6.8999999999999992E-2</v>
      </c>
      <c r="BQ180" s="21">
        <v>6.8999999999999992E-2</v>
      </c>
      <c r="BR180" s="21">
        <v>6.8999999999999992E-2</v>
      </c>
      <c r="BS180" s="21">
        <v>6.8999999999999992E-2</v>
      </c>
      <c r="BT180" s="21">
        <v>6.8999999999999992E-2</v>
      </c>
      <c r="BU180" s="21">
        <v>6.8999999999999992E-2</v>
      </c>
      <c r="BV180" s="21">
        <v>6.8999999999999992E-2</v>
      </c>
      <c r="BW180" s="21">
        <v>6.8999999999999992E-2</v>
      </c>
      <c r="BX180" s="21">
        <v>6.8999999999999992E-2</v>
      </c>
      <c r="BY180" s="21">
        <v>6.8999999999999992E-2</v>
      </c>
      <c r="BZ180" s="21">
        <v>6.8999999999999992E-2</v>
      </c>
      <c r="CA180" s="21">
        <v>6.8999999999999992E-2</v>
      </c>
      <c r="CB180" s="21">
        <v>6.8999999999999992E-2</v>
      </c>
      <c r="CC180" s="21">
        <v>6.8999999999999992E-2</v>
      </c>
      <c r="CD180" s="21">
        <v>6.8999999999999992E-2</v>
      </c>
      <c r="CE180" s="21">
        <v>6.8999999999999992E-2</v>
      </c>
      <c r="CF180" s="8">
        <v>0.82799999999999996</v>
      </c>
      <c r="CG180" s="8">
        <v>6.8999999999999992E-2</v>
      </c>
      <c r="CH180" s="8">
        <v>6.8999999999999992E-2</v>
      </c>
      <c r="CI180" s="8">
        <v>6.8999999999999992E-2</v>
      </c>
      <c r="CJ180" s="8">
        <v>6.8999999999999992E-2</v>
      </c>
      <c r="CK180" s="8">
        <v>6.8999999999999992E-2</v>
      </c>
      <c r="CL180" s="8">
        <v>6.8999999999999992E-2</v>
      </c>
      <c r="CM180" s="8">
        <v>6.8999999999999992E-2</v>
      </c>
      <c r="CN180" s="8">
        <v>6.8999999999999992E-2</v>
      </c>
      <c r="CO180" s="8">
        <v>6.8999999999999992E-2</v>
      </c>
      <c r="CP180" s="8">
        <v>6.8999999999999992E-2</v>
      </c>
      <c r="CQ180" s="8">
        <v>6.8999999999999992E-2</v>
      </c>
      <c r="CR180" s="8">
        <v>6.8999999999999992E-2</v>
      </c>
      <c r="CS180" t="str">
        <f>IFERROR(INDEX('Initiative Summary'!$C$5:$C$25,MATCH($A180,'Initiative Summary'!$A$5:$A$25,0)),"")</f>
        <v>Southgate Region</v>
      </c>
    </row>
    <row r="181" spans="1:97" ht="24" x14ac:dyDescent="0.25">
      <c r="A181" s="6" t="s">
        <v>711</v>
      </c>
      <c r="B181" s="10" t="s">
        <v>710</v>
      </c>
      <c r="C181" s="11" t="s">
        <v>206</v>
      </c>
      <c r="D181" s="11" t="s">
        <v>203</v>
      </c>
      <c r="E181" s="11" t="s">
        <v>206</v>
      </c>
      <c r="F181" s="11" t="s">
        <v>197</v>
      </c>
      <c r="G181" s="11"/>
      <c r="H181" s="11"/>
      <c r="I181" s="11"/>
      <c r="J181" s="11"/>
      <c r="K181" s="10"/>
      <c r="L181" s="11" t="s">
        <v>758</v>
      </c>
      <c r="M181" s="11" t="s">
        <v>199</v>
      </c>
      <c r="N181" s="20">
        <v>100</v>
      </c>
      <c r="O181" s="11" t="b">
        <v>0</v>
      </c>
      <c r="P181" s="11" t="s">
        <v>201</v>
      </c>
      <c r="Q181" s="11" t="s">
        <v>210</v>
      </c>
      <c r="R181" s="11" t="s">
        <v>210</v>
      </c>
      <c r="S181" s="11">
        <v>0.41399999999999998</v>
      </c>
      <c r="T181" s="20">
        <v>1.173</v>
      </c>
      <c r="U181" s="20">
        <v>1.173</v>
      </c>
      <c r="V181" s="20">
        <v>1.173</v>
      </c>
      <c r="W181" s="20">
        <v>1.173</v>
      </c>
      <c r="X181" s="11">
        <v>0</v>
      </c>
      <c r="Y181" s="11">
        <v>0</v>
      </c>
      <c r="Z181" s="11">
        <v>0</v>
      </c>
      <c r="AA181" s="11">
        <v>0</v>
      </c>
      <c r="AB181" s="11">
        <v>0</v>
      </c>
      <c r="AC181" s="11">
        <v>0</v>
      </c>
      <c r="AD181" s="11">
        <v>0</v>
      </c>
      <c r="AE181" s="11">
        <v>0</v>
      </c>
      <c r="AF181" s="11">
        <v>0</v>
      </c>
      <c r="AG181" s="11">
        <v>0</v>
      </c>
      <c r="AH181" s="11">
        <v>0.20699999999999999</v>
      </c>
      <c r="AI181" s="11">
        <v>0.20699999999999999</v>
      </c>
      <c r="AJ181" s="20">
        <v>9.7750000000000004E-2</v>
      </c>
      <c r="AK181" s="20">
        <v>9.7750000000000004E-2</v>
      </c>
      <c r="AL181" s="20">
        <v>9.7750000000000004E-2</v>
      </c>
      <c r="AM181" s="20">
        <v>9.7750000000000004E-2</v>
      </c>
      <c r="AN181" s="20">
        <v>9.7750000000000004E-2</v>
      </c>
      <c r="AO181" s="20">
        <v>9.7750000000000004E-2</v>
      </c>
      <c r="AP181" s="20">
        <v>9.7750000000000004E-2</v>
      </c>
      <c r="AQ181" s="20">
        <v>9.7750000000000004E-2</v>
      </c>
      <c r="AR181" s="20">
        <v>9.7750000000000004E-2</v>
      </c>
      <c r="AS181" s="20">
        <v>9.7750000000000004E-2</v>
      </c>
      <c r="AT181" s="20">
        <v>9.7750000000000004E-2</v>
      </c>
      <c r="AU181" s="20">
        <v>9.7750000000000004E-2</v>
      </c>
      <c r="AV181" s="20">
        <v>9.7750000000000004E-2</v>
      </c>
      <c r="AW181" s="20">
        <v>9.7750000000000004E-2</v>
      </c>
      <c r="AX181" s="20">
        <v>9.7750000000000004E-2</v>
      </c>
      <c r="AY181" s="20">
        <v>9.7750000000000004E-2</v>
      </c>
      <c r="AZ181" s="20">
        <v>9.7750000000000004E-2</v>
      </c>
      <c r="BA181" s="20">
        <v>9.7750000000000004E-2</v>
      </c>
      <c r="BB181" s="20">
        <v>9.7750000000000004E-2</v>
      </c>
      <c r="BC181" s="20">
        <v>9.7750000000000004E-2</v>
      </c>
      <c r="BD181" s="20">
        <v>9.7750000000000004E-2</v>
      </c>
      <c r="BE181" s="20">
        <v>9.7750000000000004E-2</v>
      </c>
      <c r="BF181" s="20">
        <v>9.7750000000000004E-2</v>
      </c>
      <c r="BG181" s="20">
        <v>9.7750000000000004E-2</v>
      </c>
      <c r="BH181" s="20">
        <v>9.7750000000000004E-2</v>
      </c>
      <c r="BI181" s="20">
        <v>9.7750000000000004E-2</v>
      </c>
      <c r="BJ181" s="20">
        <v>9.7750000000000004E-2</v>
      </c>
      <c r="BK181" s="20">
        <v>9.7750000000000004E-2</v>
      </c>
      <c r="BL181" s="20">
        <v>9.7750000000000004E-2</v>
      </c>
      <c r="BM181" s="20">
        <v>9.7750000000000004E-2</v>
      </c>
      <c r="BN181" s="20">
        <v>9.7750000000000004E-2</v>
      </c>
      <c r="BO181" s="20">
        <v>9.7750000000000004E-2</v>
      </c>
      <c r="BP181" s="20">
        <v>9.7750000000000004E-2</v>
      </c>
      <c r="BQ181" s="20">
        <v>9.7750000000000004E-2</v>
      </c>
      <c r="BR181" s="20">
        <v>9.7750000000000004E-2</v>
      </c>
      <c r="BS181" s="20">
        <v>9.7750000000000004E-2</v>
      </c>
      <c r="BT181" s="20">
        <v>9.7750000000000004E-2</v>
      </c>
      <c r="BU181" s="20">
        <v>9.7750000000000004E-2</v>
      </c>
      <c r="BV181" s="20">
        <v>9.7750000000000004E-2</v>
      </c>
      <c r="BW181" s="20">
        <v>9.7750000000000004E-2</v>
      </c>
      <c r="BX181" s="20">
        <v>9.7750000000000004E-2</v>
      </c>
      <c r="BY181" s="20">
        <v>9.7750000000000004E-2</v>
      </c>
      <c r="BZ181" s="20">
        <v>9.7750000000000004E-2</v>
      </c>
      <c r="CA181" s="20">
        <v>9.7750000000000004E-2</v>
      </c>
      <c r="CB181" s="20">
        <v>9.7750000000000004E-2</v>
      </c>
      <c r="CC181" s="20">
        <v>9.7750000000000004E-2</v>
      </c>
      <c r="CD181" s="20">
        <v>9.7750000000000004E-2</v>
      </c>
      <c r="CE181" s="20">
        <v>9.7750000000000004E-2</v>
      </c>
      <c r="CF181" s="11">
        <v>1.173</v>
      </c>
      <c r="CG181" s="11">
        <v>9.7750000000000004E-2</v>
      </c>
      <c r="CH181" s="11">
        <v>9.7750000000000004E-2</v>
      </c>
      <c r="CI181" s="11">
        <v>9.7750000000000004E-2</v>
      </c>
      <c r="CJ181" s="11">
        <v>9.7750000000000004E-2</v>
      </c>
      <c r="CK181" s="11">
        <v>9.7750000000000004E-2</v>
      </c>
      <c r="CL181" s="11">
        <v>9.7750000000000004E-2</v>
      </c>
      <c r="CM181" s="11">
        <v>9.7750000000000004E-2</v>
      </c>
      <c r="CN181" s="11">
        <v>9.7750000000000004E-2</v>
      </c>
      <c r="CO181" s="11">
        <v>9.7750000000000004E-2</v>
      </c>
      <c r="CP181" s="11">
        <v>9.7750000000000004E-2</v>
      </c>
      <c r="CQ181" s="11">
        <v>9.7750000000000004E-2</v>
      </c>
      <c r="CR181" s="11">
        <v>9.7750000000000004E-2</v>
      </c>
      <c r="CS181" t="str">
        <f>IFERROR(INDEX('Initiative Summary'!$C$5:$C$25,MATCH($A181,'Initiative Summary'!$A$5:$A$25,0)),"")</f>
        <v>Southgate Region</v>
      </c>
    </row>
    <row r="182" spans="1:97" ht="24" x14ac:dyDescent="0.25">
      <c r="A182" s="6" t="s">
        <v>711</v>
      </c>
      <c r="B182" s="7" t="s">
        <v>710</v>
      </c>
      <c r="C182" s="8" t="s">
        <v>206</v>
      </c>
      <c r="D182" s="8" t="s">
        <v>204</v>
      </c>
      <c r="E182" s="8" t="s">
        <v>206</v>
      </c>
      <c r="F182" s="8" t="s">
        <v>197</v>
      </c>
      <c r="G182" s="8"/>
      <c r="H182" s="8"/>
      <c r="I182" s="8"/>
      <c r="J182" s="8"/>
      <c r="K182" s="7"/>
      <c r="L182" s="8" t="s">
        <v>758</v>
      </c>
      <c r="M182" s="8" t="s">
        <v>199</v>
      </c>
      <c r="N182" s="21">
        <v>100</v>
      </c>
      <c r="O182" s="8" t="b">
        <v>0</v>
      </c>
      <c r="P182" s="8" t="s">
        <v>201</v>
      </c>
      <c r="Q182" s="8" t="s">
        <v>210</v>
      </c>
      <c r="R182" s="8" t="s">
        <v>210</v>
      </c>
      <c r="S182" s="8"/>
      <c r="T182" s="8"/>
      <c r="U182" s="8"/>
      <c r="V182" s="8"/>
      <c r="W182" s="8"/>
      <c r="X182" s="8">
        <v>0</v>
      </c>
      <c r="Y182" s="8">
        <v>0</v>
      </c>
      <c r="Z182" s="8">
        <v>0</v>
      </c>
      <c r="AA182" s="8">
        <v>0</v>
      </c>
      <c r="AB182" s="8">
        <v>0</v>
      </c>
      <c r="AC182" s="8">
        <v>0</v>
      </c>
      <c r="AD182" s="8">
        <v>0</v>
      </c>
      <c r="AE182" s="8">
        <v>0</v>
      </c>
      <c r="AF182" s="8">
        <v>0</v>
      </c>
      <c r="AG182" s="8">
        <v>0</v>
      </c>
      <c r="AH182" s="8">
        <v>0</v>
      </c>
      <c r="AI182" s="8">
        <v>0</v>
      </c>
      <c r="AJ182" s="8">
        <v>0</v>
      </c>
      <c r="AK182" s="8">
        <v>0</v>
      </c>
      <c r="AL182" s="8">
        <v>0</v>
      </c>
      <c r="AM182" s="8">
        <v>0</v>
      </c>
      <c r="AN182" s="8">
        <v>0</v>
      </c>
      <c r="AO182" s="8">
        <v>0</v>
      </c>
      <c r="AP182" s="8">
        <v>0</v>
      </c>
      <c r="AQ182" s="8">
        <v>0</v>
      </c>
      <c r="AR182" s="8">
        <v>0</v>
      </c>
      <c r="AS182" s="8">
        <v>0</v>
      </c>
      <c r="AT182" s="8">
        <v>0</v>
      </c>
      <c r="AU182" s="8">
        <v>0</v>
      </c>
      <c r="AV182" s="8">
        <v>0</v>
      </c>
      <c r="AW182" s="8">
        <v>0</v>
      </c>
      <c r="AX182" s="8">
        <v>0</v>
      </c>
      <c r="AY182" s="8">
        <v>0</v>
      </c>
      <c r="AZ182" s="8">
        <v>0</v>
      </c>
      <c r="BA182" s="8">
        <v>0</v>
      </c>
      <c r="BB182" s="8">
        <v>0</v>
      </c>
      <c r="BC182" s="8">
        <v>0</v>
      </c>
      <c r="BD182" s="8">
        <v>0</v>
      </c>
      <c r="BE182" s="8">
        <v>0</v>
      </c>
      <c r="BF182" s="8">
        <v>0</v>
      </c>
      <c r="BG182" s="8">
        <v>0</v>
      </c>
      <c r="BH182" s="8">
        <v>0</v>
      </c>
      <c r="BI182" s="8">
        <v>0</v>
      </c>
      <c r="BJ182" s="8">
        <v>0</v>
      </c>
      <c r="BK182" s="8">
        <v>0</v>
      </c>
      <c r="BL182" s="8">
        <v>0</v>
      </c>
      <c r="BM182" s="8">
        <v>0</v>
      </c>
      <c r="BN182" s="8">
        <v>0</v>
      </c>
      <c r="BO182" s="8">
        <v>0</v>
      </c>
      <c r="BP182" s="8">
        <v>0</v>
      </c>
      <c r="BQ182" s="8">
        <v>0</v>
      </c>
      <c r="BR182" s="8">
        <v>0</v>
      </c>
      <c r="BS182" s="8">
        <v>0</v>
      </c>
      <c r="BT182" s="8">
        <v>0</v>
      </c>
      <c r="BU182" s="8">
        <v>0</v>
      </c>
      <c r="BV182" s="8">
        <v>0</v>
      </c>
      <c r="BW182" s="8">
        <v>0</v>
      </c>
      <c r="BX182" s="8">
        <v>0</v>
      </c>
      <c r="BY182" s="8">
        <v>0</v>
      </c>
      <c r="BZ182" s="8">
        <v>0</v>
      </c>
      <c r="CA182" s="8">
        <v>0</v>
      </c>
      <c r="CB182" s="8">
        <v>0</v>
      </c>
      <c r="CC182" s="8">
        <v>0</v>
      </c>
      <c r="CD182" s="8">
        <v>0</v>
      </c>
      <c r="CE182" s="8">
        <v>0</v>
      </c>
      <c r="CF182" s="8">
        <v>0</v>
      </c>
      <c r="CG182" s="8">
        <v>0</v>
      </c>
      <c r="CH182" s="8">
        <v>0</v>
      </c>
      <c r="CI182" s="8">
        <v>0</v>
      </c>
      <c r="CJ182" s="8">
        <v>0</v>
      </c>
      <c r="CK182" s="8">
        <v>0</v>
      </c>
      <c r="CL182" s="8">
        <v>0</v>
      </c>
      <c r="CM182" s="8">
        <v>0</v>
      </c>
      <c r="CN182" s="8">
        <v>0</v>
      </c>
      <c r="CO182" s="8">
        <v>0</v>
      </c>
      <c r="CP182" s="8">
        <v>0</v>
      </c>
      <c r="CQ182" s="8">
        <v>0</v>
      </c>
      <c r="CR182" s="8">
        <v>0</v>
      </c>
      <c r="CS182" t="str">
        <f>IFERROR(INDEX('Initiative Summary'!$C$5:$C$25,MATCH($A182,'Initiative Summary'!$A$5:$A$25,0)),"")</f>
        <v>Southgate Region</v>
      </c>
    </row>
    <row r="183" spans="1:97" ht="24" x14ac:dyDescent="0.25">
      <c r="A183" s="6" t="s">
        <v>715</v>
      </c>
      <c r="B183" s="10" t="s">
        <v>714</v>
      </c>
      <c r="C183" s="11" t="s">
        <v>194</v>
      </c>
      <c r="D183" s="11" t="s">
        <v>195</v>
      </c>
      <c r="E183" s="11" t="s">
        <v>196</v>
      </c>
      <c r="F183" s="11" t="s">
        <v>197</v>
      </c>
      <c r="G183" s="11"/>
      <c r="H183" s="11"/>
      <c r="I183" s="11"/>
      <c r="J183" s="11"/>
      <c r="K183" s="10"/>
      <c r="L183" s="11" t="s">
        <v>759</v>
      </c>
      <c r="M183" s="11" t="s">
        <v>199</v>
      </c>
      <c r="N183" s="20">
        <v>0</v>
      </c>
      <c r="O183" s="11" t="b">
        <v>0</v>
      </c>
      <c r="P183" s="11" t="s">
        <v>201</v>
      </c>
      <c r="Q183" s="11" t="s">
        <v>227</v>
      </c>
      <c r="R183" s="11" t="s">
        <v>227</v>
      </c>
      <c r="S183" s="11">
        <v>0</v>
      </c>
      <c r="T183" s="20">
        <v>0.77900000000000003</v>
      </c>
      <c r="U183" s="20">
        <v>2.3370000000000002</v>
      </c>
      <c r="V183" s="20">
        <v>2.3370000000000002</v>
      </c>
      <c r="W183" s="20">
        <v>2.3370000000000002</v>
      </c>
      <c r="X183" s="11">
        <v>0</v>
      </c>
      <c r="Y183" s="11">
        <v>0</v>
      </c>
      <c r="Z183" s="11">
        <v>0</v>
      </c>
      <c r="AA183" s="11">
        <v>0</v>
      </c>
      <c r="AB183" s="11">
        <v>0</v>
      </c>
      <c r="AC183" s="11">
        <v>0</v>
      </c>
      <c r="AD183" s="11">
        <v>0</v>
      </c>
      <c r="AE183" s="11">
        <v>0</v>
      </c>
      <c r="AF183" s="11">
        <v>0</v>
      </c>
      <c r="AG183" s="11">
        <v>0</v>
      </c>
      <c r="AH183" s="11">
        <v>0</v>
      </c>
      <c r="AI183" s="11">
        <v>0</v>
      </c>
      <c r="AJ183" s="20">
        <v>0</v>
      </c>
      <c r="AK183" s="20">
        <v>7.0818181818181822E-2</v>
      </c>
      <c r="AL183" s="20">
        <v>7.0818181818181822E-2</v>
      </c>
      <c r="AM183" s="20">
        <v>7.0818181818181822E-2</v>
      </c>
      <c r="AN183" s="20">
        <v>7.0818181818181822E-2</v>
      </c>
      <c r="AO183" s="20">
        <v>7.0818181818181822E-2</v>
      </c>
      <c r="AP183" s="20">
        <v>7.0818181818181822E-2</v>
      </c>
      <c r="AQ183" s="20">
        <v>7.0818181818181822E-2</v>
      </c>
      <c r="AR183" s="20">
        <v>7.0818181818181822E-2</v>
      </c>
      <c r="AS183" s="20">
        <v>7.0818181818181822E-2</v>
      </c>
      <c r="AT183" s="20">
        <v>7.0818181818181822E-2</v>
      </c>
      <c r="AU183" s="20">
        <v>7.0818181818181822E-2</v>
      </c>
      <c r="AV183" s="20">
        <v>0.19475000000000001</v>
      </c>
      <c r="AW183" s="20">
        <v>0.19475000000000001</v>
      </c>
      <c r="AX183" s="20">
        <v>0.19475000000000001</v>
      </c>
      <c r="AY183" s="20">
        <v>0.19475000000000001</v>
      </c>
      <c r="AZ183" s="20">
        <v>0.19475000000000001</v>
      </c>
      <c r="BA183" s="20">
        <v>0.19475000000000001</v>
      </c>
      <c r="BB183" s="20">
        <v>0.19475000000000001</v>
      </c>
      <c r="BC183" s="20">
        <v>0.19475000000000001</v>
      </c>
      <c r="BD183" s="20">
        <v>0.19475000000000001</v>
      </c>
      <c r="BE183" s="20">
        <v>0.19475000000000001</v>
      </c>
      <c r="BF183" s="20">
        <v>0.19475000000000001</v>
      </c>
      <c r="BG183" s="20">
        <v>0.19475000000000001</v>
      </c>
      <c r="BH183" s="20">
        <v>0.19475000000000001</v>
      </c>
      <c r="BI183" s="20">
        <v>0.19475000000000001</v>
      </c>
      <c r="BJ183" s="20">
        <v>0.19475000000000001</v>
      </c>
      <c r="BK183" s="20">
        <v>0.19475000000000001</v>
      </c>
      <c r="BL183" s="20">
        <v>0.19475000000000001</v>
      </c>
      <c r="BM183" s="20">
        <v>0.19475000000000001</v>
      </c>
      <c r="BN183" s="20">
        <v>0.19475000000000001</v>
      </c>
      <c r="BO183" s="20">
        <v>0.19475000000000001</v>
      </c>
      <c r="BP183" s="20">
        <v>0.19475000000000001</v>
      </c>
      <c r="BQ183" s="20">
        <v>0.19475000000000001</v>
      </c>
      <c r="BR183" s="20">
        <v>0.19475000000000001</v>
      </c>
      <c r="BS183" s="20">
        <v>0.19475000000000001</v>
      </c>
      <c r="BT183" s="20">
        <v>0.19475000000000001</v>
      </c>
      <c r="BU183" s="20">
        <v>0.19475000000000001</v>
      </c>
      <c r="BV183" s="20">
        <v>0.19475000000000001</v>
      </c>
      <c r="BW183" s="20">
        <v>0.19475000000000001</v>
      </c>
      <c r="BX183" s="20">
        <v>0.19475000000000001</v>
      </c>
      <c r="BY183" s="20">
        <v>0.19475000000000001</v>
      </c>
      <c r="BZ183" s="20">
        <v>0.19475000000000001</v>
      </c>
      <c r="CA183" s="20">
        <v>0.19475000000000001</v>
      </c>
      <c r="CB183" s="20">
        <v>0.19475000000000001</v>
      </c>
      <c r="CC183" s="20">
        <v>0.19475000000000001</v>
      </c>
      <c r="CD183" s="20">
        <v>0.19475000000000001</v>
      </c>
      <c r="CE183" s="20">
        <v>0.19475000000000001</v>
      </c>
      <c r="CF183" s="11">
        <v>2.3370000000000002</v>
      </c>
      <c r="CG183" s="11">
        <v>0.19475000000000001</v>
      </c>
      <c r="CH183" s="11">
        <v>0.19475000000000001</v>
      </c>
      <c r="CI183" s="11">
        <v>0.19475000000000001</v>
      </c>
      <c r="CJ183" s="11">
        <v>0.19475000000000001</v>
      </c>
      <c r="CK183" s="11">
        <v>0.19475000000000001</v>
      </c>
      <c r="CL183" s="11">
        <v>0.19475000000000001</v>
      </c>
      <c r="CM183" s="11">
        <v>0.19475000000000001</v>
      </c>
      <c r="CN183" s="11">
        <v>0.19475000000000001</v>
      </c>
      <c r="CO183" s="11">
        <v>0.19475000000000001</v>
      </c>
      <c r="CP183" s="11">
        <v>0.19475000000000001</v>
      </c>
      <c r="CQ183" s="11">
        <v>0.19475000000000001</v>
      </c>
      <c r="CR183" s="11">
        <v>0.19475000000000001</v>
      </c>
      <c r="CS183" t="str">
        <f>IFERROR(INDEX('Initiative Summary'!$C$5:$C$25,MATCH($A183,'Initiative Summary'!$A$5:$A$25,0)),"")</f>
        <v>Southgate Region</v>
      </c>
    </row>
    <row r="184" spans="1:97" ht="24" x14ac:dyDescent="0.25">
      <c r="A184" s="6" t="s">
        <v>715</v>
      </c>
      <c r="B184" s="7" t="s">
        <v>714</v>
      </c>
      <c r="C184" s="8" t="s">
        <v>194</v>
      </c>
      <c r="D184" s="8" t="s">
        <v>203</v>
      </c>
      <c r="E184" s="8" t="s">
        <v>196</v>
      </c>
      <c r="F184" s="8" t="s">
        <v>197</v>
      </c>
      <c r="G184" s="8"/>
      <c r="H184" s="8"/>
      <c r="I184" s="8"/>
      <c r="J184" s="8"/>
      <c r="K184" s="7"/>
      <c r="L184" s="8" t="s">
        <v>759</v>
      </c>
      <c r="M184" s="8" t="s">
        <v>199</v>
      </c>
      <c r="N184" s="21">
        <v>0</v>
      </c>
      <c r="O184" s="8" t="b">
        <v>0</v>
      </c>
      <c r="P184" s="8" t="s">
        <v>201</v>
      </c>
      <c r="Q184" s="8" t="s">
        <v>227</v>
      </c>
      <c r="R184" s="8" t="s">
        <v>227</v>
      </c>
      <c r="S184" s="8">
        <v>0</v>
      </c>
      <c r="T184" s="21">
        <v>0.96899999999999997</v>
      </c>
      <c r="U184" s="21">
        <v>2.9260000000000002</v>
      </c>
      <c r="V184" s="21">
        <v>2.9260000000000002</v>
      </c>
      <c r="W184" s="21">
        <v>2.9260000000000002</v>
      </c>
      <c r="X184" s="8">
        <v>0</v>
      </c>
      <c r="Y184" s="8">
        <v>0</v>
      </c>
      <c r="Z184" s="8">
        <v>0</v>
      </c>
      <c r="AA184" s="8">
        <v>0</v>
      </c>
      <c r="AB184" s="8">
        <v>0</v>
      </c>
      <c r="AC184" s="8">
        <v>0</v>
      </c>
      <c r="AD184" s="8">
        <v>0</v>
      </c>
      <c r="AE184" s="8">
        <v>0</v>
      </c>
      <c r="AF184" s="8">
        <v>0</v>
      </c>
      <c r="AG184" s="8">
        <v>0</v>
      </c>
      <c r="AH184" s="8">
        <v>0</v>
      </c>
      <c r="AI184" s="8">
        <v>0</v>
      </c>
      <c r="AJ184" s="21">
        <v>0</v>
      </c>
      <c r="AK184" s="21">
        <v>8.8090909090909095E-2</v>
      </c>
      <c r="AL184" s="21">
        <v>8.8090909090909095E-2</v>
      </c>
      <c r="AM184" s="21">
        <v>8.8090909090909095E-2</v>
      </c>
      <c r="AN184" s="21">
        <v>8.8090909090909095E-2</v>
      </c>
      <c r="AO184" s="21">
        <v>8.8090909090909095E-2</v>
      </c>
      <c r="AP184" s="21">
        <v>8.8090909090909095E-2</v>
      </c>
      <c r="AQ184" s="21">
        <v>8.8090909090909095E-2</v>
      </c>
      <c r="AR184" s="21">
        <v>8.8090909090909095E-2</v>
      </c>
      <c r="AS184" s="21">
        <v>8.8090909090909095E-2</v>
      </c>
      <c r="AT184" s="21">
        <v>8.8090909090909095E-2</v>
      </c>
      <c r="AU184" s="21">
        <v>8.8090909090909095E-2</v>
      </c>
      <c r="AV184" s="21">
        <v>0.24383333333333335</v>
      </c>
      <c r="AW184" s="21">
        <v>0.24383333333333335</v>
      </c>
      <c r="AX184" s="21">
        <v>0.24383333333333335</v>
      </c>
      <c r="AY184" s="21">
        <v>0.24383333333333335</v>
      </c>
      <c r="AZ184" s="21">
        <v>0.24383333333333335</v>
      </c>
      <c r="BA184" s="21">
        <v>0.24383333333333335</v>
      </c>
      <c r="BB184" s="21">
        <v>0.24383333333333335</v>
      </c>
      <c r="BC184" s="21">
        <v>0.24383333333333335</v>
      </c>
      <c r="BD184" s="21">
        <v>0.24383333333333335</v>
      </c>
      <c r="BE184" s="21">
        <v>0.24383333333333335</v>
      </c>
      <c r="BF184" s="21">
        <v>0.24383333333333335</v>
      </c>
      <c r="BG184" s="21">
        <v>0.24383333333333335</v>
      </c>
      <c r="BH184" s="21">
        <v>0.24383333333333335</v>
      </c>
      <c r="BI184" s="21">
        <v>0.24383333333333335</v>
      </c>
      <c r="BJ184" s="21">
        <v>0.24383333333333335</v>
      </c>
      <c r="BK184" s="21">
        <v>0.24383333333333335</v>
      </c>
      <c r="BL184" s="21">
        <v>0.24383333333333335</v>
      </c>
      <c r="BM184" s="21">
        <v>0.24383333333333335</v>
      </c>
      <c r="BN184" s="21">
        <v>0.24383333333333335</v>
      </c>
      <c r="BO184" s="21">
        <v>0.24383333333333335</v>
      </c>
      <c r="BP184" s="21">
        <v>0.24383333333333335</v>
      </c>
      <c r="BQ184" s="21">
        <v>0.24383333333333335</v>
      </c>
      <c r="BR184" s="21">
        <v>0.24383333333333335</v>
      </c>
      <c r="BS184" s="21">
        <v>0.24383333333333335</v>
      </c>
      <c r="BT184" s="21">
        <v>0.24383333333333335</v>
      </c>
      <c r="BU184" s="21">
        <v>0.24383333333333335</v>
      </c>
      <c r="BV184" s="21">
        <v>0.24383333333333335</v>
      </c>
      <c r="BW184" s="21">
        <v>0.24383333333333335</v>
      </c>
      <c r="BX184" s="21">
        <v>0.24383333333333335</v>
      </c>
      <c r="BY184" s="21">
        <v>0.24383333333333335</v>
      </c>
      <c r="BZ184" s="21">
        <v>0.24383333333333335</v>
      </c>
      <c r="CA184" s="21">
        <v>0.24383333333333335</v>
      </c>
      <c r="CB184" s="21">
        <v>0.24383333333333335</v>
      </c>
      <c r="CC184" s="21">
        <v>0.24383333333333335</v>
      </c>
      <c r="CD184" s="21">
        <v>0.24383333333333335</v>
      </c>
      <c r="CE184" s="21">
        <v>0.24383333333333335</v>
      </c>
      <c r="CF184" s="8">
        <v>2.9260000000000002</v>
      </c>
      <c r="CG184" s="8">
        <v>0.24383333333333335</v>
      </c>
      <c r="CH184" s="8">
        <v>0.24383333333333335</v>
      </c>
      <c r="CI184" s="8">
        <v>0.24383333333333335</v>
      </c>
      <c r="CJ184" s="8">
        <v>0.24383333333333335</v>
      </c>
      <c r="CK184" s="8">
        <v>0.24383333333333335</v>
      </c>
      <c r="CL184" s="8">
        <v>0.24383333333333335</v>
      </c>
      <c r="CM184" s="8">
        <v>0.24383333333333335</v>
      </c>
      <c r="CN184" s="8">
        <v>0.24383333333333335</v>
      </c>
      <c r="CO184" s="8">
        <v>0.24383333333333335</v>
      </c>
      <c r="CP184" s="8">
        <v>0.24383333333333335</v>
      </c>
      <c r="CQ184" s="8">
        <v>0.24383333333333335</v>
      </c>
      <c r="CR184" s="8">
        <v>0.24383333333333335</v>
      </c>
      <c r="CS184" t="str">
        <f>IFERROR(INDEX('Initiative Summary'!$C$5:$C$25,MATCH($A184,'Initiative Summary'!$A$5:$A$25,0)),"")</f>
        <v>Southgate Region</v>
      </c>
    </row>
    <row r="185" spans="1:97" ht="24" x14ac:dyDescent="0.25">
      <c r="A185" s="6" t="s">
        <v>715</v>
      </c>
      <c r="B185" s="10" t="s">
        <v>714</v>
      </c>
      <c r="C185" s="11" t="s">
        <v>194</v>
      </c>
      <c r="D185" s="11" t="s">
        <v>204</v>
      </c>
      <c r="E185" s="11" t="s">
        <v>196</v>
      </c>
      <c r="F185" s="11" t="s">
        <v>197</v>
      </c>
      <c r="G185" s="11"/>
      <c r="H185" s="11"/>
      <c r="I185" s="11"/>
      <c r="J185" s="11"/>
      <c r="K185" s="10"/>
      <c r="L185" s="11" t="s">
        <v>759</v>
      </c>
      <c r="M185" s="11" t="s">
        <v>199</v>
      </c>
      <c r="N185" s="20">
        <v>0</v>
      </c>
      <c r="O185" s="11" t="b">
        <v>0</v>
      </c>
      <c r="P185" s="11" t="s">
        <v>201</v>
      </c>
      <c r="Q185" s="11" t="s">
        <v>227</v>
      </c>
      <c r="R185" s="11" t="s">
        <v>227</v>
      </c>
      <c r="S185" s="11"/>
      <c r="T185" s="11"/>
      <c r="U185" s="11"/>
      <c r="V185" s="11"/>
      <c r="W185" s="11"/>
      <c r="X185" s="11">
        <v>0</v>
      </c>
      <c r="Y185" s="11">
        <v>0</v>
      </c>
      <c r="Z185" s="11">
        <v>0</v>
      </c>
      <c r="AA185" s="11">
        <v>0</v>
      </c>
      <c r="AB185" s="11">
        <v>0</v>
      </c>
      <c r="AC185" s="11">
        <v>0</v>
      </c>
      <c r="AD185" s="11">
        <v>0</v>
      </c>
      <c r="AE185" s="11">
        <v>0</v>
      </c>
      <c r="AF185" s="11">
        <v>0</v>
      </c>
      <c r="AG185" s="11">
        <v>0</v>
      </c>
      <c r="AH185" s="11">
        <v>0</v>
      </c>
      <c r="AI185" s="11">
        <v>0</v>
      </c>
      <c r="AJ185" s="11">
        <v>0</v>
      </c>
      <c r="AK185" s="11">
        <v>0</v>
      </c>
      <c r="AL185" s="11">
        <v>0</v>
      </c>
      <c r="AM185" s="11">
        <v>0</v>
      </c>
      <c r="AN185" s="11">
        <v>0</v>
      </c>
      <c r="AO185" s="11">
        <v>0</v>
      </c>
      <c r="AP185" s="11">
        <v>0</v>
      </c>
      <c r="AQ185" s="11">
        <v>0</v>
      </c>
      <c r="AR185" s="11">
        <v>0</v>
      </c>
      <c r="AS185" s="11">
        <v>0</v>
      </c>
      <c r="AT185" s="11">
        <v>0</v>
      </c>
      <c r="AU185" s="11">
        <v>0</v>
      </c>
      <c r="AV185" s="11">
        <v>0</v>
      </c>
      <c r="AW185" s="11">
        <v>0</v>
      </c>
      <c r="AX185" s="11">
        <v>0</v>
      </c>
      <c r="AY185" s="11">
        <v>0</v>
      </c>
      <c r="AZ185" s="11">
        <v>0</v>
      </c>
      <c r="BA185" s="11">
        <v>0</v>
      </c>
      <c r="BB185" s="11">
        <v>0</v>
      </c>
      <c r="BC185" s="11">
        <v>0</v>
      </c>
      <c r="BD185" s="11">
        <v>0</v>
      </c>
      <c r="BE185" s="11">
        <v>0</v>
      </c>
      <c r="BF185" s="11">
        <v>0</v>
      </c>
      <c r="BG185" s="11">
        <v>0</v>
      </c>
      <c r="BH185" s="11">
        <v>0</v>
      </c>
      <c r="BI185" s="11">
        <v>0</v>
      </c>
      <c r="BJ185" s="11">
        <v>0</v>
      </c>
      <c r="BK185" s="11">
        <v>0</v>
      </c>
      <c r="BL185" s="11">
        <v>0</v>
      </c>
      <c r="BM185" s="11">
        <v>0</v>
      </c>
      <c r="BN185" s="11">
        <v>0</v>
      </c>
      <c r="BO185" s="11">
        <v>0</v>
      </c>
      <c r="BP185" s="11">
        <v>0</v>
      </c>
      <c r="BQ185" s="11">
        <v>0</v>
      </c>
      <c r="BR185" s="11">
        <v>0</v>
      </c>
      <c r="BS185" s="11">
        <v>0</v>
      </c>
      <c r="BT185" s="11">
        <v>0</v>
      </c>
      <c r="BU185" s="11">
        <v>0</v>
      </c>
      <c r="BV185" s="11">
        <v>0</v>
      </c>
      <c r="BW185" s="11">
        <v>0</v>
      </c>
      <c r="BX185" s="11">
        <v>0</v>
      </c>
      <c r="BY185" s="11">
        <v>0</v>
      </c>
      <c r="BZ185" s="11">
        <v>0</v>
      </c>
      <c r="CA185" s="11">
        <v>0</v>
      </c>
      <c r="CB185" s="11">
        <v>0</v>
      </c>
      <c r="CC185" s="11">
        <v>0</v>
      </c>
      <c r="CD185" s="11">
        <v>0</v>
      </c>
      <c r="CE185" s="11">
        <v>0</v>
      </c>
      <c r="CF185" s="11">
        <v>0</v>
      </c>
      <c r="CG185" s="11">
        <v>0</v>
      </c>
      <c r="CH185" s="11">
        <v>0</v>
      </c>
      <c r="CI185" s="11">
        <v>0</v>
      </c>
      <c r="CJ185" s="11">
        <v>0</v>
      </c>
      <c r="CK185" s="11">
        <v>0</v>
      </c>
      <c r="CL185" s="11">
        <v>0</v>
      </c>
      <c r="CM185" s="11">
        <v>0</v>
      </c>
      <c r="CN185" s="11">
        <v>0</v>
      </c>
      <c r="CO185" s="11">
        <v>0</v>
      </c>
      <c r="CP185" s="11">
        <v>0</v>
      </c>
      <c r="CQ185" s="11">
        <v>0</v>
      </c>
      <c r="CR185" s="11">
        <v>0</v>
      </c>
      <c r="CS185" t="str">
        <f>IFERROR(INDEX('Initiative Summary'!$C$5:$C$25,MATCH($A185,'Initiative Summary'!$A$5:$A$25,0)),"")</f>
        <v>Southgate Region</v>
      </c>
    </row>
    <row r="186" spans="1:97" ht="24" x14ac:dyDescent="0.25">
      <c r="A186" s="6" t="s">
        <v>715</v>
      </c>
      <c r="B186" s="7" t="s">
        <v>714</v>
      </c>
      <c r="C186" s="8" t="s">
        <v>205</v>
      </c>
      <c r="D186" s="8" t="s">
        <v>195</v>
      </c>
      <c r="E186" s="8" t="s">
        <v>206</v>
      </c>
      <c r="F186" s="8" t="s">
        <v>207</v>
      </c>
      <c r="G186" s="8"/>
      <c r="H186" s="8" t="s">
        <v>215</v>
      </c>
      <c r="I186" s="8" t="s">
        <v>216</v>
      </c>
      <c r="J186" s="8"/>
      <c r="K186" s="7"/>
      <c r="L186" s="8" t="s">
        <v>760</v>
      </c>
      <c r="M186" s="8" t="s">
        <v>199</v>
      </c>
      <c r="N186" s="21">
        <v>3</v>
      </c>
      <c r="O186" s="8" t="b">
        <v>0</v>
      </c>
      <c r="P186" s="8" t="s">
        <v>218</v>
      </c>
      <c r="Q186" s="8" t="s">
        <v>227</v>
      </c>
      <c r="R186" s="8" t="s">
        <v>227</v>
      </c>
      <c r="S186" s="8"/>
      <c r="T186" s="8"/>
      <c r="U186" s="8"/>
      <c r="V186" s="8"/>
      <c r="W186" s="8"/>
      <c r="X186" s="8">
        <v>0</v>
      </c>
      <c r="Y186" s="8">
        <v>0</v>
      </c>
      <c r="Z186" s="8">
        <v>0</v>
      </c>
      <c r="AA186" s="8">
        <v>0</v>
      </c>
      <c r="AB186" s="8">
        <v>0</v>
      </c>
      <c r="AC186" s="8">
        <v>0</v>
      </c>
      <c r="AD186" s="8">
        <v>0</v>
      </c>
      <c r="AE186" s="8">
        <v>0</v>
      </c>
      <c r="AF186" s="8">
        <v>0</v>
      </c>
      <c r="AG186" s="8">
        <v>0</v>
      </c>
      <c r="AH186" s="8">
        <v>0</v>
      </c>
      <c r="AI186" s="8">
        <v>0</v>
      </c>
      <c r="AJ186" s="8">
        <v>0</v>
      </c>
      <c r="AK186" s="8">
        <v>0</v>
      </c>
      <c r="AL186" s="8">
        <v>0</v>
      </c>
      <c r="AM186" s="8">
        <v>0</v>
      </c>
      <c r="AN186" s="8">
        <v>0</v>
      </c>
      <c r="AO186" s="8">
        <v>0</v>
      </c>
      <c r="AP186" s="8">
        <v>0</v>
      </c>
      <c r="AQ186" s="8">
        <v>0</v>
      </c>
      <c r="AR186" s="8">
        <v>0</v>
      </c>
      <c r="AS186" s="8">
        <v>0</v>
      </c>
      <c r="AT186" s="8">
        <v>0</v>
      </c>
      <c r="AU186" s="8">
        <v>0</v>
      </c>
      <c r="AV186" s="8">
        <v>0</v>
      </c>
      <c r="AW186" s="8">
        <v>0</v>
      </c>
      <c r="AX186" s="8">
        <v>0</v>
      </c>
      <c r="AY186" s="8">
        <v>0</v>
      </c>
      <c r="AZ186" s="8">
        <v>0</v>
      </c>
      <c r="BA186" s="8">
        <v>0</v>
      </c>
      <c r="BB186" s="8">
        <v>0</v>
      </c>
      <c r="BC186" s="8">
        <v>0</v>
      </c>
      <c r="BD186" s="8">
        <v>0</v>
      </c>
      <c r="BE186" s="8">
        <v>0</v>
      </c>
      <c r="BF186" s="8">
        <v>0</v>
      </c>
      <c r="BG186" s="8">
        <v>0</v>
      </c>
      <c r="BH186" s="8">
        <v>0</v>
      </c>
      <c r="BI186" s="8">
        <v>0</v>
      </c>
      <c r="BJ186" s="8">
        <v>0</v>
      </c>
      <c r="BK186" s="8">
        <v>0</v>
      </c>
      <c r="BL186" s="8">
        <v>0</v>
      </c>
      <c r="BM186" s="8">
        <v>0</v>
      </c>
      <c r="BN186" s="8">
        <v>0</v>
      </c>
      <c r="BO186" s="8">
        <v>0</v>
      </c>
      <c r="BP186" s="8">
        <v>0</v>
      </c>
      <c r="BQ186" s="8">
        <v>0</v>
      </c>
      <c r="BR186" s="8">
        <v>0</v>
      </c>
      <c r="BS186" s="8">
        <v>0</v>
      </c>
      <c r="BT186" s="8">
        <v>0</v>
      </c>
      <c r="BU186" s="8">
        <v>0</v>
      </c>
      <c r="BV186" s="8">
        <v>0</v>
      </c>
      <c r="BW186" s="8">
        <v>0</v>
      </c>
      <c r="BX186" s="8">
        <v>0</v>
      </c>
      <c r="BY186" s="8">
        <v>0</v>
      </c>
      <c r="BZ186" s="8">
        <v>0</v>
      </c>
      <c r="CA186" s="8">
        <v>0</v>
      </c>
      <c r="CB186" s="8">
        <v>0</v>
      </c>
      <c r="CC186" s="8">
        <v>0</v>
      </c>
      <c r="CD186" s="8">
        <v>0</v>
      </c>
      <c r="CE186" s="8">
        <v>0</v>
      </c>
      <c r="CF186" s="8">
        <v>0</v>
      </c>
      <c r="CG186" s="8">
        <v>0</v>
      </c>
      <c r="CH186" s="8">
        <v>0</v>
      </c>
      <c r="CI186" s="8">
        <v>0</v>
      </c>
      <c r="CJ186" s="8">
        <v>0</v>
      </c>
      <c r="CK186" s="8">
        <v>0</v>
      </c>
      <c r="CL186" s="8">
        <v>0</v>
      </c>
      <c r="CM186" s="8">
        <v>0</v>
      </c>
      <c r="CN186" s="8">
        <v>0</v>
      </c>
      <c r="CO186" s="8">
        <v>0</v>
      </c>
      <c r="CP186" s="8">
        <v>0</v>
      </c>
      <c r="CQ186" s="8">
        <v>0</v>
      </c>
      <c r="CR186" s="8">
        <v>0</v>
      </c>
      <c r="CS186" t="str">
        <f>IFERROR(INDEX('Initiative Summary'!$C$5:$C$25,MATCH($A186,'Initiative Summary'!$A$5:$A$25,0)),"")</f>
        <v>Southgate Region</v>
      </c>
    </row>
    <row r="187" spans="1:97" ht="24" x14ac:dyDescent="0.25">
      <c r="A187" s="6" t="s">
        <v>715</v>
      </c>
      <c r="B187" s="10" t="s">
        <v>714</v>
      </c>
      <c r="C187" s="11" t="s">
        <v>205</v>
      </c>
      <c r="D187" s="11" t="s">
        <v>203</v>
      </c>
      <c r="E187" s="11" t="s">
        <v>206</v>
      </c>
      <c r="F187" s="11" t="s">
        <v>207</v>
      </c>
      <c r="G187" s="11"/>
      <c r="H187" s="11" t="s">
        <v>215</v>
      </c>
      <c r="I187" s="11" t="s">
        <v>216</v>
      </c>
      <c r="J187" s="11"/>
      <c r="K187" s="10"/>
      <c r="L187" s="11" t="s">
        <v>760</v>
      </c>
      <c r="M187" s="11" t="s">
        <v>199</v>
      </c>
      <c r="N187" s="20">
        <v>3</v>
      </c>
      <c r="O187" s="11" t="b">
        <v>0</v>
      </c>
      <c r="P187" s="11" t="s">
        <v>218</v>
      </c>
      <c r="Q187" s="11" t="s">
        <v>227</v>
      </c>
      <c r="R187" s="11" t="s">
        <v>227</v>
      </c>
      <c r="S187" s="11"/>
      <c r="T187" s="11"/>
      <c r="U187" s="11"/>
      <c r="V187" s="11"/>
      <c r="W187" s="11"/>
      <c r="X187" s="11">
        <v>0</v>
      </c>
      <c r="Y187" s="11">
        <v>0</v>
      </c>
      <c r="Z187" s="11">
        <v>0</v>
      </c>
      <c r="AA187" s="11">
        <v>0</v>
      </c>
      <c r="AB187" s="11">
        <v>0</v>
      </c>
      <c r="AC187" s="11">
        <v>0</v>
      </c>
      <c r="AD187" s="11">
        <v>0</v>
      </c>
      <c r="AE187" s="11">
        <v>0</v>
      </c>
      <c r="AF187" s="11">
        <v>0</v>
      </c>
      <c r="AG187" s="11">
        <v>0</v>
      </c>
      <c r="AH187" s="11">
        <v>0</v>
      </c>
      <c r="AI187" s="11">
        <v>0</v>
      </c>
      <c r="AJ187" s="11">
        <v>0</v>
      </c>
      <c r="AK187" s="11">
        <v>0</v>
      </c>
      <c r="AL187" s="11">
        <v>0</v>
      </c>
      <c r="AM187" s="11">
        <v>0</v>
      </c>
      <c r="AN187" s="11">
        <v>0</v>
      </c>
      <c r="AO187" s="11">
        <v>0</v>
      </c>
      <c r="AP187" s="11">
        <v>0</v>
      </c>
      <c r="AQ187" s="11">
        <v>0</v>
      </c>
      <c r="AR187" s="11">
        <v>0</v>
      </c>
      <c r="AS187" s="11">
        <v>0</v>
      </c>
      <c r="AT187" s="11">
        <v>0</v>
      </c>
      <c r="AU187" s="11">
        <v>0</v>
      </c>
      <c r="AV187" s="11">
        <v>0</v>
      </c>
      <c r="AW187" s="11">
        <v>0</v>
      </c>
      <c r="AX187" s="11">
        <v>0</v>
      </c>
      <c r="AY187" s="11">
        <v>0</v>
      </c>
      <c r="AZ187" s="11">
        <v>0</v>
      </c>
      <c r="BA187" s="11">
        <v>0</v>
      </c>
      <c r="BB187" s="11">
        <v>0</v>
      </c>
      <c r="BC187" s="11">
        <v>0</v>
      </c>
      <c r="BD187" s="11">
        <v>0</v>
      </c>
      <c r="BE187" s="11">
        <v>0</v>
      </c>
      <c r="BF187" s="11">
        <v>0</v>
      </c>
      <c r="BG187" s="11">
        <v>0</v>
      </c>
      <c r="BH187" s="11">
        <v>0</v>
      </c>
      <c r="BI187" s="11">
        <v>0</v>
      </c>
      <c r="BJ187" s="11">
        <v>0</v>
      </c>
      <c r="BK187" s="11">
        <v>0</v>
      </c>
      <c r="BL187" s="11">
        <v>0</v>
      </c>
      <c r="BM187" s="11">
        <v>0</v>
      </c>
      <c r="BN187" s="11">
        <v>0</v>
      </c>
      <c r="BO187" s="11">
        <v>0</v>
      </c>
      <c r="BP187" s="11">
        <v>0</v>
      </c>
      <c r="BQ187" s="11">
        <v>0</v>
      </c>
      <c r="BR187" s="11">
        <v>0</v>
      </c>
      <c r="BS187" s="11">
        <v>0</v>
      </c>
      <c r="BT187" s="11">
        <v>0</v>
      </c>
      <c r="BU187" s="11">
        <v>0</v>
      </c>
      <c r="BV187" s="11">
        <v>0</v>
      </c>
      <c r="BW187" s="11">
        <v>0</v>
      </c>
      <c r="BX187" s="11">
        <v>0</v>
      </c>
      <c r="BY187" s="11">
        <v>0</v>
      </c>
      <c r="BZ187" s="11">
        <v>0</v>
      </c>
      <c r="CA187" s="11">
        <v>0</v>
      </c>
      <c r="CB187" s="11">
        <v>0</v>
      </c>
      <c r="CC187" s="11">
        <v>0</v>
      </c>
      <c r="CD187" s="11">
        <v>0</v>
      </c>
      <c r="CE187" s="11">
        <v>0</v>
      </c>
      <c r="CF187" s="11">
        <v>0</v>
      </c>
      <c r="CG187" s="11">
        <v>0</v>
      </c>
      <c r="CH187" s="11">
        <v>0</v>
      </c>
      <c r="CI187" s="11">
        <v>0</v>
      </c>
      <c r="CJ187" s="11">
        <v>0</v>
      </c>
      <c r="CK187" s="11">
        <v>0</v>
      </c>
      <c r="CL187" s="11">
        <v>0</v>
      </c>
      <c r="CM187" s="11">
        <v>0</v>
      </c>
      <c r="CN187" s="11">
        <v>0</v>
      </c>
      <c r="CO187" s="11">
        <v>0</v>
      </c>
      <c r="CP187" s="11">
        <v>0</v>
      </c>
      <c r="CQ187" s="11">
        <v>0</v>
      </c>
      <c r="CR187" s="11">
        <v>0</v>
      </c>
      <c r="CS187" t="str">
        <f>IFERROR(INDEX('Initiative Summary'!$C$5:$C$25,MATCH($A187,'Initiative Summary'!$A$5:$A$25,0)),"")</f>
        <v>Southgate Region</v>
      </c>
    </row>
    <row r="188" spans="1:97" ht="24" x14ac:dyDescent="0.25">
      <c r="A188" s="6" t="s">
        <v>715</v>
      </c>
      <c r="B188" s="7" t="s">
        <v>714</v>
      </c>
      <c r="C188" s="8" t="s">
        <v>205</v>
      </c>
      <c r="D188" s="8" t="s">
        <v>204</v>
      </c>
      <c r="E188" s="8" t="s">
        <v>206</v>
      </c>
      <c r="F188" s="8" t="s">
        <v>207</v>
      </c>
      <c r="G188" s="8"/>
      <c r="H188" s="8" t="s">
        <v>215</v>
      </c>
      <c r="I188" s="8" t="s">
        <v>216</v>
      </c>
      <c r="J188" s="8"/>
      <c r="K188" s="7"/>
      <c r="L188" s="8" t="s">
        <v>760</v>
      </c>
      <c r="M188" s="8" t="s">
        <v>199</v>
      </c>
      <c r="N188" s="21">
        <v>3</v>
      </c>
      <c r="O188" s="8" t="b">
        <v>0</v>
      </c>
      <c r="P188" s="8" t="s">
        <v>218</v>
      </c>
      <c r="Q188" s="8" t="s">
        <v>227</v>
      </c>
      <c r="R188" s="8" t="s">
        <v>227</v>
      </c>
      <c r="S188" s="8"/>
      <c r="T188" s="8"/>
      <c r="U188" s="8"/>
      <c r="V188" s="8"/>
      <c r="W188" s="8"/>
      <c r="X188" s="8">
        <v>0</v>
      </c>
      <c r="Y188" s="8">
        <v>0</v>
      </c>
      <c r="Z188" s="8">
        <v>0</v>
      </c>
      <c r="AA188" s="8">
        <v>0</v>
      </c>
      <c r="AB188" s="8">
        <v>0</v>
      </c>
      <c r="AC188" s="8">
        <v>0</v>
      </c>
      <c r="AD188" s="8">
        <v>0</v>
      </c>
      <c r="AE188" s="8">
        <v>0</v>
      </c>
      <c r="AF188" s="8">
        <v>0</v>
      </c>
      <c r="AG188" s="8">
        <v>0</v>
      </c>
      <c r="AH188" s="8">
        <v>0</v>
      </c>
      <c r="AI188" s="8">
        <v>0</v>
      </c>
      <c r="AJ188" s="8">
        <v>0</v>
      </c>
      <c r="AK188" s="8">
        <v>0</v>
      </c>
      <c r="AL188" s="8">
        <v>0</v>
      </c>
      <c r="AM188" s="8">
        <v>0</v>
      </c>
      <c r="AN188" s="8">
        <v>0</v>
      </c>
      <c r="AO188" s="8">
        <v>0</v>
      </c>
      <c r="AP188" s="8">
        <v>0</v>
      </c>
      <c r="AQ188" s="8">
        <v>0</v>
      </c>
      <c r="AR188" s="8">
        <v>0</v>
      </c>
      <c r="AS188" s="8">
        <v>0</v>
      </c>
      <c r="AT188" s="8">
        <v>0</v>
      </c>
      <c r="AU188" s="8">
        <v>0</v>
      </c>
      <c r="AV188" s="8">
        <v>0</v>
      </c>
      <c r="AW188" s="8">
        <v>0</v>
      </c>
      <c r="AX188" s="8">
        <v>0</v>
      </c>
      <c r="AY188" s="8">
        <v>0</v>
      </c>
      <c r="AZ188" s="8">
        <v>0</v>
      </c>
      <c r="BA188" s="8">
        <v>0</v>
      </c>
      <c r="BB188" s="8">
        <v>0</v>
      </c>
      <c r="BC188" s="8">
        <v>0</v>
      </c>
      <c r="BD188" s="8">
        <v>0</v>
      </c>
      <c r="BE188" s="8">
        <v>0</v>
      </c>
      <c r="BF188" s="8">
        <v>0</v>
      </c>
      <c r="BG188" s="8">
        <v>0</v>
      </c>
      <c r="BH188" s="8">
        <v>0</v>
      </c>
      <c r="BI188" s="8">
        <v>0</v>
      </c>
      <c r="BJ188" s="8">
        <v>0</v>
      </c>
      <c r="BK188" s="8">
        <v>0</v>
      </c>
      <c r="BL188" s="8">
        <v>0</v>
      </c>
      <c r="BM188" s="8">
        <v>0</v>
      </c>
      <c r="BN188" s="8">
        <v>0</v>
      </c>
      <c r="BO188" s="8">
        <v>0</v>
      </c>
      <c r="BP188" s="8">
        <v>0</v>
      </c>
      <c r="BQ188" s="8">
        <v>0</v>
      </c>
      <c r="BR188" s="8">
        <v>0</v>
      </c>
      <c r="BS188" s="8">
        <v>0</v>
      </c>
      <c r="BT188" s="8">
        <v>0</v>
      </c>
      <c r="BU188" s="8">
        <v>0</v>
      </c>
      <c r="BV188" s="8">
        <v>0</v>
      </c>
      <c r="BW188" s="8">
        <v>0</v>
      </c>
      <c r="BX188" s="8">
        <v>0</v>
      </c>
      <c r="BY188" s="8">
        <v>0</v>
      </c>
      <c r="BZ188" s="8">
        <v>0</v>
      </c>
      <c r="CA188" s="8">
        <v>0</v>
      </c>
      <c r="CB188" s="8">
        <v>0</v>
      </c>
      <c r="CC188" s="8">
        <v>0</v>
      </c>
      <c r="CD188" s="8">
        <v>0</v>
      </c>
      <c r="CE188" s="8">
        <v>0</v>
      </c>
      <c r="CF188" s="8">
        <v>0</v>
      </c>
      <c r="CG188" s="8">
        <v>0</v>
      </c>
      <c r="CH188" s="8">
        <v>0</v>
      </c>
      <c r="CI188" s="8">
        <v>0</v>
      </c>
      <c r="CJ188" s="8">
        <v>0</v>
      </c>
      <c r="CK188" s="8">
        <v>0</v>
      </c>
      <c r="CL188" s="8">
        <v>0</v>
      </c>
      <c r="CM188" s="8">
        <v>0</v>
      </c>
      <c r="CN188" s="8">
        <v>0</v>
      </c>
      <c r="CO188" s="8">
        <v>0</v>
      </c>
      <c r="CP188" s="8">
        <v>0</v>
      </c>
      <c r="CQ188" s="8">
        <v>0</v>
      </c>
      <c r="CR188" s="8">
        <v>0</v>
      </c>
      <c r="CS188" t="str">
        <f>IFERROR(INDEX('Initiative Summary'!$C$5:$C$25,MATCH($A188,'Initiative Summary'!$A$5:$A$25,0)),"")</f>
        <v>Southgate Region</v>
      </c>
    </row>
    <row r="189" spans="1:97" ht="24" x14ac:dyDescent="0.25">
      <c r="A189" s="6" t="s">
        <v>715</v>
      </c>
      <c r="B189" s="10" t="s">
        <v>714</v>
      </c>
      <c r="C189" s="11" t="s">
        <v>206</v>
      </c>
      <c r="D189" s="11" t="s">
        <v>195</v>
      </c>
      <c r="E189" s="11" t="s">
        <v>206</v>
      </c>
      <c r="F189" s="11" t="s">
        <v>197</v>
      </c>
      <c r="G189" s="11"/>
      <c r="H189" s="11"/>
      <c r="I189" s="11"/>
      <c r="J189" s="11"/>
      <c r="K189" s="10"/>
      <c r="L189" s="11" t="s">
        <v>761</v>
      </c>
      <c r="M189" s="11" t="s">
        <v>199</v>
      </c>
      <c r="N189" s="20">
        <v>100</v>
      </c>
      <c r="O189" s="11" t="b">
        <v>0</v>
      </c>
      <c r="P189" s="11" t="s">
        <v>201</v>
      </c>
      <c r="Q189" s="11" t="s">
        <v>210</v>
      </c>
      <c r="R189" s="11" t="s">
        <v>210</v>
      </c>
      <c r="S189" s="11">
        <v>0</v>
      </c>
      <c r="T189" s="20">
        <v>0.45600000000000002</v>
      </c>
      <c r="U189" s="20">
        <v>1.349</v>
      </c>
      <c r="V189" s="20">
        <v>1.349</v>
      </c>
      <c r="W189" s="20">
        <v>1.349</v>
      </c>
      <c r="X189" s="11">
        <v>0</v>
      </c>
      <c r="Y189" s="11">
        <v>0</v>
      </c>
      <c r="Z189" s="11">
        <v>0</v>
      </c>
      <c r="AA189" s="11">
        <v>0</v>
      </c>
      <c r="AB189" s="11">
        <v>0</v>
      </c>
      <c r="AC189" s="11">
        <v>0</v>
      </c>
      <c r="AD189" s="11">
        <v>0</v>
      </c>
      <c r="AE189" s="11">
        <v>0</v>
      </c>
      <c r="AF189" s="11">
        <v>0</v>
      </c>
      <c r="AG189" s="11">
        <v>0</v>
      </c>
      <c r="AH189" s="11">
        <v>0</v>
      </c>
      <c r="AI189" s="11">
        <v>0</v>
      </c>
      <c r="AJ189" s="20">
        <v>0</v>
      </c>
      <c r="AK189" s="20">
        <v>4.1454545454545459E-2</v>
      </c>
      <c r="AL189" s="20">
        <v>4.1454545454545459E-2</v>
      </c>
      <c r="AM189" s="20">
        <v>4.1454545454545459E-2</v>
      </c>
      <c r="AN189" s="20">
        <v>4.1454545454545459E-2</v>
      </c>
      <c r="AO189" s="20">
        <v>4.1454545454545459E-2</v>
      </c>
      <c r="AP189" s="20">
        <v>4.1454545454545459E-2</v>
      </c>
      <c r="AQ189" s="20">
        <v>4.1454545454545459E-2</v>
      </c>
      <c r="AR189" s="20">
        <v>4.1454545454545459E-2</v>
      </c>
      <c r="AS189" s="20">
        <v>4.1454545454545459E-2</v>
      </c>
      <c r="AT189" s="20">
        <v>4.1454545454545459E-2</v>
      </c>
      <c r="AU189" s="20">
        <v>4.1454545454545459E-2</v>
      </c>
      <c r="AV189" s="20">
        <v>0.11241666666666666</v>
      </c>
      <c r="AW189" s="20">
        <v>0.11241666666666666</v>
      </c>
      <c r="AX189" s="20">
        <v>0.11241666666666666</v>
      </c>
      <c r="AY189" s="20">
        <v>0.11241666666666666</v>
      </c>
      <c r="AZ189" s="20">
        <v>0.11241666666666666</v>
      </c>
      <c r="BA189" s="20">
        <v>0.11241666666666666</v>
      </c>
      <c r="BB189" s="20">
        <v>0.11241666666666666</v>
      </c>
      <c r="BC189" s="20">
        <v>0.11241666666666666</v>
      </c>
      <c r="BD189" s="20">
        <v>0.11241666666666666</v>
      </c>
      <c r="BE189" s="20">
        <v>0.11241666666666666</v>
      </c>
      <c r="BF189" s="20">
        <v>0.11241666666666666</v>
      </c>
      <c r="BG189" s="20">
        <v>0.11241666666666666</v>
      </c>
      <c r="BH189" s="20">
        <v>0.11241666666666666</v>
      </c>
      <c r="BI189" s="20">
        <v>0.11241666666666666</v>
      </c>
      <c r="BJ189" s="20">
        <v>0.11241666666666666</v>
      </c>
      <c r="BK189" s="20">
        <v>0.11241666666666666</v>
      </c>
      <c r="BL189" s="20">
        <v>0.11241666666666666</v>
      </c>
      <c r="BM189" s="20">
        <v>0.11241666666666666</v>
      </c>
      <c r="BN189" s="20">
        <v>0.11241666666666666</v>
      </c>
      <c r="BO189" s="20">
        <v>0.11241666666666666</v>
      </c>
      <c r="BP189" s="20">
        <v>0.11241666666666666</v>
      </c>
      <c r="BQ189" s="20">
        <v>0.11241666666666666</v>
      </c>
      <c r="BR189" s="20">
        <v>0.11241666666666666</v>
      </c>
      <c r="BS189" s="20">
        <v>0.11241666666666666</v>
      </c>
      <c r="BT189" s="20">
        <v>0.11241666666666666</v>
      </c>
      <c r="BU189" s="20">
        <v>0.11241666666666666</v>
      </c>
      <c r="BV189" s="20">
        <v>0.11241666666666666</v>
      </c>
      <c r="BW189" s="20">
        <v>0.11241666666666666</v>
      </c>
      <c r="BX189" s="20">
        <v>0.11241666666666666</v>
      </c>
      <c r="BY189" s="20">
        <v>0.11241666666666666</v>
      </c>
      <c r="BZ189" s="20">
        <v>0.11241666666666666</v>
      </c>
      <c r="CA189" s="20">
        <v>0.11241666666666666</v>
      </c>
      <c r="CB189" s="20">
        <v>0.11241666666666666</v>
      </c>
      <c r="CC189" s="20">
        <v>0.11241666666666666</v>
      </c>
      <c r="CD189" s="20">
        <v>0.11241666666666666</v>
      </c>
      <c r="CE189" s="20">
        <v>0.11241666666666666</v>
      </c>
      <c r="CF189" s="11">
        <v>1.349</v>
      </c>
      <c r="CG189" s="11">
        <v>0.11241666666666666</v>
      </c>
      <c r="CH189" s="11">
        <v>0.11241666666666666</v>
      </c>
      <c r="CI189" s="11">
        <v>0.11241666666666666</v>
      </c>
      <c r="CJ189" s="11">
        <v>0.11241666666666666</v>
      </c>
      <c r="CK189" s="11">
        <v>0.11241666666666666</v>
      </c>
      <c r="CL189" s="11">
        <v>0.11241666666666666</v>
      </c>
      <c r="CM189" s="11">
        <v>0.11241666666666666</v>
      </c>
      <c r="CN189" s="11">
        <v>0.11241666666666666</v>
      </c>
      <c r="CO189" s="11">
        <v>0.11241666666666666</v>
      </c>
      <c r="CP189" s="11">
        <v>0.11241666666666666</v>
      </c>
      <c r="CQ189" s="11">
        <v>0.11241666666666666</v>
      </c>
      <c r="CR189" s="11">
        <v>0.11241666666666666</v>
      </c>
      <c r="CS189" t="str">
        <f>IFERROR(INDEX('Initiative Summary'!$C$5:$C$25,MATCH($A189,'Initiative Summary'!$A$5:$A$25,0)),"")</f>
        <v>Southgate Region</v>
      </c>
    </row>
    <row r="190" spans="1:97" ht="24" x14ac:dyDescent="0.25">
      <c r="A190" s="6" t="s">
        <v>715</v>
      </c>
      <c r="B190" s="7" t="s">
        <v>714</v>
      </c>
      <c r="C190" s="8" t="s">
        <v>206</v>
      </c>
      <c r="D190" s="8" t="s">
        <v>203</v>
      </c>
      <c r="E190" s="8" t="s">
        <v>206</v>
      </c>
      <c r="F190" s="8" t="s">
        <v>197</v>
      </c>
      <c r="G190" s="8"/>
      <c r="H190" s="8"/>
      <c r="I190" s="8"/>
      <c r="J190" s="8"/>
      <c r="K190" s="7"/>
      <c r="L190" s="8" t="s">
        <v>761</v>
      </c>
      <c r="M190" s="8" t="s">
        <v>199</v>
      </c>
      <c r="N190" s="21">
        <v>100</v>
      </c>
      <c r="O190" s="8" t="b">
        <v>0</v>
      </c>
      <c r="P190" s="8" t="s">
        <v>201</v>
      </c>
      <c r="Q190" s="8" t="s">
        <v>210</v>
      </c>
      <c r="R190" s="8" t="s">
        <v>210</v>
      </c>
      <c r="S190" s="8">
        <v>0</v>
      </c>
      <c r="T190" s="21">
        <v>0.60799999999999998</v>
      </c>
      <c r="U190" s="21">
        <v>1.8240000000000001</v>
      </c>
      <c r="V190" s="21">
        <v>1.8240000000000001</v>
      </c>
      <c r="W190" s="21">
        <v>1.8240000000000001</v>
      </c>
      <c r="X190" s="8">
        <v>0</v>
      </c>
      <c r="Y190" s="8">
        <v>0</v>
      </c>
      <c r="Z190" s="8">
        <v>0</v>
      </c>
      <c r="AA190" s="8">
        <v>0</v>
      </c>
      <c r="AB190" s="8">
        <v>0</v>
      </c>
      <c r="AC190" s="8">
        <v>0</v>
      </c>
      <c r="AD190" s="8">
        <v>0</v>
      </c>
      <c r="AE190" s="8">
        <v>0</v>
      </c>
      <c r="AF190" s="8">
        <v>0</v>
      </c>
      <c r="AG190" s="8">
        <v>0</v>
      </c>
      <c r="AH190" s="8">
        <v>0</v>
      </c>
      <c r="AI190" s="8">
        <v>0</v>
      </c>
      <c r="AJ190" s="21">
        <v>0</v>
      </c>
      <c r="AK190" s="21">
        <v>5.5272727272727272E-2</v>
      </c>
      <c r="AL190" s="21">
        <v>5.5272727272727272E-2</v>
      </c>
      <c r="AM190" s="21">
        <v>5.5272727272727272E-2</v>
      </c>
      <c r="AN190" s="21">
        <v>5.5272727272727272E-2</v>
      </c>
      <c r="AO190" s="21">
        <v>5.5272727272727272E-2</v>
      </c>
      <c r="AP190" s="21">
        <v>5.5272727272727272E-2</v>
      </c>
      <c r="AQ190" s="21">
        <v>5.5272727272727272E-2</v>
      </c>
      <c r="AR190" s="21">
        <v>5.5272727272727272E-2</v>
      </c>
      <c r="AS190" s="21">
        <v>5.5272727272727272E-2</v>
      </c>
      <c r="AT190" s="21">
        <v>5.5272727272727272E-2</v>
      </c>
      <c r="AU190" s="21">
        <v>5.5272727272727272E-2</v>
      </c>
      <c r="AV190" s="21">
        <v>0.152</v>
      </c>
      <c r="AW190" s="21">
        <v>0.152</v>
      </c>
      <c r="AX190" s="21">
        <v>0.152</v>
      </c>
      <c r="AY190" s="21">
        <v>0.152</v>
      </c>
      <c r="AZ190" s="21">
        <v>0.152</v>
      </c>
      <c r="BA190" s="21">
        <v>0.152</v>
      </c>
      <c r="BB190" s="21">
        <v>0.152</v>
      </c>
      <c r="BC190" s="21">
        <v>0.152</v>
      </c>
      <c r="BD190" s="21">
        <v>0.152</v>
      </c>
      <c r="BE190" s="21">
        <v>0.152</v>
      </c>
      <c r="BF190" s="21">
        <v>0.152</v>
      </c>
      <c r="BG190" s="21">
        <v>0.152</v>
      </c>
      <c r="BH190" s="21">
        <v>0.152</v>
      </c>
      <c r="BI190" s="21">
        <v>0.152</v>
      </c>
      <c r="BJ190" s="21">
        <v>0.152</v>
      </c>
      <c r="BK190" s="21">
        <v>0.152</v>
      </c>
      <c r="BL190" s="21">
        <v>0.152</v>
      </c>
      <c r="BM190" s="21">
        <v>0.152</v>
      </c>
      <c r="BN190" s="21">
        <v>0.152</v>
      </c>
      <c r="BO190" s="21">
        <v>0.152</v>
      </c>
      <c r="BP190" s="21">
        <v>0.152</v>
      </c>
      <c r="BQ190" s="21">
        <v>0.152</v>
      </c>
      <c r="BR190" s="21">
        <v>0.152</v>
      </c>
      <c r="BS190" s="21">
        <v>0.152</v>
      </c>
      <c r="BT190" s="21">
        <v>0.152</v>
      </c>
      <c r="BU190" s="21">
        <v>0.152</v>
      </c>
      <c r="BV190" s="21">
        <v>0.152</v>
      </c>
      <c r="BW190" s="21">
        <v>0.152</v>
      </c>
      <c r="BX190" s="21">
        <v>0.152</v>
      </c>
      <c r="BY190" s="21">
        <v>0.152</v>
      </c>
      <c r="BZ190" s="21">
        <v>0.152</v>
      </c>
      <c r="CA190" s="21">
        <v>0.152</v>
      </c>
      <c r="CB190" s="21">
        <v>0.152</v>
      </c>
      <c r="CC190" s="21">
        <v>0.152</v>
      </c>
      <c r="CD190" s="21">
        <v>0.152</v>
      </c>
      <c r="CE190" s="21">
        <v>0.152</v>
      </c>
      <c r="CF190" s="8">
        <v>1.8240000000000001</v>
      </c>
      <c r="CG190" s="8">
        <v>0.152</v>
      </c>
      <c r="CH190" s="8">
        <v>0.152</v>
      </c>
      <c r="CI190" s="8">
        <v>0.152</v>
      </c>
      <c r="CJ190" s="8">
        <v>0.152</v>
      </c>
      <c r="CK190" s="8">
        <v>0.152</v>
      </c>
      <c r="CL190" s="8">
        <v>0.152</v>
      </c>
      <c r="CM190" s="8">
        <v>0.152</v>
      </c>
      <c r="CN190" s="8">
        <v>0.152</v>
      </c>
      <c r="CO190" s="8">
        <v>0.152</v>
      </c>
      <c r="CP190" s="8">
        <v>0.152</v>
      </c>
      <c r="CQ190" s="8">
        <v>0.152</v>
      </c>
      <c r="CR190" s="8">
        <v>0.152</v>
      </c>
      <c r="CS190" t="str">
        <f>IFERROR(INDEX('Initiative Summary'!$C$5:$C$25,MATCH($A190,'Initiative Summary'!$A$5:$A$25,0)),"")</f>
        <v>Southgate Region</v>
      </c>
    </row>
    <row r="191" spans="1:97" ht="24" x14ac:dyDescent="0.25">
      <c r="A191" s="6" t="s">
        <v>715</v>
      </c>
      <c r="B191" s="10" t="s">
        <v>714</v>
      </c>
      <c r="C191" s="11" t="s">
        <v>206</v>
      </c>
      <c r="D191" s="11" t="s">
        <v>204</v>
      </c>
      <c r="E191" s="11" t="s">
        <v>206</v>
      </c>
      <c r="F191" s="11" t="s">
        <v>197</v>
      </c>
      <c r="G191" s="11"/>
      <c r="H191" s="11"/>
      <c r="I191" s="11"/>
      <c r="J191" s="11"/>
      <c r="K191" s="10"/>
      <c r="L191" s="11" t="s">
        <v>761</v>
      </c>
      <c r="M191" s="11" t="s">
        <v>199</v>
      </c>
      <c r="N191" s="20">
        <v>100</v>
      </c>
      <c r="O191" s="11" t="b">
        <v>0</v>
      </c>
      <c r="P191" s="11" t="s">
        <v>201</v>
      </c>
      <c r="Q191" s="11" t="s">
        <v>210</v>
      </c>
      <c r="R191" s="11" t="s">
        <v>210</v>
      </c>
      <c r="S191" s="11"/>
      <c r="T191" s="11"/>
      <c r="U191" s="11"/>
      <c r="V191" s="11"/>
      <c r="W191" s="11"/>
      <c r="X191" s="11">
        <v>0</v>
      </c>
      <c r="Y191" s="11">
        <v>0</v>
      </c>
      <c r="Z191" s="11">
        <v>0</v>
      </c>
      <c r="AA191" s="11">
        <v>0</v>
      </c>
      <c r="AB191" s="11">
        <v>0</v>
      </c>
      <c r="AC191" s="11">
        <v>0</v>
      </c>
      <c r="AD191" s="11">
        <v>0</v>
      </c>
      <c r="AE191" s="11">
        <v>0</v>
      </c>
      <c r="AF191" s="11">
        <v>0</v>
      </c>
      <c r="AG191" s="11">
        <v>0</v>
      </c>
      <c r="AH191" s="11">
        <v>0</v>
      </c>
      <c r="AI191" s="11">
        <v>0</v>
      </c>
      <c r="AJ191" s="11">
        <v>0</v>
      </c>
      <c r="AK191" s="11">
        <v>0</v>
      </c>
      <c r="AL191" s="11">
        <v>0</v>
      </c>
      <c r="AM191" s="11">
        <v>0</v>
      </c>
      <c r="AN191" s="11">
        <v>0</v>
      </c>
      <c r="AO191" s="11">
        <v>0</v>
      </c>
      <c r="AP191" s="11">
        <v>0</v>
      </c>
      <c r="AQ191" s="11">
        <v>0</v>
      </c>
      <c r="AR191" s="11">
        <v>0</v>
      </c>
      <c r="AS191" s="11">
        <v>0</v>
      </c>
      <c r="AT191" s="11">
        <v>0</v>
      </c>
      <c r="AU191" s="11">
        <v>0</v>
      </c>
      <c r="AV191" s="11">
        <v>0</v>
      </c>
      <c r="AW191" s="11">
        <v>0</v>
      </c>
      <c r="AX191" s="11">
        <v>0</v>
      </c>
      <c r="AY191" s="11">
        <v>0</v>
      </c>
      <c r="AZ191" s="11">
        <v>0</v>
      </c>
      <c r="BA191" s="11">
        <v>0</v>
      </c>
      <c r="BB191" s="11">
        <v>0</v>
      </c>
      <c r="BC191" s="11">
        <v>0</v>
      </c>
      <c r="BD191" s="11">
        <v>0</v>
      </c>
      <c r="BE191" s="11">
        <v>0</v>
      </c>
      <c r="BF191" s="11">
        <v>0</v>
      </c>
      <c r="BG191" s="11">
        <v>0</v>
      </c>
      <c r="BH191" s="11">
        <v>0</v>
      </c>
      <c r="BI191" s="11">
        <v>0</v>
      </c>
      <c r="BJ191" s="11">
        <v>0</v>
      </c>
      <c r="BK191" s="11">
        <v>0</v>
      </c>
      <c r="BL191" s="11">
        <v>0</v>
      </c>
      <c r="BM191" s="11">
        <v>0</v>
      </c>
      <c r="BN191" s="11">
        <v>0</v>
      </c>
      <c r="BO191" s="11">
        <v>0</v>
      </c>
      <c r="BP191" s="11">
        <v>0</v>
      </c>
      <c r="BQ191" s="11">
        <v>0</v>
      </c>
      <c r="BR191" s="11">
        <v>0</v>
      </c>
      <c r="BS191" s="11">
        <v>0</v>
      </c>
      <c r="BT191" s="11">
        <v>0</v>
      </c>
      <c r="BU191" s="11">
        <v>0</v>
      </c>
      <c r="BV191" s="11">
        <v>0</v>
      </c>
      <c r="BW191" s="11">
        <v>0</v>
      </c>
      <c r="BX191" s="11">
        <v>0</v>
      </c>
      <c r="BY191" s="11">
        <v>0</v>
      </c>
      <c r="BZ191" s="11">
        <v>0</v>
      </c>
      <c r="CA191" s="11">
        <v>0</v>
      </c>
      <c r="CB191" s="11">
        <v>0</v>
      </c>
      <c r="CC191" s="11">
        <v>0</v>
      </c>
      <c r="CD191" s="11">
        <v>0</v>
      </c>
      <c r="CE191" s="11">
        <v>0</v>
      </c>
      <c r="CF191" s="11">
        <v>0</v>
      </c>
      <c r="CG191" s="11">
        <v>0</v>
      </c>
      <c r="CH191" s="11">
        <v>0</v>
      </c>
      <c r="CI191" s="11">
        <v>0</v>
      </c>
      <c r="CJ191" s="11">
        <v>0</v>
      </c>
      <c r="CK191" s="11">
        <v>0</v>
      </c>
      <c r="CL191" s="11">
        <v>0</v>
      </c>
      <c r="CM191" s="11">
        <v>0</v>
      </c>
      <c r="CN191" s="11">
        <v>0</v>
      </c>
      <c r="CO191" s="11">
        <v>0</v>
      </c>
      <c r="CP191" s="11">
        <v>0</v>
      </c>
      <c r="CQ191" s="11">
        <v>0</v>
      </c>
      <c r="CR191" s="11">
        <v>0</v>
      </c>
      <c r="CS191" t="str">
        <f>IFERROR(INDEX('Initiative Summary'!$C$5:$C$25,MATCH($A191,'Initiative Summary'!$A$5:$A$25,0)),"")</f>
        <v>Southgate Region</v>
      </c>
    </row>
  </sheetData>
  <autoFilter ref="A2:CS191" xr:uid="{00000000-0001-0000-0300-000000000000}"/>
  <mergeCells count="1">
    <mergeCell ref="A1:AN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B68"/>
  <sheetViews>
    <sheetView showGridLines="0" zoomScaleNormal="100" workbookViewId="0">
      <pane xSplit="2" ySplit="2" topLeftCell="AB3" activePane="bottomRight" state="frozen"/>
      <selection pane="topRight" activeCell="C1" sqref="C1"/>
      <selection pane="bottomLeft" activeCell="A3" sqref="A3"/>
      <selection pane="bottomRight" activeCell="E8" sqref="E8"/>
    </sheetView>
  </sheetViews>
  <sheetFormatPr defaultColWidth="8.7109375" defaultRowHeight="15" x14ac:dyDescent="0.25"/>
  <cols>
    <col min="1" max="1" width="10" customWidth="1"/>
    <col min="2" max="2" width="30" customWidth="1"/>
    <col min="3" max="18" width="16" customWidth="1"/>
    <col min="19" max="20" width="40" customWidth="1"/>
    <col min="21" max="27" width="16" customWidth="1"/>
    <col min="28" max="105" width="8" customWidth="1"/>
  </cols>
  <sheetData>
    <row r="1" spans="1:106" ht="21.75" customHeight="1" x14ac:dyDescent="0.25">
      <c r="A1" s="1" t="s">
        <v>236</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106" ht="23.25" customHeight="1" x14ac:dyDescent="0.25">
      <c r="A2" s="5" t="s">
        <v>1</v>
      </c>
      <c r="B2" s="5" t="s">
        <v>2</v>
      </c>
      <c r="C2" s="5" t="s">
        <v>54</v>
      </c>
      <c r="D2" s="5" t="s">
        <v>109</v>
      </c>
      <c r="E2" s="5" t="s">
        <v>237</v>
      </c>
      <c r="F2" s="5" t="s">
        <v>238</v>
      </c>
      <c r="G2" s="5" t="s">
        <v>239</v>
      </c>
      <c r="H2" s="5" t="s">
        <v>240</v>
      </c>
      <c r="I2" s="5" t="s">
        <v>241</v>
      </c>
      <c r="J2" s="5" t="s">
        <v>242</v>
      </c>
      <c r="K2" s="5" t="s">
        <v>243</v>
      </c>
      <c r="L2" s="5" t="s">
        <v>244</v>
      </c>
      <c r="M2" s="5" t="s">
        <v>245</v>
      </c>
      <c r="N2" s="5" t="s">
        <v>112</v>
      </c>
      <c r="O2" s="5" t="s">
        <v>60</v>
      </c>
      <c r="P2" s="5" t="s">
        <v>113</v>
      </c>
      <c r="Q2" s="5" t="s">
        <v>114</v>
      </c>
      <c r="R2" s="5" t="s">
        <v>58</v>
      </c>
      <c r="S2" s="5" t="s">
        <v>65</v>
      </c>
      <c r="T2" s="5" t="s">
        <v>246</v>
      </c>
      <c r="U2" s="5" t="s">
        <v>115</v>
      </c>
      <c r="V2" s="5" t="s">
        <v>247</v>
      </c>
      <c r="W2" s="5" t="s">
        <v>117</v>
      </c>
      <c r="X2" s="5" t="s">
        <v>118</v>
      </c>
      <c r="Y2" s="5" t="s">
        <v>119</v>
      </c>
      <c r="Z2" s="5" t="s">
        <v>120</v>
      </c>
      <c r="AA2" s="5" t="s">
        <v>121</v>
      </c>
      <c r="AB2" s="5" t="s">
        <v>87</v>
      </c>
      <c r="AC2" s="5" t="s">
        <v>88</v>
      </c>
      <c r="AD2" s="5" t="s">
        <v>89</v>
      </c>
      <c r="AE2" s="5" t="s">
        <v>90</v>
      </c>
      <c r="AF2" s="5" t="s">
        <v>91</v>
      </c>
      <c r="AG2" s="5" t="s">
        <v>122</v>
      </c>
      <c r="AH2" s="5" t="s">
        <v>123</v>
      </c>
      <c r="AI2" s="5" t="s">
        <v>124</v>
      </c>
      <c r="AJ2" s="5" t="s">
        <v>125</v>
      </c>
      <c r="AK2" s="5" t="s">
        <v>126</v>
      </c>
      <c r="AL2" s="5" t="s">
        <v>127</v>
      </c>
      <c r="AM2" s="5" t="s">
        <v>128</v>
      </c>
      <c r="AN2" s="5" t="s">
        <v>129</v>
      </c>
      <c r="AO2" s="5" t="s">
        <v>130</v>
      </c>
      <c r="AP2" s="5" t="s">
        <v>131</v>
      </c>
      <c r="AQ2" s="5" t="s">
        <v>132</v>
      </c>
      <c r="AR2" s="5" t="s">
        <v>133</v>
      </c>
      <c r="AS2" s="5" t="s">
        <v>134</v>
      </c>
      <c r="AT2" s="5" t="s">
        <v>135</v>
      </c>
      <c r="AU2" s="5" t="s">
        <v>136</v>
      </c>
      <c r="AV2" s="5" t="s">
        <v>137</v>
      </c>
      <c r="AW2" s="5" t="s">
        <v>138</v>
      </c>
      <c r="AX2" s="5" t="s">
        <v>139</v>
      </c>
      <c r="AY2" s="5" t="s">
        <v>140</v>
      </c>
      <c r="AZ2" s="5" t="s">
        <v>141</v>
      </c>
      <c r="BA2" s="5" t="s">
        <v>142</v>
      </c>
      <c r="BB2" s="5" t="s">
        <v>143</v>
      </c>
      <c r="BC2" s="5" t="s">
        <v>144</v>
      </c>
      <c r="BD2" s="5" t="s">
        <v>145</v>
      </c>
      <c r="BE2" s="5" t="s">
        <v>146</v>
      </c>
      <c r="BF2" s="5" t="s">
        <v>147</v>
      </c>
      <c r="BG2" s="5" t="s">
        <v>148</v>
      </c>
      <c r="BH2" s="5" t="s">
        <v>149</v>
      </c>
      <c r="BI2" s="5" t="s">
        <v>150</v>
      </c>
      <c r="BJ2" s="5" t="s">
        <v>151</v>
      </c>
      <c r="BK2" s="5" t="s">
        <v>152</v>
      </c>
      <c r="BL2" s="5" t="s">
        <v>153</v>
      </c>
      <c r="BM2" s="5" t="s">
        <v>154</v>
      </c>
      <c r="BN2" s="5" t="s">
        <v>155</v>
      </c>
      <c r="BO2" s="5" t="s">
        <v>156</v>
      </c>
      <c r="BP2" s="5" t="s">
        <v>157</v>
      </c>
      <c r="BQ2" s="5" t="s">
        <v>158</v>
      </c>
      <c r="BR2" s="5" t="s">
        <v>159</v>
      </c>
      <c r="BS2" s="5" t="s">
        <v>160</v>
      </c>
      <c r="BT2" s="5" t="s">
        <v>161</v>
      </c>
      <c r="BU2" s="5" t="s">
        <v>162</v>
      </c>
      <c r="BV2" s="5" t="s">
        <v>163</v>
      </c>
      <c r="BW2" s="5" t="s">
        <v>164</v>
      </c>
      <c r="BX2" s="5" t="s">
        <v>165</v>
      </c>
      <c r="BY2" s="5" t="s">
        <v>166</v>
      </c>
      <c r="BZ2" s="5" t="s">
        <v>167</v>
      </c>
      <c r="CA2" s="5" t="s">
        <v>168</v>
      </c>
      <c r="CB2" s="5" t="s">
        <v>169</v>
      </c>
      <c r="CC2" s="5" t="s">
        <v>170</v>
      </c>
      <c r="CD2" s="5" t="s">
        <v>171</v>
      </c>
      <c r="CE2" s="5" t="s">
        <v>172</v>
      </c>
      <c r="CF2" s="5" t="s">
        <v>173</v>
      </c>
      <c r="CG2" s="5" t="s">
        <v>174</v>
      </c>
      <c r="CH2" s="5" t="s">
        <v>175</v>
      </c>
      <c r="CI2" s="5" t="s">
        <v>176</v>
      </c>
      <c r="CJ2" s="5" t="s">
        <v>177</v>
      </c>
      <c r="CK2" s="5" t="s">
        <v>178</v>
      </c>
      <c r="CL2" s="5" t="s">
        <v>179</v>
      </c>
      <c r="CM2" s="5" t="s">
        <v>180</v>
      </c>
      <c r="CN2" s="5" t="s">
        <v>181</v>
      </c>
      <c r="CO2" s="5" t="s">
        <v>92</v>
      </c>
      <c r="CP2" s="5" t="s">
        <v>182</v>
      </c>
      <c r="CQ2" s="5" t="s">
        <v>183</v>
      </c>
      <c r="CR2" s="5" t="s">
        <v>184</v>
      </c>
      <c r="CS2" s="5" t="s">
        <v>185</v>
      </c>
      <c r="CT2" s="5" t="s">
        <v>186</v>
      </c>
      <c r="CU2" s="5" t="s">
        <v>187</v>
      </c>
      <c r="CV2" s="5" t="s">
        <v>188</v>
      </c>
      <c r="CW2" s="5" t="s">
        <v>189</v>
      </c>
      <c r="CX2" s="5" t="s">
        <v>190</v>
      </c>
      <c r="CY2" s="5" t="s">
        <v>191</v>
      </c>
      <c r="CZ2" s="5" t="s">
        <v>192</v>
      </c>
      <c r="DA2" s="5" t="s">
        <v>193</v>
      </c>
      <c r="DB2" s="87" t="s">
        <v>3</v>
      </c>
    </row>
    <row r="3" spans="1:106" ht="21.75" customHeight="1" x14ac:dyDescent="0.25">
      <c r="A3" s="6" t="s">
        <v>19</v>
      </c>
      <c r="B3" s="10" t="s">
        <v>20</v>
      </c>
      <c r="C3" s="11" t="s">
        <v>248</v>
      </c>
      <c r="D3" s="11" t="s">
        <v>249</v>
      </c>
      <c r="E3" s="11" t="s">
        <v>250</v>
      </c>
      <c r="F3" s="20">
        <v>0.4</v>
      </c>
      <c r="G3" s="20">
        <v>2026</v>
      </c>
      <c r="H3" s="11" t="s">
        <v>251</v>
      </c>
      <c r="I3" s="20">
        <v>2026</v>
      </c>
      <c r="J3" s="11" t="s">
        <v>251</v>
      </c>
      <c r="K3" s="11"/>
      <c r="L3" s="20">
        <v>0</v>
      </c>
      <c r="M3" s="11"/>
      <c r="N3" s="11"/>
      <c r="O3" s="11"/>
      <c r="P3" s="11"/>
      <c r="Q3" s="11"/>
      <c r="R3" s="11" t="s">
        <v>250</v>
      </c>
      <c r="S3" s="10"/>
      <c r="T3" s="10"/>
      <c r="U3" s="11" t="s">
        <v>252</v>
      </c>
      <c r="V3" s="11" t="s">
        <v>218</v>
      </c>
      <c r="W3" s="20">
        <v>0</v>
      </c>
      <c r="X3" s="11" t="b">
        <v>0</v>
      </c>
      <c r="Y3" s="11" t="s">
        <v>253</v>
      </c>
      <c r="Z3" s="11" t="s">
        <v>254</v>
      </c>
      <c r="AA3" s="11" t="s">
        <v>255</v>
      </c>
      <c r="AB3" s="20">
        <v>0</v>
      </c>
      <c r="AC3" s="11">
        <v>0</v>
      </c>
      <c r="AD3" s="11">
        <v>0</v>
      </c>
      <c r="AE3" s="11">
        <v>0</v>
      </c>
      <c r="AF3" s="11">
        <v>0</v>
      </c>
      <c r="AG3" s="11">
        <v>0</v>
      </c>
      <c r="AH3" s="11">
        <v>0</v>
      </c>
      <c r="AI3" s="11">
        <v>0</v>
      </c>
      <c r="AJ3" s="11">
        <v>0</v>
      </c>
      <c r="AK3" s="11">
        <v>0</v>
      </c>
      <c r="AL3" s="20">
        <v>0</v>
      </c>
      <c r="AM3" s="20">
        <v>0</v>
      </c>
      <c r="AN3" s="20">
        <v>0</v>
      </c>
      <c r="AO3" s="20">
        <v>0</v>
      </c>
      <c r="AP3" s="11">
        <v>0</v>
      </c>
      <c r="AQ3" s="11">
        <v>0</v>
      </c>
      <c r="AR3" s="11">
        <v>0</v>
      </c>
      <c r="AS3" s="11">
        <v>0</v>
      </c>
      <c r="AT3" s="11">
        <v>0</v>
      </c>
      <c r="AU3" s="11">
        <v>0</v>
      </c>
      <c r="AV3" s="11">
        <v>0</v>
      </c>
      <c r="AW3" s="11">
        <v>0</v>
      </c>
      <c r="AX3" s="11">
        <v>0</v>
      </c>
      <c r="AY3" s="11">
        <v>0</v>
      </c>
      <c r="AZ3" s="11">
        <v>0</v>
      </c>
      <c r="BA3" s="11">
        <v>0</v>
      </c>
      <c r="BB3" s="11">
        <v>0</v>
      </c>
      <c r="BC3" s="11">
        <v>0</v>
      </c>
      <c r="BD3" s="11">
        <v>0</v>
      </c>
      <c r="BE3" s="11">
        <v>0</v>
      </c>
      <c r="BF3" s="11">
        <v>0</v>
      </c>
      <c r="BG3" s="11">
        <v>0</v>
      </c>
      <c r="BH3" s="11">
        <v>0</v>
      </c>
      <c r="BI3" s="11">
        <v>0</v>
      </c>
      <c r="BJ3" s="11">
        <v>0</v>
      </c>
      <c r="BK3" s="11">
        <v>0</v>
      </c>
      <c r="BL3" s="11">
        <v>0</v>
      </c>
      <c r="BM3" s="11">
        <v>0</v>
      </c>
      <c r="BN3" s="11">
        <v>0</v>
      </c>
      <c r="BO3" s="11">
        <v>0</v>
      </c>
      <c r="BP3" s="11">
        <v>0</v>
      </c>
      <c r="BQ3" s="11">
        <v>0</v>
      </c>
      <c r="BR3" s="11">
        <v>0</v>
      </c>
      <c r="BS3" s="11">
        <v>0</v>
      </c>
      <c r="BT3" s="11">
        <v>0</v>
      </c>
      <c r="BU3" s="11">
        <v>0</v>
      </c>
      <c r="BV3" s="11">
        <v>0</v>
      </c>
      <c r="BW3" s="11">
        <v>0</v>
      </c>
      <c r="BX3" s="11">
        <v>0</v>
      </c>
      <c r="BY3" s="11">
        <v>0</v>
      </c>
      <c r="BZ3" s="11">
        <v>0</v>
      </c>
      <c r="CA3" s="11">
        <v>0</v>
      </c>
      <c r="CB3" s="11">
        <v>0</v>
      </c>
      <c r="CC3" s="11">
        <v>0</v>
      </c>
      <c r="CD3" s="11">
        <v>0</v>
      </c>
      <c r="CE3" s="11">
        <v>0</v>
      </c>
      <c r="CF3" s="11">
        <v>0</v>
      </c>
      <c r="CG3" s="11">
        <v>0</v>
      </c>
      <c r="CH3" s="11">
        <v>0</v>
      </c>
      <c r="CI3" s="11">
        <v>0</v>
      </c>
      <c r="CJ3" s="11">
        <v>0</v>
      </c>
      <c r="CK3" s="11">
        <v>0</v>
      </c>
      <c r="CL3" s="11">
        <v>0</v>
      </c>
      <c r="CM3" s="11">
        <v>0</v>
      </c>
      <c r="CN3" s="11">
        <v>0</v>
      </c>
      <c r="CO3" s="11">
        <v>0</v>
      </c>
      <c r="CP3" s="11">
        <v>0</v>
      </c>
      <c r="CQ3" s="11">
        <v>0</v>
      </c>
      <c r="CR3" s="11">
        <v>0</v>
      </c>
      <c r="CS3" s="11">
        <v>0</v>
      </c>
      <c r="CT3" s="11">
        <v>0</v>
      </c>
      <c r="CU3" s="11">
        <v>0</v>
      </c>
      <c r="CV3" s="11">
        <v>0</v>
      </c>
      <c r="CW3" s="11">
        <v>0</v>
      </c>
      <c r="CX3" s="11">
        <v>0</v>
      </c>
      <c r="CY3" s="11">
        <v>0</v>
      </c>
      <c r="CZ3" s="11">
        <v>0</v>
      </c>
      <c r="DA3" s="11">
        <v>0</v>
      </c>
      <c r="DB3" t="str">
        <f>IFERROR(INDEX('Initiative Summary'!$C$5:$C$25,MATCH($A3,'Initiative Summary'!$A$5:$A$25,0)),"")</f>
        <v>Westmark Region</v>
      </c>
    </row>
    <row r="4" spans="1:106" ht="21.75" customHeight="1" x14ac:dyDescent="0.25">
      <c r="A4" s="6" t="s">
        <v>19</v>
      </c>
      <c r="B4" s="7" t="s">
        <v>20</v>
      </c>
      <c r="C4" s="8" t="s">
        <v>248</v>
      </c>
      <c r="D4" s="8" t="s">
        <v>204</v>
      </c>
      <c r="E4" s="8" t="s">
        <v>256</v>
      </c>
      <c r="F4" s="8"/>
      <c r="G4" s="8"/>
      <c r="H4" s="8"/>
      <c r="I4" s="8"/>
      <c r="J4" s="8"/>
      <c r="K4" s="8"/>
      <c r="L4" s="21">
        <v>0</v>
      </c>
      <c r="M4" s="8"/>
      <c r="N4" s="8"/>
      <c r="O4" s="8"/>
      <c r="P4" s="8"/>
      <c r="Q4" s="8"/>
      <c r="R4" s="8" t="s">
        <v>250</v>
      </c>
      <c r="S4" s="7"/>
      <c r="T4" s="7"/>
      <c r="U4" s="8" t="s">
        <v>252</v>
      </c>
      <c r="V4" s="8" t="s">
        <v>218</v>
      </c>
      <c r="W4" s="21">
        <v>0</v>
      </c>
      <c r="X4" s="8" t="b">
        <v>0</v>
      </c>
      <c r="Y4" s="8" t="s">
        <v>253</v>
      </c>
      <c r="Z4" s="8" t="s">
        <v>254</v>
      </c>
      <c r="AA4" s="8" t="s">
        <v>255</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0</v>
      </c>
      <c r="CC4" s="8">
        <v>0</v>
      </c>
      <c r="CD4" s="8">
        <v>0</v>
      </c>
      <c r="CE4" s="8">
        <v>0</v>
      </c>
      <c r="CF4" s="8">
        <v>0</v>
      </c>
      <c r="CG4" s="8">
        <v>0</v>
      </c>
      <c r="CH4" s="8">
        <v>0</v>
      </c>
      <c r="CI4" s="8">
        <v>0</v>
      </c>
      <c r="CJ4" s="8">
        <v>0</v>
      </c>
      <c r="CK4" s="8">
        <v>0</v>
      </c>
      <c r="CL4" s="8">
        <v>0</v>
      </c>
      <c r="CM4" s="8">
        <v>0</v>
      </c>
      <c r="CN4" s="8">
        <v>0</v>
      </c>
      <c r="CO4" s="8">
        <v>0</v>
      </c>
      <c r="CP4" s="8">
        <v>0</v>
      </c>
      <c r="CQ4" s="8">
        <v>0</v>
      </c>
      <c r="CR4" s="8">
        <v>0</v>
      </c>
      <c r="CS4" s="8">
        <v>0</v>
      </c>
      <c r="CT4" s="8">
        <v>0</v>
      </c>
      <c r="CU4" s="8">
        <v>0</v>
      </c>
      <c r="CV4" s="8">
        <v>0</v>
      </c>
      <c r="CW4" s="8">
        <v>0</v>
      </c>
      <c r="CX4" s="8">
        <v>0</v>
      </c>
      <c r="CY4" s="8">
        <v>0</v>
      </c>
      <c r="CZ4" s="8">
        <v>0</v>
      </c>
      <c r="DA4" s="8">
        <v>0</v>
      </c>
      <c r="DB4" t="str">
        <f>IFERROR(INDEX('Initiative Summary'!$C$5:$C$25,MATCH($A4,'Initiative Summary'!$A$5:$A$25,0)),"")</f>
        <v>Westmark Region</v>
      </c>
    </row>
    <row r="5" spans="1:106" ht="21.75" customHeight="1" x14ac:dyDescent="0.25">
      <c r="A5" s="6" t="s">
        <v>19</v>
      </c>
      <c r="B5" s="10" t="s">
        <v>20</v>
      </c>
      <c r="C5" s="11" t="s">
        <v>257</v>
      </c>
      <c r="D5" s="11" t="s">
        <v>249</v>
      </c>
      <c r="E5" s="11" t="s">
        <v>250</v>
      </c>
      <c r="F5" s="20">
        <v>0.2</v>
      </c>
      <c r="G5" s="20">
        <v>2026</v>
      </c>
      <c r="H5" s="11" t="s">
        <v>258</v>
      </c>
      <c r="I5" s="20">
        <v>2026</v>
      </c>
      <c r="J5" s="11" t="s">
        <v>258</v>
      </c>
      <c r="K5" s="11"/>
      <c r="L5" s="20">
        <v>0</v>
      </c>
      <c r="M5" s="11"/>
      <c r="N5" s="11"/>
      <c r="O5" s="11"/>
      <c r="P5" s="11"/>
      <c r="Q5" s="11"/>
      <c r="R5" s="11" t="s">
        <v>250</v>
      </c>
      <c r="S5" s="10"/>
      <c r="T5" s="10"/>
      <c r="U5" s="11" t="s">
        <v>259</v>
      </c>
      <c r="V5" s="11" t="s">
        <v>218</v>
      </c>
      <c r="W5" s="20">
        <v>0</v>
      </c>
      <c r="X5" s="11" t="b">
        <v>0</v>
      </c>
      <c r="Y5" s="11" t="s">
        <v>253</v>
      </c>
      <c r="Z5" s="11" t="s">
        <v>260</v>
      </c>
      <c r="AA5" s="11" t="s">
        <v>255</v>
      </c>
      <c r="AB5" s="20">
        <v>0</v>
      </c>
      <c r="AC5" s="11">
        <v>0</v>
      </c>
      <c r="AD5" s="11">
        <v>0</v>
      </c>
      <c r="AE5" s="11">
        <v>0</v>
      </c>
      <c r="AF5" s="11">
        <v>0</v>
      </c>
      <c r="AG5" s="11">
        <v>0</v>
      </c>
      <c r="AH5" s="11">
        <v>0</v>
      </c>
      <c r="AI5" s="11">
        <v>0</v>
      </c>
      <c r="AJ5" s="11">
        <v>0</v>
      </c>
      <c r="AK5" s="11">
        <v>0</v>
      </c>
      <c r="AL5" s="20">
        <v>0</v>
      </c>
      <c r="AM5" s="20">
        <v>0</v>
      </c>
      <c r="AN5" s="20">
        <v>0</v>
      </c>
      <c r="AO5" s="20">
        <v>0</v>
      </c>
      <c r="AP5" s="20">
        <v>0</v>
      </c>
      <c r="AQ5" s="20">
        <v>0</v>
      </c>
      <c r="AR5" s="11">
        <v>0</v>
      </c>
      <c r="AS5" s="11">
        <v>0</v>
      </c>
      <c r="AT5" s="11">
        <v>0</v>
      </c>
      <c r="AU5" s="11">
        <v>0</v>
      </c>
      <c r="AV5" s="11">
        <v>0</v>
      </c>
      <c r="AW5" s="11">
        <v>0</v>
      </c>
      <c r="AX5" s="11">
        <v>0</v>
      </c>
      <c r="AY5" s="11">
        <v>0</v>
      </c>
      <c r="AZ5" s="11">
        <v>0</v>
      </c>
      <c r="BA5" s="11">
        <v>0</v>
      </c>
      <c r="BB5" s="11">
        <v>0</v>
      </c>
      <c r="BC5" s="11">
        <v>0</v>
      </c>
      <c r="BD5" s="11">
        <v>0</v>
      </c>
      <c r="BE5" s="11">
        <v>0</v>
      </c>
      <c r="BF5" s="11">
        <v>0</v>
      </c>
      <c r="BG5" s="11">
        <v>0</v>
      </c>
      <c r="BH5" s="11">
        <v>0</v>
      </c>
      <c r="BI5" s="11">
        <v>0</v>
      </c>
      <c r="BJ5" s="11">
        <v>0</v>
      </c>
      <c r="BK5" s="11">
        <v>0</v>
      </c>
      <c r="BL5" s="11">
        <v>0</v>
      </c>
      <c r="BM5" s="11">
        <v>0</v>
      </c>
      <c r="BN5" s="11">
        <v>0</v>
      </c>
      <c r="BO5" s="11">
        <v>0</v>
      </c>
      <c r="BP5" s="11">
        <v>0</v>
      </c>
      <c r="BQ5" s="11">
        <v>0</v>
      </c>
      <c r="BR5" s="11">
        <v>0</v>
      </c>
      <c r="BS5" s="11">
        <v>0</v>
      </c>
      <c r="BT5" s="11">
        <v>0</v>
      </c>
      <c r="BU5" s="11">
        <v>0</v>
      </c>
      <c r="BV5" s="11">
        <v>0</v>
      </c>
      <c r="BW5" s="11">
        <v>0</v>
      </c>
      <c r="BX5" s="11">
        <v>0</v>
      </c>
      <c r="BY5" s="11">
        <v>0</v>
      </c>
      <c r="BZ5" s="11">
        <v>0</v>
      </c>
      <c r="CA5" s="11">
        <v>0</v>
      </c>
      <c r="CB5" s="11">
        <v>0</v>
      </c>
      <c r="CC5" s="11">
        <v>0</v>
      </c>
      <c r="CD5" s="11">
        <v>0</v>
      </c>
      <c r="CE5" s="11">
        <v>0</v>
      </c>
      <c r="CF5" s="11">
        <v>0</v>
      </c>
      <c r="CG5" s="11">
        <v>0</v>
      </c>
      <c r="CH5" s="11">
        <v>0</v>
      </c>
      <c r="CI5" s="11">
        <v>0</v>
      </c>
      <c r="CJ5" s="11">
        <v>0</v>
      </c>
      <c r="CK5" s="11">
        <v>0</v>
      </c>
      <c r="CL5" s="11">
        <v>0</v>
      </c>
      <c r="CM5" s="11">
        <v>0</v>
      </c>
      <c r="CN5" s="11">
        <v>0</v>
      </c>
      <c r="CO5" s="11">
        <v>0</v>
      </c>
      <c r="CP5" s="11">
        <v>0</v>
      </c>
      <c r="CQ5" s="11">
        <v>0</v>
      </c>
      <c r="CR5" s="11">
        <v>0</v>
      </c>
      <c r="CS5" s="11">
        <v>0</v>
      </c>
      <c r="CT5" s="11">
        <v>0</v>
      </c>
      <c r="CU5" s="11">
        <v>0</v>
      </c>
      <c r="CV5" s="11">
        <v>0</v>
      </c>
      <c r="CW5" s="11">
        <v>0</v>
      </c>
      <c r="CX5" s="11">
        <v>0</v>
      </c>
      <c r="CY5" s="11">
        <v>0</v>
      </c>
      <c r="CZ5" s="11">
        <v>0</v>
      </c>
      <c r="DA5" s="11">
        <v>0</v>
      </c>
      <c r="DB5" t="str">
        <f>IFERROR(INDEX('Initiative Summary'!$C$5:$C$25,MATCH($A5,'Initiative Summary'!$A$5:$A$25,0)),"")</f>
        <v>Westmark Region</v>
      </c>
    </row>
    <row r="6" spans="1:106" ht="21.75" customHeight="1" x14ac:dyDescent="0.25">
      <c r="A6" s="6" t="s">
        <v>19</v>
      </c>
      <c r="B6" s="7" t="s">
        <v>20</v>
      </c>
      <c r="C6" s="8" t="s">
        <v>257</v>
      </c>
      <c r="D6" s="8" t="s">
        <v>204</v>
      </c>
      <c r="E6" s="8" t="s">
        <v>256</v>
      </c>
      <c r="F6" s="8"/>
      <c r="G6" s="8"/>
      <c r="H6" s="8"/>
      <c r="I6" s="8"/>
      <c r="J6" s="8"/>
      <c r="K6" s="8"/>
      <c r="L6" s="21">
        <v>0</v>
      </c>
      <c r="M6" s="8"/>
      <c r="N6" s="8"/>
      <c r="O6" s="8"/>
      <c r="P6" s="8"/>
      <c r="Q6" s="8"/>
      <c r="R6" s="8" t="s">
        <v>250</v>
      </c>
      <c r="S6" s="7"/>
      <c r="T6" s="7"/>
      <c r="U6" s="8" t="s">
        <v>259</v>
      </c>
      <c r="V6" s="8" t="s">
        <v>218</v>
      </c>
      <c r="W6" s="21">
        <v>0</v>
      </c>
      <c r="X6" s="8" t="b">
        <v>0</v>
      </c>
      <c r="Y6" s="8" t="s">
        <v>253</v>
      </c>
      <c r="Z6" s="8" t="s">
        <v>260</v>
      </c>
      <c r="AA6" s="8" t="s">
        <v>255</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c r="CE6" s="8">
        <v>0</v>
      </c>
      <c r="CF6" s="8">
        <v>0</v>
      </c>
      <c r="CG6" s="8">
        <v>0</v>
      </c>
      <c r="CH6" s="8">
        <v>0</v>
      </c>
      <c r="CI6" s="8">
        <v>0</v>
      </c>
      <c r="CJ6" s="8">
        <v>0</v>
      </c>
      <c r="CK6" s="8">
        <v>0</v>
      </c>
      <c r="CL6" s="8">
        <v>0</v>
      </c>
      <c r="CM6" s="8">
        <v>0</v>
      </c>
      <c r="CN6" s="8">
        <v>0</v>
      </c>
      <c r="CO6" s="8">
        <v>0</v>
      </c>
      <c r="CP6" s="8">
        <v>0</v>
      </c>
      <c r="CQ6" s="8">
        <v>0</v>
      </c>
      <c r="CR6" s="8">
        <v>0</v>
      </c>
      <c r="CS6" s="8">
        <v>0</v>
      </c>
      <c r="CT6" s="8">
        <v>0</v>
      </c>
      <c r="CU6" s="8">
        <v>0</v>
      </c>
      <c r="CV6" s="8">
        <v>0</v>
      </c>
      <c r="CW6" s="8">
        <v>0</v>
      </c>
      <c r="CX6" s="8">
        <v>0</v>
      </c>
      <c r="CY6" s="8">
        <v>0</v>
      </c>
      <c r="CZ6" s="8">
        <v>0</v>
      </c>
      <c r="DA6" s="8">
        <v>0</v>
      </c>
      <c r="DB6" t="str">
        <f>IFERROR(INDEX('Initiative Summary'!$C$5:$C$25,MATCH($A6,'Initiative Summary'!$A$5:$A$25,0)),"")</f>
        <v>Westmark Region</v>
      </c>
    </row>
    <row r="7" spans="1:106" ht="21.75" customHeight="1" x14ac:dyDescent="0.25">
      <c r="A7" s="6" t="s">
        <v>19</v>
      </c>
      <c r="B7" s="10" t="s">
        <v>20</v>
      </c>
      <c r="C7" s="11" t="s">
        <v>261</v>
      </c>
      <c r="D7" s="11" t="s">
        <v>249</v>
      </c>
      <c r="E7" s="11" t="s">
        <v>256</v>
      </c>
      <c r="F7" s="11"/>
      <c r="G7" s="11"/>
      <c r="H7" s="11"/>
      <c r="I7" s="11"/>
      <c r="J7" s="11"/>
      <c r="K7" s="11"/>
      <c r="L7" s="20">
        <v>0</v>
      </c>
      <c r="M7" s="11"/>
      <c r="N7" s="11"/>
      <c r="O7" s="11"/>
      <c r="P7" s="11"/>
      <c r="Q7" s="11"/>
      <c r="R7" s="11" t="s">
        <v>215</v>
      </c>
      <c r="S7" s="10"/>
      <c r="T7" s="10"/>
      <c r="U7" s="11" t="s">
        <v>262</v>
      </c>
      <c r="V7" s="11" t="s">
        <v>218</v>
      </c>
      <c r="W7" s="20">
        <v>0</v>
      </c>
      <c r="X7" s="11" t="b">
        <v>0</v>
      </c>
      <c r="Y7" s="11" t="s">
        <v>263</v>
      </c>
      <c r="Z7" s="11" t="s">
        <v>264</v>
      </c>
      <c r="AA7" s="11" t="s">
        <v>264</v>
      </c>
      <c r="AB7" s="20">
        <v>0</v>
      </c>
      <c r="AC7" s="20">
        <v>0.06</v>
      </c>
      <c r="AD7" s="20">
        <v>0.06</v>
      </c>
      <c r="AE7" s="20">
        <v>0.06</v>
      </c>
      <c r="AF7" s="20">
        <v>0.06</v>
      </c>
      <c r="AG7" s="11">
        <v>0</v>
      </c>
      <c r="AH7" s="11">
        <v>0</v>
      </c>
      <c r="AI7" s="11">
        <v>0</v>
      </c>
      <c r="AJ7" s="11">
        <v>0</v>
      </c>
      <c r="AK7" s="11">
        <v>0</v>
      </c>
      <c r="AL7" s="11">
        <v>0</v>
      </c>
      <c r="AM7" s="11">
        <v>0</v>
      </c>
      <c r="AN7" s="11">
        <v>0</v>
      </c>
      <c r="AO7" s="11">
        <v>0</v>
      </c>
      <c r="AP7" s="11">
        <v>0</v>
      </c>
      <c r="AQ7" s="11">
        <v>0</v>
      </c>
      <c r="AR7" s="20">
        <v>0</v>
      </c>
      <c r="AS7" s="20">
        <v>0</v>
      </c>
      <c r="AT7" s="20">
        <v>0</v>
      </c>
      <c r="AU7" s="20">
        <v>0</v>
      </c>
      <c r="AV7" s="20">
        <v>0</v>
      </c>
      <c r="AW7" s="20">
        <v>0</v>
      </c>
      <c r="AX7" s="20">
        <v>0</v>
      </c>
      <c r="AY7" s="20">
        <v>0</v>
      </c>
      <c r="AZ7" s="20">
        <v>0</v>
      </c>
      <c r="BA7" s="20">
        <v>1.4999999999999999E-2</v>
      </c>
      <c r="BB7" s="20">
        <v>1.4999999999999999E-2</v>
      </c>
      <c r="BC7" s="20">
        <v>1.4999999999999999E-2</v>
      </c>
      <c r="BD7" s="20">
        <v>1.4999999999999999E-2</v>
      </c>
      <c r="BE7" s="20">
        <v>5.0000000000000001E-3</v>
      </c>
      <c r="BF7" s="20">
        <v>5.0000000000000001E-3</v>
      </c>
      <c r="BG7" s="20">
        <v>5.0000000000000001E-3</v>
      </c>
      <c r="BH7" s="20">
        <v>5.0000000000000001E-3</v>
      </c>
      <c r="BI7" s="20">
        <v>5.0000000000000001E-3</v>
      </c>
      <c r="BJ7" s="20">
        <v>5.0000000000000001E-3</v>
      </c>
      <c r="BK7" s="20">
        <v>5.0000000000000001E-3</v>
      </c>
      <c r="BL7" s="20">
        <v>5.0000000000000001E-3</v>
      </c>
      <c r="BM7" s="20">
        <v>5.0000000000000001E-3</v>
      </c>
      <c r="BN7" s="20">
        <v>5.0000000000000001E-3</v>
      </c>
      <c r="BO7" s="20">
        <v>5.0000000000000001E-3</v>
      </c>
      <c r="BP7" s="20">
        <v>5.0000000000000001E-3</v>
      </c>
      <c r="BQ7" s="20">
        <v>5.0000000000000001E-3</v>
      </c>
      <c r="BR7" s="20">
        <v>5.0000000000000001E-3</v>
      </c>
      <c r="BS7" s="20">
        <v>5.0000000000000001E-3</v>
      </c>
      <c r="BT7" s="20">
        <v>5.0000000000000001E-3</v>
      </c>
      <c r="BU7" s="20">
        <v>5.0000000000000001E-3</v>
      </c>
      <c r="BV7" s="20">
        <v>5.0000000000000001E-3</v>
      </c>
      <c r="BW7" s="20">
        <v>5.0000000000000001E-3</v>
      </c>
      <c r="BX7" s="20">
        <v>5.0000000000000001E-3</v>
      </c>
      <c r="BY7" s="20">
        <v>5.0000000000000001E-3</v>
      </c>
      <c r="BZ7" s="20">
        <v>5.0000000000000001E-3</v>
      </c>
      <c r="CA7" s="20">
        <v>5.0000000000000001E-3</v>
      </c>
      <c r="CB7" s="20">
        <v>5.0000000000000001E-3</v>
      </c>
      <c r="CC7" s="20">
        <v>5.0000000000000001E-3</v>
      </c>
      <c r="CD7" s="20">
        <v>5.0000000000000001E-3</v>
      </c>
      <c r="CE7" s="20">
        <v>5.0000000000000001E-3</v>
      </c>
      <c r="CF7" s="20">
        <v>5.0000000000000001E-3</v>
      </c>
      <c r="CG7" s="20">
        <v>5.0000000000000001E-3</v>
      </c>
      <c r="CH7" s="20">
        <v>5.0000000000000001E-3</v>
      </c>
      <c r="CI7" s="20">
        <v>5.0000000000000001E-3</v>
      </c>
      <c r="CJ7" s="20">
        <v>5.0000000000000001E-3</v>
      </c>
      <c r="CK7" s="20">
        <v>5.0000000000000001E-3</v>
      </c>
      <c r="CL7" s="20">
        <v>5.0000000000000001E-3</v>
      </c>
      <c r="CM7" s="20">
        <v>5.0000000000000001E-3</v>
      </c>
      <c r="CN7" s="20">
        <v>5.0000000000000001E-3</v>
      </c>
      <c r="CO7" s="11">
        <v>0.06</v>
      </c>
      <c r="CP7" s="11">
        <v>5.0000000000000001E-3</v>
      </c>
      <c r="CQ7" s="11">
        <v>5.0000000000000001E-3</v>
      </c>
      <c r="CR7" s="11">
        <v>5.0000000000000001E-3</v>
      </c>
      <c r="CS7" s="11">
        <v>5.0000000000000001E-3</v>
      </c>
      <c r="CT7" s="11">
        <v>5.0000000000000001E-3</v>
      </c>
      <c r="CU7" s="11">
        <v>5.0000000000000001E-3</v>
      </c>
      <c r="CV7" s="11">
        <v>5.0000000000000001E-3</v>
      </c>
      <c r="CW7" s="11">
        <v>5.0000000000000001E-3</v>
      </c>
      <c r="CX7" s="11">
        <v>5.0000000000000001E-3</v>
      </c>
      <c r="CY7" s="11">
        <v>5.0000000000000001E-3</v>
      </c>
      <c r="CZ7" s="11">
        <v>5.0000000000000001E-3</v>
      </c>
      <c r="DA7" s="11">
        <v>5.0000000000000001E-3</v>
      </c>
      <c r="DB7" t="str">
        <f>IFERROR(INDEX('Initiative Summary'!$C$5:$C$25,MATCH($A7,'Initiative Summary'!$A$5:$A$25,0)),"")</f>
        <v>Westmark Region</v>
      </c>
    </row>
    <row r="8" spans="1:106" ht="21.75" customHeight="1" x14ac:dyDescent="0.25">
      <c r="A8" s="6" t="s">
        <v>19</v>
      </c>
      <c r="B8" s="7" t="s">
        <v>20</v>
      </c>
      <c r="C8" s="8" t="s">
        <v>261</v>
      </c>
      <c r="D8" s="8" t="s">
        <v>204</v>
      </c>
      <c r="E8" s="8" t="s">
        <v>256</v>
      </c>
      <c r="F8" s="8"/>
      <c r="G8" s="8"/>
      <c r="H8" s="8"/>
      <c r="I8" s="8"/>
      <c r="J8" s="8"/>
      <c r="K8" s="8"/>
      <c r="L8" s="21">
        <v>0</v>
      </c>
      <c r="M8" s="8"/>
      <c r="N8" s="8"/>
      <c r="O8" s="8"/>
      <c r="P8" s="8"/>
      <c r="Q8" s="8"/>
      <c r="R8" s="8" t="s">
        <v>215</v>
      </c>
      <c r="S8" s="7"/>
      <c r="T8" s="7"/>
      <c r="U8" s="8" t="s">
        <v>262</v>
      </c>
      <c r="V8" s="8" t="s">
        <v>218</v>
      </c>
      <c r="W8" s="21">
        <v>0</v>
      </c>
      <c r="X8" s="8" t="b">
        <v>0</v>
      </c>
      <c r="Y8" s="8" t="s">
        <v>263</v>
      </c>
      <c r="Z8" s="8" t="s">
        <v>264</v>
      </c>
      <c r="AA8" s="8" t="s">
        <v>264</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c r="CE8" s="8">
        <v>0</v>
      </c>
      <c r="CF8" s="8">
        <v>0</v>
      </c>
      <c r="CG8" s="8">
        <v>0</v>
      </c>
      <c r="CH8" s="8">
        <v>0</v>
      </c>
      <c r="CI8" s="8">
        <v>0</v>
      </c>
      <c r="CJ8" s="8">
        <v>0</v>
      </c>
      <c r="CK8" s="8">
        <v>0</v>
      </c>
      <c r="CL8" s="8">
        <v>0</v>
      </c>
      <c r="CM8" s="8">
        <v>0</v>
      </c>
      <c r="CN8" s="8">
        <v>0</v>
      </c>
      <c r="CO8" s="8">
        <v>0</v>
      </c>
      <c r="CP8" s="8">
        <v>0</v>
      </c>
      <c r="CQ8" s="8">
        <v>0</v>
      </c>
      <c r="CR8" s="8">
        <v>0</v>
      </c>
      <c r="CS8" s="8">
        <v>0</v>
      </c>
      <c r="CT8" s="8">
        <v>0</v>
      </c>
      <c r="CU8" s="8">
        <v>0</v>
      </c>
      <c r="CV8" s="8">
        <v>0</v>
      </c>
      <c r="CW8" s="8">
        <v>0</v>
      </c>
      <c r="CX8" s="8">
        <v>0</v>
      </c>
      <c r="CY8" s="8">
        <v>0</v>
      </c>
      <c r="CZ8" s="8">
        <v>0</v>
      </c>
      <c r="DA8" s="8">
        <v>0</v>
      </c>
      <c r="DB8" t="str">
        <f>IFERROR(INDEX('Initiative Summary'!$C$5:$C$25,MATCH($A8,'Initiative Summary'!$A$5:$A$25,0)),"")</f>
        <v>Westmark Region</v>
      </c>
    </row>
    <row r="9" spans="1:106" ht="21.75" customHeight="1" x14ac:dyDescent="0.25">
      <c r="A9" s="6" t="s">
        <v>29</v>
      </c>
      <c r="B9" s="10" t="s">
        <v>30</v>
      </c>
      <c r="C9" s="11" t="s">
        <v>257</v>
      </c>
      <c r="D9" s="11" t="s">
        <v>249</v>
      </c>
      <c r="E9" s="11" t="s">
        <v>250</v>
      </c>
      <c r="F9" s="20">
        <v>0.4</v>
      </c>
      <c r="G9" s="20">
        <v>2026</v>
      </c>
      <c r="H9" s="11" t="s">
        <v>258</v>
      </c>
      <c r="I9" s="20">
        <v>2026</v>
      </c>
      <c r="J9" s="11" t="s">
        <v>258</v>
      </c>
      <c r="K9" s="11"/>
      <c r="L9" s="20">
        <v>0</v>
      </c>
      <c r="M9" s="11"/>
      <c r="N9" s="11"/>
      <c r="O9" s="11"/>
      <c r="P9" s="11"/>
      <c r="Q9" s="11"/>
      <c r="R9" s="11" t="s">
        <v>250</v>
      </c>
      <c r="S9" s="10"/>
      <c r="T9" s="10"/>
      <c r="U9" s="11" t="s">
        <v>265</v>
      </c>
      <c r="V9" s="11" t="s">
        <v>218</v>
      </c>
      <c r="W9" s="20">
        <v>0</v>
      </c>
      <c r="X9" s="11" t="b">
        <v>0</v>
      </c>
      <c r="Y9" s="11" t="s">
        <v>253</v>
      </c>
      <c r="Z9" s="11" t="s">
        <v>266</v>
      </c>
      <c r="AA9" s="11" t="s">
        <v>255</v>
      </c>
      <c r="AB9" s="20">
        <v>0</v>
      </c>
      <c r="AC9" s="11">
        <v>0</v>
      </c>
      <c r="AD9" s="11">
        <v>0</v>
      </c>
      <c r="AE9" s="11">
        <v>0</v>
      </c>
      <c r="AF9" s="11">
        <v>0</v>
      </c>
      <c r="AG9" s="11">
        <v>0</v>
      </c>
      <c r="AH9" s="11">
        <v>0</v>
      </c>
      <c r="AI9" s="11">
        <v>0</v>
      </c>
      <c r="AJ9" s="11">
        <v>0</v>
      </c>
      <c r="AK9" s="11">
        <v>0</v>
      </c>
      <c r="AL9" s="20">
        <v>0</v>
      </c>
      <c r="AM9" s="20">
        <v>0</v>
      </c>
      <c r="AN9" s="20">
        <v>0</v>
      </c>
      <c r="AO9" s="20">
        <v>0</v>
      </c>
      <c r="AP9" s="20">
        <v>0</v>
      </c>
      <c r="AQ9" s="20">
        <v>0</v>
      </c>
      <c r="AR9" s="11">
        <v>0</v>
      </c>
      <c r="AS9" s="11">
        <v>0</v>
      </c>
      <c r="AT9" s="11">
        <v>0</v>
      </c>
      <c r="AU9" s="11">
        <v>0</v>
      </c>
      <c r="AV9" s="11">
        <v>0</v>
      </c>
      <c r="AW9" s="11">
        <v>0</v>
      </c>
      <c r="AX9" s="11">
        <v>0</v>
      </c>
      <c r="AY9" s="11">
        <v>0</v>
      </c>
      <c r="AZ9" s="11">
        <v>0</v>
      </c>
      <c r="BA9" s="11">
        <v>0</v>
      </c>
      <c r="BB9" s="11">
        <v>0</v>
      </c>
      <c r="BC9" s="11">
        <v>0</v>
      </c>
      <c r="BD9" s="11">
        <v>0</v>
      </c>
      <c r="BE9" s="11">
        <v>0</v>
      </c>
      <c r="BF9" s="11">
        <v>0</v>
      </c>
      <c r="BG9" s="11">
        <v>0</v>
      </c>
      <c r="BH9" s="11">
        <v>0</v>
      </c>
      <c r="BI9" s="11">
        <v>0</v>
      </c>
      <c r="BJ9" s="11">
        <v>0</v>
      </c>
      <c r="BK9" s="11">
        <v>0</v>
      </c>
      <c r="BL9" s="11">
        <v>0</v>
      </c>
      <c r="BM9" s="11">
        <v>0</v>
      </c>
      <c r="BN9" s="11">
        <v>0</v>
      </c>
      <c r="BO9" s="11">
        <v>0</v>
      </c>
      <c r="BP9" s="11">
        <v>0</v>
      </c>
      <c r="BQ9" s="11">
        <v>0</v>
      </c>
      <c r="BR9" s="11">
        <v>0</v>
      </c>
      <c r="BS9" s="11">
        <v>0</v>
      </c>
      <c r="BT9" s="11">
        <v>0</v>
      </c>
      <c r="BU9" s="11">
        <v>0</v>
      </c>
      <c r="BV9" s="11">
        <v>0</v>
      </c>
      <c r="BW9" s="11">
        <v>0</v>
      </c>
      <c r="BX9" s="11">
        <v>0</v>
      </c>
      <c r="BY9" s="11">
        <v>0</v>
      </c>
      <c r="BZ9" s="11">
        <v>0</v>
      </c>
      <c r="CA9" s="11">
        <v>0</v>
      </c>
      <c r="CB9" s="11">
        <v>0</v>
      </c>
      <c r="CC9" s="11">
        <v>0</v>
      </c>
      <c r="CD9" s="11">
        <v>0</v>
      </c>
      <c r="CE9" s="11">
        <v>0</v>
      </c>
      <c r="CF9" s="11">
        <v>0</v>
      </c>
      <c r="CG9" s="11">
        <v>0</v>
      </c>
      <c r="CH9" s="11">
        <v>0</v>
      </c>
      <c r="CI9" s="11">
        <v>0</v>
      </c>
      <c r="CJ9" s="11">
        <v>0</v>
      </c>
      <c r="CK9" s="11">
        <v>0</v>
      </c>
      <c r="CL9" s="11">
        <v>0</v>
      </c>
      <c r="CM9" s="11">
        <v>0</v>
      </c>
      <c r="CN9" s="11">
        <v>0</v>
      </c>
      <c r="CO9" s="11">
        <v>0</v>
      </c>
      <c r="CP9" s="11">
        <v>0</v>
      </c>
      <c r="CQ9" s="11">
        <v>0</v>
      </c>
      <c r="CR9" s="11">
        <v>0</v>
      </c>
      <c r="CS9" s="11">
        <v>0</v>
      </c>
      <c r="CT9" s="11">
        <v>0</v>
      </c>
      <c r="CU9" s="11">
        <v>0</v>
      </c>
      <c r="CV9" s="11">
        <v>0</v>
      </c>
      <c r="CW9" s="11">
        <v>0</v>
      </c>
      <c r="CX9" s="11">
        <v>0</v>
      </c>
      <c r="CY9" s="11">
        <v>0</v>
      </c>
      <c r="CZ9" s="11">
        <v>0</v>
      </c>
      <c r="DA9" s="11">
        <v>0</v>
      </c>
      <c r="DB9" t="str">
        <f>IFERROR(INDEX('Initiative Summary'!$C$5:$C$25,MATCH($A9,'Initiative Summary'!$A$5:$A$25,0)),"")</f>
        <v>Westmark Region</v>
      </c>
    </row>
    <row r="10" spans="1:106" ht="21.75" customHeight="1" x14ac:dyDescent="0.25">
      <c r="A10" s="6" t="s">
        <v>29</v>
      </c>
      <c r="B10" s="7" t="s">
        <v>30</v>
      </c>
      <c r="C10" s="8" t="s">
        <v>257</v>
      </c>
      <c r="D10" s="8" t="s">
        <v>204</v>
      </c>
      <c r="E10" s="8" t="s">
        <v>256</v>
      </c>
      <c r="F10" s="8"/>
      <c r="G10" s="8"/>
      <c r="H10" s="8"/>
      <c r="I10" s="8"/>
      <c r="J10" s="8"/>
      <c r="K10" s="8"/>
      <c r="L10" s="21">
        <v>0</v>
      </c>
      <c r="M10" s="8"/>
      <c r="N10" s="8"/>
      <c r="O10" s="8"/>
      <c r="P10" s="8"/>
      <c r="Q10" s="8"/>
      <c r="R10" s="8" t="s">
        <v>250</v>
      </c>
      <c r="S10" s="7"/>
      <c r="T10" s="7"/>
      <c r="U10" s="8" t="s">
        <v>265</v>
      </c>
      <c r="V10" s="8" t="s">
        <v>218</v>
      </c>
      <c r="W10" s="21">
        <v>0</v>
      </c>
      <c r="X10" s="8" t="b">
        <v>0</v>
      </c>
      <c r="Y10" s="8" t="s">
        <v>253</v>
      </c>
      <c r="Z10" s="8" t="s">
        <v>266</v>
      </c>
      <c r="AA10" s="8" t="s">
        <v>255</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c r="CE10" s="8">
        <v>0</v>
      </c>
      <c r="CF10" s="8">
        <v>0</v>
      </c>
      <c r="CG10" s="8">
        <v>0</v>
      </c>
      <c r="CH10" s="8">
        <v>0</v>
      </c>
      <c r="CI10" s="8">
        <v>0</v>
      </c>
      <c r="CJ10" s="8">
        <v>0</v>
      </c>
      <c r="CK10" s="8">
        <v>0</v>
      </c>
      <c r="CL10" s="8">
        <v>0</v>
      </c>
      <c r="CM10" s="8">
        <v>0</v>
      </c>
      <c r="CN10" s="8">
        <v>0</v>
      </c>
      <c r="CO10" s="8">
        <v>0</v>
      </c>
      <c r="CP10" s="8">
        <v>0</v>
      </c>
      <c r="CQ10" s="8">
        <v>0</v>
      </c>
      <c r="CR10" s="8">
        <v>0</v>
      </c>
      <c r="CS10" s="8">
        <v>0</v>
      </c>
      <c r="CT10" s="8">
        <v>0</v>
      </c>
      <c r="CU10" s="8">
        <v>0</v>
      </c>
      <c r="CV10" s="8">
        <v>0</v>
      </c>
      <c r="CW10" s="8">
        <v>0</v>
      </c>
      <c r="CX10" s="8">
        <v>0</v>
      </c>
      <c r="CY10" s="8">
        <v>0</v>
      </c>
      <c r="CZ10" s="8">
        <v>0</v>
      </c>
      <c r="DA10" s="8">
        <v>0</v>
      </c>
      <c r="DB10" t="str">
        <f>IFERROR(INDEX('Initiative Summary'!$C$5:$C$25,MATCH($A10,'Initiative Summary'!$A$5:$A$25,0)),"")</f>
        <v>Westmark Region</v>
      </c>
    </row>
    <row r="11" spans="1:106" ht="21.75" customHeight="1" x14ac:dyDescent="0.25">
      <c r="A11" s="6" t="s">
        <v>29</v>
      </c>
      <c r="B11" s="10" t="s">
        <v>30</v>
      </c>
      <c r="C11" s="11" t="s">
        <v>261</v>
      </c>
      <c r="D11" s="11" t="s">
        <v>249</v>
      </c>
      <c r="E11" s="11" t="s">
        <v>267</v>
      </c>
      <c r="F11" s="20">
        <v>0</v>
      </c>
      <c r="G11" s="11"/>
      <c r="H11" s="11"/>
      <c r="I11" s="11"/>
      <c r="J11" s="11"/>
      <c r="K11" s="11"/>
      <c r="L11" s="20">
        <v>0</v>
      </c>
      <c r="M11" s="11"/>
      <c r="N11" s="11"/>
      <c r="O11" s="11"/>
      <c r="P11" s="11"/>
      <c r="Q11" s="11"/>
      <c r="R11" s="11" t="s">
        <v>215</v>
      </c>
      <c r="S11" s="10"/>
      <c r="T11" s="10"/>
      <c r="U11" s="11" t="s">
        <v>268</v>
      </c>
      <c r="V11" s="11" t="s">
        <v>218</v>
      </c>
      <c r="W11" s="20">
        <v>0</v>
      </c>
      <c r="X11" s="11" t="b">
        <v>0</v>
      </c>
      <c r="Y11" s="11" t="s">
        <v>263</v>
      </c>
      <c r="Z11" s="11" t="s">
        <v>269</v>
      </c>
      <c r="AA11" s="11" t="s">
        <v>255</v>
      </c>
      <c r="AB11" s="20">
        <v>0</v>
      </c>
      <c r="AC11" s="20">
        <v>0.1</v>
      </c>
      <c r="AD11" s="20">
        <v>0.1</v>
      </c>
      <c r="AE11" s="20">
        <v>0.1</v>
      </c>
      <c r="AF11" s="20">
        <v>0.1</v>
      </c>
      <c r="AG11" s="11">
        <v>0</v>
      </c>
      <c r="AH11" s="11">
        <v>0</v>
      </c>
      <c r="AI11" s="11">
        <v>0</v>
      </c>
      <c r="AJ11" s="11">
        <v>0</v>
      </c>
      <c r="AK11" s="11">
        <v>0</v>
      </c>
      <c r="AL11" s="11">
        <v>0</v>
      </c>
      <c r="AM11" s="11">
        <v>0</v>
      </c>
      <c r="AN11" s="11">
        <v>0</v>
      </c>
      <c r="AO11" s="11">
        <v>0</v>
      </c>
      <c r="AP11" s="11">
        <v>0</v>
      </c>
      <c r="AQ11" s="11">
        <v>0</v>
      </c>
      <c r="AR11" s="20">
        <v>0</v>
      </c>
      <c r="AS11" s="20">
        <v>0</v>
      </c>
      <c r="AT11" s="20">
        <v>0</v>
      </c>
      <c r="AU11" s="20">
        <v>0.01</v>
      </c>
      <c r="AV11" s="20">
        <v>0.01</v>
      </c>
      <c r="AW11" s="20">
        <v>0.01</v>
      </c>
      <c r="AX11" s="20">
        <v>0.01</v>
      </c>
      <c r="AY11" s="20">
        <v>0.01</v>
      </c>
      <c r="AZ11" s="20">
        <v>0.01</v>
      </c>
      <c r="BA11" s="20">
        <v>0.01</v>
      </c>
      <c r="BB11" s="20">
        <v>0.01</v>
      </c>
      <c r="BC11" s="20">
        <v>0.01</v>
      </c>
      <c r="BD11" s="20">
        <v>0.01</v>
      </c>
      <c r="BE11" s="20">
        <v>8.3333333333333332E-3</v>
      </c>
      <c r="BF11" s="20">
        <v>8.3333333333333332E-3</v>
      </c>
      <c r="BG11" s="20">
        <v>8.3333333333333332E-3</v>
      </c>
      <c r="BH11" s="20">
        <v>8.3333333333333332E-3</v>
      </c>
      <c r="BI11" s="20">
        <v>8.3333333333333332E-3</v>
      </c>
      <c r="BJ11" s="20">
        <v>8.3333333333333332E-3</v>
      </c>
      <c r="BK11" s="20">
        <v>8.3333333333333332E-3</v>
      </c>
      <c r="BL11" s="20">
        <v>8.3333333333333332E-3</v>
      </c>
      <c r="BM11" s="20">
        <v>8.3333333333333332E-3</v>
      </c>
      <c r="BN11" s="20">
        <v>8.3333333333333332E-3</v>
      </c>
      <c r="BO11" s="20">
        <v>8.3333333333333332E-3</v>
      </c>
      <c r="BP11" s="20">
        <v>8.3333333333333332E-3</v>
      </c>
      <c r="BQ11" s="20">
        <v>8.3333333333333332E-3</v>
      </c>
      <c r="BR11" s="20">
        <v>8.3333333333333332E-3</v>
      </c>
      <c r="BS11" s="20">
        <v>8.3333333333333332E-3</v>
      </c>
      <c r="BT11" s="20">
        <v>8.3333333333333332E-3</v>
      </c>
      <c r="BU11" s="20">
        <v>8.3333333333333332E-3</v>
      </c>
      <c r="BV11" s="20">
        <v>8.3333333333333332E-3</v>
      </c>
      <c r="BW11" s="20">
        <v>8.3333333333333332E-3</v>
      </c>
      <c r="BX11" s="20">
        <v>8.3333333333333332E-3</v>
      </c>
      <c r="BY11" s="20">
        <v>8.3333333333333332E-3</v>
      </c>
      <c r="BZ11" s="20">
        <v>8.3333333333333332E-3</v>
      </c>
      <c r="CA11" s="20">
        <v>8.3333333333333332E-3</v>
      </c>
      <c r="CB11" s="20">
        <v>8.3333333333333332E-3</v>
      </c>
      <c r="CC11" s="20">
        <v>8.3333333333333332E-3</v>
      </c>
      <c r="CD11" s="20">
        <v>8.3333333333333332E-3</v>
      </c>
      <c r="CE11" s="20">
        <v>8.3333333333333332E-3</v>
      </c>
      <c r="CF11" s="20">
        <v>8.3333333333333332E-3</v>
      </c>
      <c r="CG11" s="20">
        <v>8.3333333333333332E-3</v>
      </c>
      <c r="CH11" s="20">
        <v>8.3333333333333332E-3</v>
      </c>
      <c r="CI11" s="20">
        <v>8.3333333333333332E-3</v>
      </c>
      <c r="CJ11" s="20">
        <v>8.3333333333333332E-3</v>
      </c>
      <c r="CK11" s="20">
        <v>8.3333333333333332E-3</v>
      </c>
      <c r="CL11" s="20">
        <v>8.3333333333333332E-3</v>
      </c>
      <c r="CM11" s="20">
        <v>8.3333333333333332E-3</v>
      </c>
      <c r="CN11" s="20">
        <v>8.3333333333333332E-3</v>
      </c>
      <c r="CO11" s="11">
        <v>0.1</v>
      </c>
      <c r="CP11" s="11">
        <v>8.3333333333333332E-3</v>
      </c>
      <c r="CQ11" s="11">
        <v>8.3333333333333332E-3</v>
      </c>
      <c r="CR11" s="11">
        <v>8.3333333333333332E-3</v>
      </c>
      <c r="CS11" s="11">
        <v>8.3333333333333332E-3</v>
      </c>
      <c r="CT11" s="11">
        <v>8.3333333333333332E-3</v>
      </c>
      <c r="CU11" s="11">
        <v>8.3333333333333332E-3</v>
      </c>
      <c r="CV11" s="11">
        <v>8.3333333333333332E-3</v>
      </c>
      <c r="CW11" s="11">
        <v>8.3333333333333332E-3</v>
      </c>
      <c r="CX11" s="11">
        <v>8.3333333333333332E-3</v>
      </c>
      <c r="CY11" s="11">
        <v>8.3333333333333332E-3</v>
      </c>
      <c r="CZ11" s="11">
        <v>8.3333333333333332E-3</v>
      </c>
      <c r="DA11" s="11">
        <v>8.3333333333333332E-3</v>
      </c>
      <c r="DB11" t="str">
        <f>IFERROR(INDEX('Initiative Summary'!$C$5:$C$25,MATCH($A11,'Initiative Summary'!$A$5:$A$25,0)),"")</f>
        <v>Westmark Region</v>
      </c>
    </row>
    <row r="12" spans="1:106" ht="21.75" customHeight="1" x14ac:dyDescent="0.25">
      <c r="A12" s="6" t="s">
        <v>29</v>
      </c>
      <c r="B12" s="7" t="s">
        <v>30</v>
      </c>
      <c r="C12" s="8" t="s">
        <v>261</v>
      </c>
      <c r="D12" s="8" t="s">
        <v>204</v>
      </c>
      <c r="E12" s="8" t="s">
        <v>256</v>
      </c>
      <c r="F12" s="8"/>
      <c r="G12" s="8"/>
      <c r="H12" s="8"/>
      <c r="I12" s="8"/>
      <c r="J12" s="8"/>
      <c r="K12" s="8"/>
      <c r="L12" s="21">
        <v>0</v>
      </c>
      <c r="M12" s="8"/>
      <c r="N12" s="8"/>
      <c r="O12" s="8"/>
      <c r="P12" s="8"/>
      <c r="Q12" s="8"/>
      <c r="R12" s="8" t="s">
        <v>215</v>
      </c>
      <c r="S12" s="7"/>
      <c r="T12" s="7"/>
      <c r="U12" s="8" t="s">
        <v>268</v>
      </c>
      <c r="V12" s="8" t="s">
        <v>218</v>
      </c>
      <c r="W12" s="21">
        <v>0</v>
      </c>
      <c r="X12" s="8" t="b">
        <v>0</v>
      </c>
      <c r="Y12" s="8" t="s">
        <v>263</v>
      </c>
      <c r="Z12" s="8" t="s">
        <v>269</v>
      </c>
      <c r="AA12" s="8" t="s">
        <v>255</v>
      </c>
      <c r="AB12" s="8">
        <v>0</v>
      </c>
      <c r="AC12" s="8">
        <v>0</v>
      </c>
      <c r="AD12" s="8">
        <v>0</v>
      </c>
      <c r="AE12" s="8">
        <v>0</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c r="BQ12" s="8">
        <v>0</v>
      </c>
      <c r="BR12" s="8">
        <v>0</v>
      </c>
      <c r="BS12" s="8">
        <v>0</v>
      </c>
      <c r="BT12" s="8">
        <v>0</v>
      </c>
      <c r="BU12" s="8">
        <v>0</v>
      </c>
      <c r="BV12" s="8">
        <v>0</v>
      </c>
      <c r="BW12" s="8">
        <v>0</v>
      </c>
      <c r="BX12" s="8">
        <v>0</v>
      </c>
      <c r="BY12" s="8">
        <v>0</v>
      </c>
      <c r="BZ12" s="8">
        <v>0</v>
      </c>
      <c r="CA12" s="8">
        <v>0</v>
      </c>
      <c r="CB12" s="8">
        <v>0</v>
      </c>
      <c r="CC12" s="8">
        <v>0</v>
      </c>
      <c r="CD12" s="8">
        <v>0</v>
      </c>
      <c r="CE12" s="8">
        <v>0</v>
      </c>
      <c r="CF12" s="8">
        <v>0</v>
      </c>
      <c r="CG12" s="8">
        <v>0</v>
      </c>
      <c r="CH12" s="8">
        <v>0</v>
      </c>
      <c r="CI12" s="8">
        <v>0</v>
      </c>
      <c r="CJ12" s="8">
        <v>0</v>
      </c>
      <c r="CK12" s="8">
        <v>0</v>
      </c>
      <c r="CL12" s="8">
        <v>0</v>
      </c>
      <c r="CM12" s="8">
        <v>0</v>
      </c>
      <c r="CN12" s="8">
        <v>0</v>
      </c>
      <c r="CO12" s="8">
        <v>0</v>
      </c>
      <c r="CP12" s="8">
        <v>0</v>
      </c>
      <c r="CQ12" s="8">
        <v>0</v>
      </c>
      <c r="CR12" s="8">
        <v>0</v>
      </c>
      <c r="CS12" s="8">
        <v>0</v>
      </c>
      <c r="CT12" s="8">
        <v>0</v>
      </c>
      <c r="CU12" s="8">
        <v>0</v>
      </c>
      <c r="CV12" s="8">
        <v>0</v>
      </c>
      <c r="CW12" s="8">
        <v>0</v>
      </c>
      <c r="CX12" s="8">
        <v>0</v>
      </c>
      <c r="CY12" s="8">
        <v>0</v>
      </c>
      <c r="CZ12" s="8">
        <v>0</v>
      </c>
      <c r="DA12" s="8">
        <v>0</v>
      </c>
      <c r="DB12" t="str">
        <f>IFERROR(INDEX('Initiative Summary'!$C$5:$C$25,MATCH($A12,'Initiative Summary'!$A$5:$A$25,0)),"")</f>
        <v>Westmark Region</v>
      </c>
    </row>
    <row r="13" spans="1:106" ht="21.75" customHeight="1" x14ac:dyDescent="0.25">
      <c r="A13" s="6" t="s">
        <v>29</v>
      </c>
      <c r="B13" s="10" t="s">
        <v>30</v>
      </c>
      <c r="C13" s="11" t="s">
        <v>270</v>
      </c>
      <c r="D13" s="11" t="s">
        <v>249</v>
      </c>
      <c r="E13" s="11" t="s">
        <v>250</v>
      </c>
      <c r="F13" s="20">
        <v>0.2</v>
      </c>
      <c r="G13" s="20">
        <v>2026</v>
      </c>
      <c r="H13" s="11" t="s">
        <v>251</v>
      </c>
      <c r="I13" s="20">
        <v>2026</v>
      </c>
      <c r="J13" s="11" t="s">
        <v>251</v>
      </c>
      <c r="K13" s="11"/>
      <c r="L13" s="20">
        <v>0</v>
      </c>
      <c r="M13" s="11"/>
      <c r="N13" s="11"/>
      <c r="O13" s="11"/>
      <c r="P13" s="11"/>
      <c r="Q13" s="11"/>
      <c r="R13" s="11" t="s">
        <v>250</v>
      </c>
      <c r="S13" s="10"/>
      <c r="T13" s="10"/>
      <c r="U13" s="11" t="s">
        <v>271</v>
      </c>
      <c r="V13" s="11" t="s">
        <v>218</v>
      </c>
      <c r="W13" s="20">
        <v>0</v>
      </c>
      <c r="X13" s="11" t="b">
        <v>0</v>
      </c>
      <c r="Y13" s="11" t="s">
        <v>253</v>
      </c>
      <c r="Z13" s="11" t="s">
        <v>272</v>
      </c>
      <c r="AA13" s="11" t="s">
        <v>255</v>
      </c>
      <c r="AB13" s="20">
        <v>0</v>
      </c>
      <c r="AC13" s="11">
        <v>0</v>
      </c>
      <c r="AD13" s="11">
        <v>0</v>
      </c>
      <c r="AE13" s="11">
        <v>0</v>
      </c>
      <c r="AF13" s="11">
        <v>0</v>
      </c>
      <c r="AG13" s="11">
        <v>0</v>
      </c>
      <c r="AH13" s="11">
        <v>0</v>
      </c>
      <c r="AI13" s="11">
        <v>0</v>
      </c>
      <c r="AJ13" s="11">
        <v>0</v>
      </c>
      <c r="AK13" s="11">
        <v>0</v>
      </c>
      <c r="AL13" s="20">
        <v>0</v>
      </c>
      <c r="AM13" s="20">
        <v>0</v>
      </c>
      <c r="AN13" s="20">
        <v>0</v>
      </c>
      <c r="AO13" s="20">
        <v>0</v>
      </c>
      <c r="AP13" s="11">
        <v>0</v>
      </c>
      <c r="AQ13" s="11">
        <v>0</v>
      </c>
      <c r="AR13" s="11">
        <v>0</v>
      </c>
      <c r="AS13" s="11">
        <v>0</v>
      </c>
      <c r="AT13" s="11">
        <v>0</v>
      </c>
      <c r="AU13" s="11">
        <v>0</v>
      </c>
      <c r="AV13" s="11">
        <v>0</v>
      </c>
      <c r="AW13" s="11">
        <v>0</v>
      </c>
      <c r="AX13" s="11">
        <v>0</v>
      </c>
      <c r="AY13" s="11">
        <v>0</v>
      </c>
      <c r="AZ13" s="11">
        <v>0</v>
      </c>
      <c r="BA13" s="11">
        <v>0</v>
      </c>
      <c r="BB13" s="11">
        <v>0</v>
      </c>
      <c r="BC13" s="11">
        <v>0</v>
      </c>
      <c r="BD13" s="11">
        <v>0</v>
      </c>
      <c r="BE13" s="11">
        <v>0</v>
      </c>
      <c r="BF13" s="11">
        <v>0</v>
      </c>
      <c r="BG13" s="11">
        <v>0</v>
      </c>
      <c r="BH13" s="11">
        <v>0</v>
      </c>
      <c r="BI13" s="11">
        <v>0</v>
      </c>
      <c r="BJ13" s="11">
        <v>0</v>
      </c>
      <c r="BK13" s="11">
        <v>0</v>
      </c>
      <c r="BL13" s="11">
        <v>0</v>
      </c>
      <c r="BM13" s="11">
        <v>0</v>
      </c>
      <c r="BN13" s="11">
        <v>0</v>
      </c>
      <c r="BO13" s="11">
        <v>0</v>
      </c>
      <c r="BP13" s="11">
        <v>0</v>
      </c>
      <c r="BQ13" s="11">
        <v>0</v>
      </c>
      <c r="BR13" s="11">
        <v>0</v>
      </c>
      <c r="BS13" s="11">
        <v>0</v>
      </c>
      <c r="BT13" s="11">
        <v>0</v>
      </c>
      <c r="BU13" s="11">
        <v>0</v>
      </c>
      <c r="BV13" s="11">
        <v>0</v>
      </c>
      <c r="BW13" s="11">
        <v>0</v>
      </c>
      <c r="BX13" s="11">
        <v>0</v>
      </c>
      <c r="BY13" s="11">
        <v>0</v>
      </c>
      <c r="BZ13" s="11">
        <v>0</v>
      </c>
      <c r="CA13" s="11">
        <v>0</v>
      </c>
      <c r="CB13" s="11">
        <v>0</v>
      </c>
      <c r="CC13" s="11">
        <v>0</v>
      </c>
      <c r="CD13" s="11">
        <v>0</v>
      </c>
      <c r="CE13" s="11">
        <v>0</v>
      </c>
      <c r="CF13" s="11">
        <v>0</v>
      </c>
      <c r="CG13" s="11">
        <v>0</v>
      </c>
      <c r="CH13" s="11">
        <v>0</v>
      </c>
      <c r="CI13" s="11">
        <v>0</v>
      </c>
      <c r="CJ13" s="11">
        <v>0</v>
      </c>
      <c r="CK13" s="11">
        <v>0</v>
      </c>
      <c r="CL13" s="11">
        <v>0</v>
      </c>
      <c r="CM13" s="11">
        <v>0</v>
      </c>
      <c r="CN13" s="11">
        <v>0</v>
      </c>
      <c r="CO13" s="11">
        <v>0</v>
      </c>
      <c r="CP13" s="11">
        <v>0</v>
      </c>
      <c r="CQ13" s="11">
        <v>0</v>
      </c>
      <c r="CR13" s="11">
        <v>0</v>
      </c>
      <c r="CS13" s="11">
        <v>0</v>
      </c>
      <c r="CT13" s="11">
        <v>0</v>
      </c>
      <c r="CU13" s="11">
        <v>0</v>
      </c>
      <c r="CV13" s="11">
        <v>0</v>
      </c>
      <c r="CW13" s="11">
        <v>0</v>
      </c>
      <c r="CX13" s="11">
        <v>0</v>
      </c>
      <c r="CY13" s="11">
        <v>0</v>
      </c>
      <c r="CZ13" s="11">
        <v>0</v>
      </c>
      <c r="DA13" s="11">
        <v>0</v>
      </c>
      <c r="DB13" t="str">
        <f>IFERROR(INDEX('Initiative Summary'!$C$5:$C$25,MATCH($A13,'Initiative Summary'!$A$5:$A$25,0)),"")</f>
        <v>Westmark Region</v>
      </c>
    </row>
    <row r="14" spans="1:106" ht="21.75" customHeight="1" x14ac:dyDescent="0.25">
      <c r="A14" s="6" t="s">
        <v>29</v>
      </c>
      <c r="B14" s="7" t="s">
        <v>30</v>
      </c>
      <c r="C14" s="8" t="s">
        <v>270</v>
      </c>
      <c r="D14" s="8" t="s">
        <v>204</v>
      </c>
      <c r="E14" s="8" t="s">
        <v>256</v>
      </c>
      <c r="F14" s="8"/>
      <c r="G14" s="8"/>
      <c r="H14" s="8"/>
      <c r="I14" s="8"/>
      <c r="J14" s="8"/>
      <c r="K14" s="8"/>
      <c r="L14" s="21">
        <v>0</v>
      </c>
      <c r="M14" s="8"/>
      <c r="N14" s="8"/>
      <c r="O14" s="8"/>
      <c r="P14" s="8"/>
      <c r="Q14" s="8"/>
      <c r="R14" s="8" t="s">
        <v>250</v>
      </c>
      <c r="S14" s="7"/>
      <c r="T14" s="7"/>
      <c r="U14" s="8" t="s">
        <v>271</v>
      </c>
      <c r="V14" s="8" t="s">
        <v>218</v>
      </c>
      <c r="W14" s="21">
        <v>0</v>
      </c>
      <c r="X14" s="8" t="b">
        <v>0</v>
      </c>
      <c r="Y14" s="8" t="s">
        <v>253</v>
      </c>
      <c r="Z14" s="8" t="s">
        <v>272</v>
      </c>
      <c r="AA14" s="8" t="s">
        <v>255</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c r="BQ14" s="8">
        <v>0</v>
      </c>
      <c r="BR14" s="8">
        <v>0</v>
      </c>
      <c r="BS14" s="8">
        <v>0</v>
      </c>
      <c r="BT14" s="8">
        <v>0</v>
      </c>
      <c r="BU14" s="8">
        <v>0</v>
      </c>
      <c r="BV14" s="8">
        <v>0</v>
      </c>
      <c r="BW14" s="8">
        <v>0</v>
      </c>
      <c r="BX14" s="8">
        <v>0</v>
      </c>
      <c r="BY14" s="8">
        <v>0</v>
      </c>
      <c r="BZ14" s="8">
        <v>0</v>
      </c>
      <c r="CA14" s="8">
        <v>0</v>
      </c>
      <c r="CB14" s="8">
        <v>0</v>
      </c>
      <c r="CC14" s="8">
        <v>0</v>
      </c>
      <c r="CD14" s="8">
        <v>0</v>
      </c>
      <c r="CE14" s="8">
        <v>0</v>
      </c>
      <c r="CF14" s="8">
        <v>0</v>
      </c>
      <c r="CG14" s="8">
        <v>0</v>
      </c>
      <c r="CH14" s="8">
        <v>0</v>
      </c>
      <c r="CI14" s="8">
        <v>0</v>
      </c>
      <c r="CJ14" s="8">
        <v>0</v>
      </c>
      <c r="CK14" s="8">
        <v>0</v>
      </c>
      <c r="CL14" s="8">
        <v>0</v>
      </c>
      <c r="CM14" s="8">
        <v>0</v>
      </c>
      <c r="CN14" s="8">
        <v>0</v>
      </c>
      <c r="CO14" s="8">
        <v>0</v>
      </c>
      <c r="CP14" s="8">
        <v>0</v>
      </c>
      <c r="CQ14" s="8">
        <v>0</v>
      </c>
      <c r="CR14" s="8">
        <v>0</v>
      </c>
      <c r="CS14" s="8">
        <v>0</v>
      </c>
      <c r="CT14" s="8">
        <v>0</v>
      </c>
      <c r="CU14" s="8">
        <v>0</v>
      </c>
      <c r="CV14" s="8">
        <v>0</v>
      </c>
      <c r="CW14" s="8">
        <v>0</v>
      </c>
      <c r="CX14" s="8">
        <v>0</v>
      </c>
      <c r="CY14" s="8">
        <v>0</v>
      </c>
      <c r="CZ14" s="8">
        <v>0</v>
      </c>
      <c r="DA14" s="8">
        <v>0</v>
      </c>
      <c r="DB14" t="str">
        <f>IFERROR(INDEX('Initiative Summary'!$C$5:$C$25,MATCH($A14,'Initiative Summary'!$A$5:$A$25,0)),"")</f>
        <v>Westmark Region</v>
      </c>
    </row>
    <row r="15" spans="1:106" ht="21.75" customHeight="1" x14ac:dyDescent="0.25">
      <c r="A15" s="6" t="s">
        <v>32</v>
      </c>
      <c r="B15" s="10" t="s">
        <v>656</v>
      </c>
      <c r="C15" s="11" t="s">
        <v>257</v>
      </c>
      <c r="D15" s="11" t="s">
        <v>249</v>
      </c>
      <c r="E15" s="11" t="s">
        <v>250</v>
      </c>
      <c r="F15" s="20">
        <v>0</v>
      </c>
      <c r="G15" s="11"/>
      <c r="H15" s="11"/>
      <c r="I15" s="11"/>
      <c r="J15" s="11"/>
      <c r="K15" s="11"/>
      <c r="L15" s="20">
        <v>0</v>
      </c>
      <c r="M15" s="11"/>
      <c r="N15" s="11"/>
      <c r="O15" s="11"/>
      <c r="P15" s="11"/>
      <c r="Q15" s="11"/>
      <c r="R15" s="11" t="s">
        <v>250</v>
      </c>
      <c r="S15" s="10"/>
      <c r="T15" s="10"/>
      <c r="U15" s="11" t="s">
        <v>273</v>
      </c>
      <c r="V15" s="11" t="s">
        <v>218</v>
      </c>
      <c r="W15" s="20">
        <v>0</v>
      </c>
      <c r="X15" s="11" t="b">
        <v>0</v>
      </c>
      <c r="Y15" s="11" t="s">
        <v>253</v>
      </c>
      <c r="Z15" s="11" t="s">
        <v>274</v>
      </c>
      <c r="AA15" s="11" t="s">
        <v>255</v>
      </c>
      <c r="AB15" s="20">
        <v>0</v>
      </c>
      <c r="AC15" s="20">
        <v>0</v>
      </c>
      <c r="AD15" s="11">
        <v>0</v>
      </c>
      <c r="AE15" s="11">
        <v>0</v>
      </c>
      <c r="AF15" s="11">
        <v>0</v>
      </c>
      <c r="AG15" s="11">
        <v>0</v>
      </c>
      <c r="AH15" s="11">
        <v>0</v>
      </c>
      <c r="AI15" s="11">
        <v>0</v>
      </c>
      <c r="AJ15" s="11">
        <v>0</v>
      </c>
      <c r="AK15" s="11">
        <v>0</v>
      </c>
      <c r="AL15" s="11">
        <v>0</v>
      </c>
      <c r="AM15" s="11">
        <v>0</v>
      </c>
      <c r="AN15" s="20">
        <v>0</v>
      </c>
      <c r="AO15" s="20">
        <v>0</v>
      </c>
      <c r="AP15" s="20">
        <v>0</v>
      </c>
      <c r="AQ15" s="20">
        <v>0</v>
      </c>
      <c r="AR15" s="20">
        <v>0</v>
      </c>
      <c r="AS15" s="20">
        <v>0</v>
      </c>
      <c r="AT15" s="20">
        <v>0</v>
      </c>
      <c r="AU15" s="20">
        <v>0</v>
      </c>
      <c r="AV15" s="20">
        <v>0</v>
      </c>
      <c r="AW15" s="20">
        <v>0</v>
      </c>
      <c r="AX15" s="20">
        <v>0</v>
      </c>
      <c r="AY15" s="20">
        <v>0</v>
      </c>
      <c r="AZ15" s="20">
        <v>0</v>
      </c>
      <c r="BA15" s="20">
        <v>0</v>
      </c>
      <c r="BB15" s="20">
        <v>0</v>
      </c>
      <c r="BC15" s="20">
        <v>0</v>
      </c>
      <c r="BD15" s="20">
        <v>0</v>
      </c>
      <c r="BE15" s="11">
        <v>0</v>
      </c>
      <c r="BF15" s="11">
        <v>0</v>
      </c>
      <c r="BG15" s="11">
        <v>0</v>
      </c>
      <c r="BH15" s="11">
        <v>0</v>
      </c>
      <c r="BI15" s="11">
        <v>0</v>
      </c>
      <c r="BJ15" s="11">
        <v>0</v>
      </c>
      <c r="BK15" s="11">
        <v>0</v>
      </c>
      <c r="BL15" s="11">
        <v>0</v>
      </c>
      <c r="BM15" s="11">
        <v>0</v>
      </c>
      <c r="BN15" s="11">
        <v>0</v>
      </c>
      <c r="BO15" s="11">
        <v>0</v>
      </c>
      <c r="BP15" s="11">
        <v>0</v>
      </c>
      <c r="BQ15" s="11">
        <v>0</v>
      </c>
      <c r="BR15" s="11">
        <v>0</v>
      </c>
      <c r="BS15" s="11">
        <v>0</v>
      </c>
      <c r="BT15" s="11">
        <v>0</v>
      </c>
      <c r="BU15" s="11">
        <v>0</v>
      </c>
      <c r="BV15" s="11">
        <v>0</v>
      </c>
      <c r="BW15" s="11">
        <v>0</v>
      </c>
      <c r="BX15" s="11">
        <v>0</v>
      </c>
      <c r="BY15" s="11">
        <v>0</v>
      </c>
      <c r="BZ15" s="11">
        <v>0</v>
      </c>
      <c r="CA15" s="11">
        <v>0</v>
      </c>
      <c r="CB15" s="11">
        <v>0</v>
      </c>
      <c r="CC15" s="11">
        <v>0</v>
      </c>
      <c r="CD15" s="11">
        <v>0</v>
      </c>
      <c r="CE15" s="11">
        <v>0</v>
      </c>
      <c r="CF15" s="11">
        <v>0</v>
      </c>
      <c r="CG15" s="11">
        <v>0</v>
      </c>
      <c r="CH15" s="11">
        <v>0</v>
      </c>
      <c r="CI15" s="11">
        <v>0</v>
      </c>
      <c r="CJ15" s="11">
        <v>0</v>
      </c>
      <c r="CK15" s="11">
        <v>0</v>
      </c>
      <c r="CL15" s="11">
        <v>0</v>
      </c>
      <c r="CM15" s="11">
        <v>0</v>
      </c>
      <c r="CN15" s="11">
        <v>0</v>
      </c>
      <c r="CO15" s="11">
        <v>0</v>
      </c>
      <c r="CP15" s="11">
        <v>0</v>
      </c>
      <c r="CQ15" s="11">
        <v>0</v>
      </c>
      <c r="CR15" s="11">
        <v>0</v>
      </c>
      <c r="CS15" s="11">
        <v>0</v>
      </c>
      <c r="CT15" s="11">
        <v>0</v>
      </c>
      <c r="CU15" s="11">
        <v>0</v>
      </c>
      <c r="CV15" s="11">
        <v>0</v>
      </c>
      <c r="CW15" s="11">
        <v>0</v>
      </c>
      <c r="CX15" s="11">
        <v>0</v>
      </c>
      <c r="CY15" s="11">
        <v>0</v>
      </c>
      <c r="CZ15" s="11">
        <v>0</v>
      </c>
      <c r="DA15" s="11">
        <v>0</v>
      </c>
      <c r="DB15" t="str">
        <f>IFERROR(INDEX('Initiative Summary'!$C$5:$C$25,MATCH($A15,'Initiative Summary'!$A$5:$A$25,0)),"")</f>
        <v>Westmark Region</v>
      </c>
    </row>
    <row r="16" spans="1:106" ht="21.75" customHeight="1" x14ac:dyDescent="0.25">
      <c r="A16" s="6" t="s">
        <v>32</v>
      </c>
      <c r="B16" s="7" t="s">
        <v>656</v>
      </c>
      <c r="C16" s="8" t="s">
        <v>257</v>
      </c>
      <c r="D16" s="8" t="s">
        <v>204</v>
      </c>
      <c r="E16" s="8" t="s">
        <v>256</v>
      </c>
      <c r="F16" s="8"/>
      <c r="G16" s="8"/>
      <c r="H16" s="8"/>
      <c r="I16" s="8"/>
      <c r="J16" s="8"/>
      <c r="K16" s="8"/>
      <c r="L16" s="21">
        <v>0</v>
      </c>
      <c r="M16" s="8"/>
      <c r="N16" s="8"/>
      <c r="O16" s="8"/>
      <c r="P16" s="8"/>
      <c r="Q16" s="8"/>
      <c r="R16" s="8" t="s">
        <v>250</v>
      </c>
      <c r="S16" s="7"/>
      <c r="T16" s="7"/>
      <c r="U16" s="8" t="s">
        <v>273</v>
      </c>
      <c r="V16" s="8" t="s">
        <v>218</v>
      </c>
      <c r="W16" s="21">
        <v>0</v>
      </c>
      <c r="X16" s="8" t="b">
        <v>0</v>
      </c>
      <c r="Y16" s="8" t="s">
        <v>253</v>
      </c>
      <c r="Z16" s="8" t="s">
        <v>274</v>
      </c>
      <c r="AA16" s="8" t="s">
        <v>255</v>
      </c>
      <c r="AB16" s="8">
        <v>0</v>
      </c>
      <c r="AC16" s="8">
        <v>0</v>
      </c>
      <c r="AD16" s="8">
        <v>0</v>
      </c>
      <c r="AE16" s="8">
        <v>0</v>
      </c>
      <c r="AF16" s="8">
        <v>0</v>
      </c>
      <c r="AG16" s="8">
        <v>0</v>
      </c>
      <c r="AH16" s="8">
        <v>0</v>
      </c>
      <c r="AI16" s="8">
        <v>0</v>
      </c>
      <c r="AJ16" s="8">
        <v>0</v>
      </c>
      <c r="AK16" s="8">
        <v>0</v>
      </c>
      <c r="AL16" s="8">
        <v>0</v>
      </c>
      <c r="AM16" s="8">
        <v>0</v>
      </c>
      <c r="AN16" s="8">
        <v>0</v>
      </c>
      <c r="AO16" s="8">
        <v>0</v>
      </c>
      <c r="AP16" s="8">
        <v>0</v>
      </c>
      <c r="AQ16" s="8">
        <v>0</v>
      </c>
      <c r="AR16" s="8">
        <v>0</v>
      </c>
      <c r="AS16" s="8">
        <v>0</v>
      </c>
      <c r="AT16" s="8">
        <v>0</v>
      </c>
      <c r="AU16" s="8">
        <v>0</v>
      </c>
      <c r="AV16" s="8">
        <v>0</v>
      </c>
      <c r="AW16" s="8">
        <v>0</v>
      </c>
      <c r="AX16" s="8">
        <v>0</v>
      </c>
      <c r="AY16" s="8">
        <v>0</v>
      </c>
      <c r="AZ16" s="8">
        <v>0</v>
      </c>
      <c r="BA16" s="8">
        <v>0</v>
      </c>
      <c r="BB16" s="8">
        <v>0</v>
      </c>
      <c r="BC16" s="8">
        <v>0</v>
      </c>
      <c r="BD16" s="8">
        <v>0</v>
      </c>
      <c r="BE16" s="8">
        <v>0</v>
      </c>
      <c r="BF16" s="8">
        <v>0</v>
      </c>
      <c r="BG16" s="8">
        <v>0</v>
      </c>
      <c r="BH16" s="8">
        <v>0</v>
      </c>
      <c r="BI16" s="8">
        <v>0</v>
      </c>
      <c r="BJ16" s="8">
        <v>0</v>
      </c>
      <c r="BK16" s="8">
        <v>0</v>
      </c>
      <c r="BL16" s="8">
        <v>0</v>
      </c>
      <c r="BM16" s="8">
        <v>0</v>
      </c>
      <c r="BN16" s="8">
        <v>0</v>
      </c>
      <c r="BO16" s="8">
        <v>0</v>
      </c>
      <c r="BP16" s="8">
        <v>0</v>
      </c>
      <c r="BQ16" s="8">
        <v>0</v>
      </c>
      <c r="BR16" s="8">
        <v>0</v>
      </c>
      <c r="BS16" s="8">
        <v>0</v>
      </c>
      <c r="BT16" s="8">
        <v>0</v>
      </c>
      <c r="BU16" s="8">
        <v>0</v>
      </c>
      <c r="BV16" s="8">
        <v>0</v>
      </c>
      <c r="BW16" s="8">
        <v>0</v>
      </c>
      <c r="BX16" s="8">
        <v>0</v>
      </c>
      <c r="BY16" s="8">
        <v>0</v>
      </c>
      <c r="BZ16" s="8">
        <v>0</v>
      </c>
      <c r="CA16" s="8">
        <v>0</v>
      </c>
      <c r="CB16" s="8">
        <v>0</v>
      </c>
      <c r="CC16" s="8">
        <v>0</v>
      </c>
      <c r="CD16" s="8">
        <v>0</v>
      </c>
      <c r="CE16" s="8">
        <v>0</v>
      </c>
      <c r="CF16" s="8">
        <v>0</v>
      </c>
      <c r="CG16" s="8">
        <v>0</v>
      </c>
      <c r="CH16" s="8">
        <v>0</v>
      </c>
      <c r="CI16" s="8">
        <v>0</v>
      </c>
      <c r="CJ16" s="8">
        <v>0</v>
      </c>
      <c r="CK16" s="8">
        <v>0</v>
      </c>
      <c r="CL16" s="8">
        <v>0</v>
      </c>
      <c r="CM16" s="8">
        <v>0</v>
      </c>
      <c r="CN16" s="8">
        <v>0</v>
      </c>
      <c r="CO16" s="8">
        <v>0</v>
      </c>
      <c r="CP16" s="8">
        <v>0</v>
      </c>
      <c r="CQ16" s="8">
        <v>0</v>
      </c>
      <c r="CR16" s="8">
        <v>0</v>
      </c>
      <c r="CS16" s="8">
        <v>0</v>
      </c>
      <c r="CT16" s="8">
        <v>0</v>
      </c>
      <c r="CU16" s="8">
        <v>0</v>
      </c>
      <c r="CV16" s="8">
        <v>0</v>
      </c>
      <c r="CW16" s="8">
        <v>0</v>
      </c>
      <c r="CX16" s="8">
        <v>0</v>
      </c>
      <c r="CY16" s="8">
        <v>0</v>
      </c>
      <c r="CZ16" s="8">
        <v>0</v>
      </c>
      <c r="DA16" s="8">
        <v>0</v>
      </c>
      <c r="DB16" t="str">
        <f>IFERROR(INDEX('Initiative Summary'!$C$5:$C$25,MATCH($A16,'Initiative Summary'!$A$5:$A$25,0)),"")</f>
        <v>Westmark Region</v>
      </c>
    </row>
    <row r="17" spans="1:106" ht="21.75" customHeight="1" x14ac:dyDescent="0.25">
      <c r="A17" s="6" t="s">
        <v>32</v>
      </c>
      <c r="B17" s="10" t="s">
        <v>656</v>
      </c>
      <c r="C17" s="11" t="s">
        <v>261</v>
      </c>
      <c r="D17" s="11" t="s">
        <v>249</v>
      </c>
      <c r="E17" s="11" t="s">
        <v>267</v>
      </c>
      <c r="F17" s="20">
        <v>0</v>
      </c>
      <c r="G17" s="11"/>
      <c r="H17" s="11"/>
      <c r="I17" s="11"/>
      <c r="J17" s="11"/>
      <c r="K17" s="11"/>
      <c r="L17" s="20">
        <v>0</v>
      </c>
      <c r="M17" s="11"/>
      <c r="N17" s="11"/>
      <c r="O17" s="11"/>
      <c r="P17" s="11"/>
      <c r="Q17" s="11"/>
      <c r="R17" s="11" t="s">
        <v>215</v>
      </c>
      <c r="S17" s="10"/>
      <c r="T17" s="10"/>
      <c r="U17" s="11" t="s">
        <v>275</v>
      </c>
      <c r="V17" s="11" t="s">
        <v>218</v>
      </c>
      <c r="W17" s="20">
        <v>0</v>
      </c>
      <c r="X17" s="11" t="b">
        <v>0</v>
      </c>
      <c r="Y17" s="11" t="s">
        <v>263</v>
      </c>
      <c r="Z17" s="11" t="s">
        <v>276</v>
      </c>
      <c r="AA17" s="11" t="s">
        <v>255</v>
      </c>
      <c r="AB17" s="11">
        <v>0.1</v>
      </c>
      <c r="AC17" s="20">
        <v>0.1</v>
      </c>
      <c r="AD17" s="20">
        <v>0.1</v>
      </c>
      <c r="AE17" s="20">
        <v>0.1</v>
      </c>
      <c r="AF17" s="20">
        <v>0.1</v>
      </c>
      <c r="AG17" s="11">
        <v>0</v>
      </c>
      <c r="AH17" s="11">
        <v>0</v>
      </c>
      <c r="AI17" s="11">
        <v>0</v>
      </c>
      <c r="AJ17" s="11">
        <v>0</v>
      </c>
      <c r="AK17" s="11">
        <v>0</v>
      </c>
      <c r="AL17" s="11">
        <v>0</v>
      </c>
      <c r="AM17" s="11">
        <v>0</v>
      </c>
      <c r="AN17" s="11">
        <v>0</v>
      </c>
      <c r="AO17" s="11">
        <v>0</v>
      </c>
      <c r="AP17" s="11">
        <v>0</v>
      </c>
      <c r="AQ17" s="11">
        <v>0.05</v>
      </c>
      <c r="AR17" s="11">
        <v>0.05</v>
      </c>
      <c r="AS17" s="20">
        <v>8.3333333333333332E-3</v>
      </c>
      <c r="AT17" s="20">
        <v>8.3333333333333332E-3</v>
      </c>
      <c r="AU17" s="20">
        <v>8.3333333333333332E-3</v>
      </c>
      <c r="AV17" s="20">
        <v>8.3333333333333332E-3</v>
      </c>
      <c r="AW17" s="20">
        <v>8.3333333333333332E-3</v>
      </c>
      <c r="AX17" s="20">
        <v>8.3333333333333332E-3</v>
      </c>
      <c r="AY17" s="20">
        <v>8.3333333333333332E-3</v>
      </c>
      <c r="AZ17" s="20">
        <v>8.3333333333333332E-3</v>
      </c>
      <c r="BA17" s="20">
        <v>8.3333333333333332E-3</v>
      </c>
      <c r="BB17" s="20">
        <v>8.3333333333333332E-3</v>
      </c>
      <c r="BC17" s="20">
        <v>8.3333333333333332E-3</v>
      </c>
      <c r="BD17" s="20">
        <v>8.3333333333333332E-3</v>
      </c>
      <c r="BE17" s="20">
        <v>8.3333333333333332E-3</v>
      </c>
      <c r="BF17" s="20">
        <v>8.3333333333333332E-3</v>
      </c>
      <c r="BG17" s="20">
        <v>8.3333333333333332E-3</v>
      </c>
      <c r="BH17" s="20">
        <v>8.3333333333333332E-3</v>
      </c>
      <c r="BI17" s="20">
        <v>8.3333333333333332E-3</v>
      </c>
      <c r="BJ17" s="20">
        <v>8.3333333333333332E-3</v>
      </c>
      <c r="BK17" s="20">
        <v>8.3333333333333332E-3</v>
      </c>
      <c r="BL17" s="20">
        <v>8.3333333333333332E-3</v>
      </c>
      <c r="BM17" s="20">
        <v>8.3333333333333332E-3</v>
      </c>
      <c r="BN17" s="20">
        <v>8.3333333333333332E-3</v>
      </c>
      <c r="BO17" s="20">
        <v>8.3333333333333332E-3</v>
      </c>
      <c r="BP17" s="20">
        <v>8.3333333333333332E-3</v>
      </c>
      <c r="BQ17" s="20">
        <v>8.3333333333333332E-3</v>
      </c>
      <c r="BR17" s="20">
        <v>8.3333333333333332E-3</v>
      </c>
      <c r="BS17" s="20">
        <v>8.3333333333333332E-3</v>
      </c>
      <c r="BT17" s="20">
        <v>8.3333333333333332E-3</v>
      </c>
      <c r="BU17" s="20">
        <v>8.3333333333333332E-3</v>
      </c>
      <c r="BV17" s="20">
        <v>8.3333333333333332E-3</v>
      </c>
      <c r="BW17" s="20">
        <v>8.3333333333333332E-3</v>
      </c>
      <c r="BX17" s="20">
        <v>8.3333333333333332E-3</v>
      </c>
      <c r="BY17" s="20">
        <v>8.3333333333333332E-3</v>
      </c>
      <c r="BZ17" s="20">
        <v>8.3333333333333332E-3</v>
      </c>
      <c r="CA17" s="20">
        <v>8.3333333333333332E-3</v>
      </c>
      <c r="CB17" s="20">
        <v>8.3333333333333332E-3</v>
      </c>
      <c r="CC17" s="20">
        <v>8.3333333333333332E-3</v>
      </c>
      <c r="CD17" s="20">
        <v>8.3333333333333332E-3</v>
      </c>
      <c r="CE17" s="20">
        <v>8.3333333333333332E-3</v>
      </c>
      <c r="CF17" s="20">
        <v>8.3333333333333332E-3</v>
      </c>
      <c r="CG17" s="20">
        <v>8.3333333333333332E-3</v>
      </c>
      <c r="CH17" s="20">
        <v>8.3333333333333332E-3</v>
      </c>
      <c r="CI17" s="20">
        <v>8.3333333333333332E-3</v>
      </c>
      <c r="CJ17" s="20">
        <v>8.3333333333333332E-3</v>
      </c>
      <c r="CK17" s="20">
        <v>8.3333333333333332E-3</v>
      </c>
      <c r="CL17" s="20">
        <v>8.3333333333333332E-3</v>
      </c>
      <c r="CM17" s="20">
        <v>8.3333333333333332E-3</v>
      </c>
      <c r="CN17" s="20">
        <v>8.3333333333333332E-3</v>
      </c>
      <c r="CO17" s="11">
        <v>0.1</v>
      </c>
      <c r="CP17" s="11">
        <v>8.3333333333333332E-3</v>
      </c>
      <c r="CQ17" s="11">
        <v>8.3333333333333332E-3</v>
      </c>
      <c r="CR17" s="11">
        <v>8.3333333333333332E-3</v>
      </c>
      <c r="CS17" s="11">
        <v>8.3333333333333332E-3</v>
      </c>
      <c r="CT17" s="11">
        <v>8.3333333333333332E-3</v>
      </c>
      <c r="CU17" s="11">
        <v>8.3333333333333332E-3</v>
      </c>
      <c r="CV17" s="11">
        <v>8.3333333333333332E-3</v>
      </c>
      <c r="CW17" s="11">
        <v>8.3333333333333332E-3</v>
      </c>
      <c r="CX17" s="11">
        <v>8.3333333333333332E-3</v>
      </c>
      <c r="CY17" s="11">
        <v>8.3333333333333332E-3</v>
      </c>
      <c r="CZ17" s="11">
        <v>8.3333333333333332E-3</v>
      </c>
      <c r="DA17" s="11">
        <v>8.3333333333333332E-3</v>
      </c>
      <c r="DB17" t="str">
        <f>IFERROR(INDEX('Initiative Summary'!$C$5:$C$25,MATCH($A17,'Initiative Summary'!$A$5:$A$25,0)),"")</f>
        <v>Westmark Region</v>
      </c>
    </row>
    <row r="18" spans="1:106" ht="21.75" customHeight="1" x14ac:dyDescent="0.25">
      <c r="A18" s="6" t="s">
        <v>32</v>
      </c>
      <c r="B18" s="7" t="s">
        <v>656</v>
      </c>
      <c r="C18" s="8" t="s">
        <v>261</v>
      </c>
      <c r="D18" s="8" t="s">
        <v>204</v>
      </c>
      <c r="E18" s="8" t="s">
        <v>256</v>
      </c>
      <c r="F18" s="8"/>
      <c r="G18" s="8"/>
      <c r="H18" s="8"/>
      <c r="I18" s="8"/>
      <c r="J18" s="8"/>
      <c r="K18" s="8"/>
      <c r="L18" s="21">
        <v>0</v>
      </c>
      <c r="M18" s="8"/>
      <c r="N18" s="8"/>
      <c r="O18" s="8"/>
      <c r="P18" s="8"/>
      <c r="Q18" s="8"/>
      <c r="R18" s="8" t="s">
        <v>215</v>
      </c>
      <c r="S18" s="7"/>
      <c r="T18" s="7"/>
      <c r="U18" s="8" t="s">
        <v>275</v>
      </c>
      <c r="V18" s="8" t="s">
        <v>218</v>
      </c>
      <c r="W18" s="21">
        <v>0</v>
      </c>
      <c r="X18" s="8" t="b">
        <v>0</v>
      </c>
      <c r="Y18" s="8" t="s">
        <v>263</v>
      </c>
      <c r="Z18" s="8" t="s">
        <v>276</v>
      </c>
      <c r="AA18" s="8" t="s">
        <v>255</v>
      </c>
      <c r="AB18" s="8">
        <v>0</v>
      </c>
      <c r="AC18" s="8">
        <v>0</v>
      </c>
      <c r="AD18" s="8">
        <v>0</v>
      </c>
      <c r="AE18" s="8">
        <v>0</v>
      </c>
      <c r="AF18" s="8">
        <v>0</v>
      </c>
      <c r="AG18" s="8">
        <v>0</v>
      </c>
      <c r="AH18" s="8">
        <v>0</v>
      </c>
      <c r="AI18" s="8">
        <v>0</v>
      </c>
      <c r="AJ18" s="8">
        <v>0</v>
      </c>
      <c r="AK18" s="8">
        <v>0</v>
      </c>
      <c r="AL18" s="8">
        <v>0</v>
      </c>
      <c r="AM18" s="8">
        <v>0</v>
      </c>
      <c r="AN18" s="8">
        <v>0</v>
      </c>
      <c r="AO18" s="8">
        <v>0</v>
      </c>
      <c r="AP18" s="8">
        <v>0</v>
      </c>
      <c r="AQ18" s="8">
        <v>0</v>
      </c>
      <c r="AR18" s="8">
        <v>0</v>
      </c>
      <c r="AS18" s="8">
        <v>0</v>
      </c>
      <c r="AT18" s="8">
        <v>0</v>
      </c>
      <c r="AU18" s="8">
        <v>0</v>
      </c>
      <c r="AV18" s="8">
        <v>0</v>
      </c>
      <c r="AW18" s="8">
        <v>0</v>
      </c>
      <c r="AX18" s="8">
        <v>0</v>
      </c>
      <c r="AY18" s="8">
        <v>0</v>
      </c>
      <c r="AZ18" s="8">
        <v>0</v>
      </c>
      <c r="BA18" s="8">
        <v>0</v>
      </c>
      <c r="BB18" s="8">
        <v>0</v>
      </c>
      <c r="BC18" s="8">
        <v>0</v>
      </c>
      <c r="BD18" s="8">
        <v>0</v>
      </c>
      <c r="BE18" s="8">
        <v>0</v>
      </c>
      <c r="BF18" s="8">
        <v>0</v>
      </c>
      <c r="BG18" s="8">
        <v>0</v>
      </c>
      <c r="BH18" s="8">
        <v>0</v>
      </c>
      <c r="BI18" s="8">
        <v>0</v>
      </c>
      <c r="BJ18" s="8">
        <v>0</v>
      </c>
      <c r="BK18" s="8">
        <v>0</v>
      </c>
      <c r="BL18" s="8">
        <v>0</v>
      </c>
      <c r="BM18" s="8">
        <v>0</v>
      </c>
      <c r="BN18" s="8">
        <v>0</v>
      </c>
      <c r="BO18" s="8">
        <v>0</v>
      </c>
      <c r="BP18" s="8">
        <v>0</v>
      </c>
      <c r="BQ18" s="8">
        <v>0</v>
      </c>
      <c r="BR18" s="8">
        <v>0</v>
      </c>
      <c r="BS18" s="8">
        <v>0</v>
      </c>
      <c r="BT18" s="8">
        <v>0</v>
      </c>
      <c r="BU18" s="8">
        <v>0</v>
      </c>
      <c r="BV18" s="8">
        <v>0</v>
      </c>
      <c r="BW18" s="8">
        <v>0</v>
      </c>
      <c r="BX18" s="8">
        <v>0</v>
      </c>
      <c r="BY18" s="8">
        <v>0</v>
      </c>
      <c r="BZ18" s="8">
        <v>0</v>
      </c>
      <c r="CA18" s="8">
        <v>0</v>
      </c>
      <c r="CB18" s="8">
        <v>0</v>
      </c>
      <c r="CC18" s="8">
        <v>0</v>
      </c>
      <c r="CD18" s="8">
        <v>0</v>
      </c>
      <c r="CE18" s="8">
        <v>0</v>
      </c>
      <c r="CF18" s="8">
        <v>0</v>
      </c>
      <c r="CG18" s="8">
        <v>0</v>
      </c>
      <c r="CH18" s="8">
        <v>0</v>
      </c>
      <c r="CI18" s="8">
        <v>0</v>
      </c>
      <c r="CJ18" s="8">
        <v>0</v>
      </c>
      <c r="CK18" s="8">
        <v>0</v>
      </c>
      <c r="CL18" s="8">
        <v>0</v>
      </c>
      <c r="CM18" s="8">
        <v>0</v>
      </c>
      <c r="CN18" s="8">
        <v>0</v>
      </c>
      <c r="CO18" s="8">
        <v>0</v>
      </c>
      <c r="CP18" s="8">
        <v>0</v>
      </c>
      <c r="CQ18" s="8">
        <v>0</v>
      </c>
      <c r="CR18" s="8">
        <v>0</v>
      </c>
      <c r="CS18" s="8">
        <v>0</v>
      </c>
      <c r="CT18" s="8">
        <v>0</v>
      </c>
      <c r="CU18" s="8">
        <v>0</v>
      </c>
      <c r="CV18" s="8">
        <v>0</v>
      </c>
      <c r="CW18" s="8">
        <v>0</v>
      </c>
      <c r="CX18" s="8">
        <v>0</v>
      </c>
      <c r="CY18" s="8">
        <v>0</v>
      </c>
      <c r="CZ18" s="8">
        <v>0</v>
      </c>
      <c r="DA18" s="8">
        <v>0</v>
      </c>
      <c r="DB18" t="str">
        <f>IFERROR(INDEX('Initiative Summary'!$C$5:$C$25,MATCH($A18,'Initiative Summary'!$A$5:$A$25,0)),"")</f>
        <v>Westmark Region</v>
      </c>
    </row>
    <row r="19" spans="1:106" ht="53.25" customHeight="1" x14ac:dyDescent="0.25">
      <c r="A19" s="6" t="s">
        <v>36</v>
      </c>
      <c r="B19" s="10" t="s">
        <v>37</v>
      </c>
      <c r="C19" s="11" t="s">
        <v>277</v>
      </c>
      <c r="D19" s="11" t="s">
        <v>249</v>
      </c>
      <c r="E19" s="11" t="s">
        <v>267</v>
      </c>
      <c r="F19" s="20">
        <v>960000</v>
      </c>
      <c r="G19" s="11"/>
      <c r="H19" s="11"/>
      <c r="I19" s="11"/>
      <c r="J19" s="11"/>
      <c r="K19" s="11"/>
      <c r="L19" s="20">
        <v>0</v>
      </c>
      <c r="M19" s="11"/>
      <c r="N19" s="11"/>
      <c r="O19" s="11"/>
      <c r="P19" s="11"/>
      <c r="Q19" s="11"/>
      <c r="R19" s="11" t="s">
        <v>215</v>
      </c>
      <c r="S19" s="10" t="s">
        <v>278</v>
      </c>
      <c r="T19" s="10"/>
      <c r="U19" s="11" t="s">
        <v>279</v>
      </c>
      <c r="V19" s="11" t="s">
        <v>218</v>
      </c>
      <c r="W19" s="20">
        <v>0</v>
      </c>
      <c r="X19" s="11" t="b">
        <v>0</v>
      </c>
      <c r="Y19" s="11" t="s">
        <v>263</v>
      </c>
      <c r="Z19" s="11" t="s">
        <v>280</v>
      </c>
      <c r="AA19" s="11" t="s">
        <v>255</v>
      </c>
      <c r="AB19" s="20">
        <v>0.62</v>
      </c>
      <c r="AC19" s="20">
        <v>0.64</v>
      </c>
      <c r="AD19" s="20">
        <v>0.64</v>
      </c>
      <c r="AE19" s="20">
        <v>0.64</v>
      </c>
      <c r="AF19" s="20">
        <v>0.64</v>
      </c>
      <c r="AG19" s="11">
        <v>0</v>
      </c>
      <c r="AH19" s="11">
        <v>0</v>
      </c>
      <c r="AI19" s="11">
        <v>0</v>
      </c>
      <c r="AJ19" s="11">
        <v>0</v>
      </c>
      <c r="AK19" s="11">
        <v>0</v>
      </c>
      <c r="AL19" s="11">
        <v>0</v>
      </c>
      <c r="AM19" s="11">
        <v>0</v>
      </c>
      <c r="AN19" s="11">
        <v>0</v>
      </c>
      <c r="AO19" s="11">
        <v>0</v>
      </c>
      <c r="AP19" s="20">
        <v>0</v>
      </c>
      <c r="AQ19" s="20">
        <v>0</v>
      </c>
      <c r="AR19" s="20">
        <v>0.62</v>
      </c>
      <c r="AS19" s="20">
        <v>5.3333333333333337E-2</v>
      </c>
      <c r="AT19" s="20">
        <v>5.3333333333333337E-2</v>
      </c>
      <c r="AU19" s="20">
        <v>5.3333333333333337E-2</v>
      </c>
      <c r="AV19" s="20">
        <v>5.3333333333333337E-2</v>
      </c>
      <c r="AW19" s="20">
        <v>5.3333333333333337E-2</v>
      </c>
      <c r="AX19" s="20">
        <v>5.3333333333333337E-2</v>
      </c>
      <c r="AY19" s="20">
        <v>5.3333333333333337E-2</v>
      </c>
      <c r="AZ19" s="20">
        <v>5.3333333333333337E-2</v>
      </c>
      <c r="BA19" s="20">
        <v>5.3333333333333337E-2</v>
      </c>
      <c r="BB19" s="20">
        <v>5.3333333333333337E-2</v>
      </c>
      <c r="BC19" s="20">
        <v>5.3333333333333337E-2</v>
      </c>
      <c r="BD19" s="20">
        <v>5.3333333333333337E-2</v>
      </c>
      <c r="BE19" s="20">
        <v>5.3333333333333337E-2</v>
      </c>
      <c r="BF19" s="20">
        <v>5.3333333333333337E-2</v>
      </c>
      <c r="BG19" s="20">
        <v>5.3333333333333337E-2</v>
      </c>
      <c r="BH19" s="20">
        <v>5.3333333333333337E-2</v>
      </c>
      <c r="BI19" s="20">
        <v>5.3333333333333337E-2</v>
      </c>
      <c r="BJ19" s="20">
        <v>5.3333333333333337E-2</v>
      </c>
      <c r="BK19" s="20">
        <v>5.3333333333333337E-2</v>
      </c>
      <c r="BL19" s="20">
        <v>5.3333333333333337E-2</v>
      </c>
      <c r="BM19" s="20">
        <v>5.3333333333333337E-2</v>
      </c>
      <c r="BN19" s="20">
        <v>5.3333333333333337E-2</v>
      </c>
      <c r="BO19" s="20">
        <v>5.3333333333333337E-2</v>
      </c>
      <c r="BP19" s="20">
        <v>5.3333333333333337E-2</v>
      </c>
      <c r="BQ19" s="20">
        <v>5.3333333333333337E-2</v>
      </c>
      <c r="BR19" s="20">
        <v>5.3333333333333337E-2</v>
      </c>
      <c r="BS19" s="20">
        <v>5.3333333333333337E-2</v>
      </c>
      <c r="BT19" s="20">
        <v>5.3333333333333337E-2</v>
      </c>
      <c r="BU19" s="20">
        <v>5.3333333333333337E-2</v>
      </c>
      <c r="BV19" s="20">
        <v>5.3333333333333337E-2</v>
      </c>
      <c r="BW19" s="20">
        <v>5.3333333333333337E-2</v>
      </c>
      <c r="BX19" s="20">
        <v>5.3333333333333337E-2</v>
      </c>
      <c r="BY19" s="20">
        <v>5.3333333333333337E-2</v>
      </c>
      <c r="BZ19" s="20">
        <v>5.3333333333333337E-2</v>
      </c>
      <c r="CA19" s="20">
        <v>5.3333333333333337E-2</v>
      </c>
      <c r="CB19" s="20">
        <v>5.3333333333333337E-2</v>
      </c>
      <c r="CC19" s="20">
        <v>5.3333333333333337E-2</v>
      </c>
      <c r="CD19" s="20">
        <v>5.3333333333333337E-2</v>
      </c>
      <c r="CE19" s="20">
        <v>5.3333333333333337E-2</v>
      </c>
      <c r="CF19" s="20">
        <v>5.3333333333333337E-2</v>
      </c>
      <c r="CG19" s="20">
        <v>5.3333333333333337E-2</v>
      </c>
      <c r="CH19" s="20">
        <v>5.3333333333333337E-2</v>
      </c>
      <c r="CI19" s="20">
        <v>5.3333333333333337E-2</v>
      </c>
      <c r="CJ19" s="20">
        <v>5.3333333333333337E-2</v>
      </c>
      <c r="CK19" s="20">
        <v>5.3333333333333337E-2</v>
      </c>
      <c r="CL19" s="20">
        <v>5.3333333333333337E-2</v>
      </c>
      <c r="CM19" s="20">
        <v>5.3333333333333337E-2</v>
      </c>
      <c r="CN19" s="20">
        <v>5.3333333333333337E-2</v>
      </c>
      <c r="CO19" s="11">
        <v>0.64</v>
      </c>
      <c r="CP19" s="11">
        <v>5.3333333333333337E-2</v>
      </c>
      <c r="CQ19" s="11">
        <v>5.3333333333333337E-2</v>
      </c>
      <c r="CR19" s="11">
        <v>5.3333333333333337E-2</v>
      </c>
      <c r="CS19" s="11">
        <v>5.3333333333333337E-2</v>
      </c>
      <c r="CT19" s="11">
        <v>5.3333333333333337E-2</v>
      </c>
      <c r="CU19" s="11">
        <v>5.3333333333333337E-2</v>
      </c>
      <c r="CV19" s="11">
        <v>5.3333333333333337E-2</v>
      </c>
      <c r="CW19" s="11">
        <v>5.3333333333333337E-2</v>
      </c>
      <c r="CX19" s="11">
        <v>5.3333333333333337E-2</v>
      </c>
      <c r="CY19" s="11">
        <v>5.3333333333333337E-2</v>
      </c>
      <c r="CZ19" s="11">
        <v>5.3333333333333337E-2</v>
      </c>
      <c r="DA19" s="11">
        <v>5.3333333333333337E-2</v>
      </c>
      <c r="DB19" t="str">
        <f>IFERROR(INDEX('Initiative Summary'!$C$5:$C$25,MATCH($A19,'Initiative Summary'!$A$5:$A$25,0)),"")</f>
        <v>Westmark Region</v>
      </c>
    </row>
    <row r="20" spans="1:106" ht="53.25" customHeight="1" x14ac:dyDescent="0.25">
      <c r="A20" s="6" t="s">
        <v>36</v>
      </c>
      <c r="B20" s="7" t="s">
        <v>37</v>
      </c>
      <c r="C20" s="8" t="s">
        <v>277</v>
      </c>
      <c r="D20" s="8" t="s">
        <v>204</v>
      </c>
      <c r="E20" s="8" t="s">
        <v>256</v>
      </c>
      <c r="F20" s="8"/>
      <c r="G20" s="8"/>
      <c r="H20" s="8"/>
      <c r="I20" s="8"/>
      <c r="J20" s="8"/>
      <c r="K20" s="8"/>
      <c r="L20" s="21">
        <v>0</v>
      </c>
      <c r="M20" s="8"/>
      <c r="N20" s="8"/>
      <c r="O20" s="8"/>
      <c r="P20" s="8"/>
      <c r="Q20" s="8"/>
      <c r="R20" s="8" t="s">
        <v>215</v>
      </c>
      <c r="S20" s="7" t="s">
        <v>278</v>
      </c>
      <c r="T20" s="7"/>
      <c r="U20" s="8" t="s">
        <v>279</v>
      </c>
      <c r="V20" s="8" t="s">
        <v>218</v>
      </c>
      <c r="W20" s="21">
        <v>0</v>
      </c>
      <c r="X20" s="8" t="b">
        <v>0</v>
      </c>
      <c r="Y20" s="8" t="s">
        <v>263</v>
      </c>
      <c r="Z20" s="8" t="s">
        <v>280</v>
      </c>
      <c r="AA20" s="8" t="s">
        <v>255</v>
      </c>
      <c r="AB20" s="8">
        <v>0</v>
      </c>
      <c r="AC20" s="8">
        <v>0</v>
      </c>
      <c r="AD20" s="8">
        <v>0</v>
      </c>
      <c r="AE20" s="8">
        <v>0</v>
      </c>
      <c r="AF20" s="8">
        <v>0</v>
      </c>
      <c r="AG20" s="8">
        <v>0</v>
      </c>
      <c r="AH20" s="8">
        <v>0</v>
      </c>
      <c r="AI20" s="8">
        <v>0</v>
      </c>
      <c r="AJ20" s="8">
        <v>0</v>
      </c>
      <c r="AK20" s="8">
        <v>0</v>
      </c>
      <c r="AL20" s="8">
        <v>0</v>
      </c>
      <c r="AM20" s="8">
        <v>0</v>
      </c>
      <c r="AN20" s="8">
        <v>0</v>
      </c>
      <c r="AO20" s="8">
        <v>0</v>
      </c>
      <c r="AP20" s="8">
        <v>0</v>
      </c>
      <c r="AQ20" s="8">
        <v>0</v>
      </c>
      <c r="AR20" s="8">
        <v>0</v>
      </c>
      <c r="AS20" s="8">
        <v>0</v>
      </c>
      <c r="AT20" s="8">
        <v>0</v>
      </c>
      <c r="AU20" s="8">
        <v>0</v>
      </c>
      <c r="AV20" s="8">
        <v>0</v>
      </c>
      <c r="AW20" s="8">
        <v>0</v>
      </c>
      <c r="AX20" s="8">
        <v>0</v>
      </c>
      <c r="AY20" s="8">
        <v>0</v>
      </c>
      <c r="AZ20" s="8">
        <v>0</v>
      </c>
      <c r="BA20" s="8">
        <v>0</v>
      </c>
      <c r="BB20" s="8">
        <v>0</v>
      </c>
      <c r="BC20" s="8">
        <v>0</v>
      </c>
      <c r="BD20" s="8">
        <v>0</v>
      </c>
      <c r="BE20" s="8">
        <v>0</v>
      </c>
      <c r="BF20" s="8">
        <v>0</v>
      </c>
      <c r="BG20" s="8">
        <v>0</v>
      </c>
      <c r="BH20" s="8">
        <v>0</v>
      </c>
      <c r="BI20" s="8">
        <v>0</v>
      </c>
      <c r="BJ20" s="8">
        <v>0</v>
      </c>
      <c r="BK20" s="8">
        <v>0</v>
      </c>
      <c r="BL20" s="8">
        <v>0</v>
      </c>
      <c r="BM20" s="8">
        <v>0</v>
      </c>
      <c r="BN20" s="8">
        <v>0</v>
      </c>
      <c r="BO20" s="8">
        <v>0</v>
      </c>
      <c r="BP20" s="8">
        <v>0</v>
      </c>
      <c r="BQ20" s="8">
        <v>0</v>
      </c>
      <c r="BR20" s="8">
        <v>0</v>
      </c>
      <c r="BS20" s="8">
        <v>0</v>
      </c>
      <c r="BT20" s="8">
        <v>0</v>
      </c>
      <c r="BU20" s="8">
        <v>0</v>
      </c>
      <c r="BV20" s="8">
        <v>0</v>
      </c>
      <c r="BW20" s="8">
        <v>0</v>
      </c>
      <c r="BX20" s="8">
        <v>0</v>
      </c>
      <c r="BY20" s="8">
        <v>0</v>
      </c>
      <c r="BZ20" s="8">
        <v>0</v>
      </c>
      <c r="CA20" s="8">
        <v>0</v>
      </c>
      <c r="CB20" s="8">
        <v>0</v>
      </c>
      <c r="CC20" s="8">
        <v>0</v>
      </c>
      <c r="CD20" s="8">
        <v>0</v>
      </c>
      <c r="CE20" s="8">
        <v>0</v>
      </c>
      <c r="CF20" s="8">
        <v>0</v>
      </c>
      <c r="CG20" s="8">
        <v>0</v>
      </c>
      <c r="CH20" s="8">
        <v>0</v>
      </c>
      <c r="CI20" s="8">
        <v>0</v>
      </c>
      <c r="CJ20" s="8">
        <v>0</v>
      </c>
      <c r="CK20" s="8">
        <v>0</v>
      </c>
      <c r="CL20" s="8">
        <v>0</v>
      </c>
      <c r="CM20" s="8">
        <v>0</v>
      </c>
      <c r="CN20" s="8">
        <v>0</v>
      </c>
      <c r="CO20" s="8">
        <v>0</v>
      </c>
      <c r="CP20" s="8">
        <v>0</v>
      </c>
      <c r="CQ20" s="8">
        <v>0</v>
      </c>
      <c r="CR20" s="8">
        <v>0</v>
      </c>
      <c r="CS20" s="8">
        <v>0</v>
      </c>
      <c r="CT20" s="8">
        <v>0</v>
      </c>
      <c r="CU20" s="8">
        <v>0</v>
      </c>
      <c r="CV20" s="8">
        <v>0</v>
      </c>
      <c r="CW20" s="8">
        <v>0</v>
      </c>
      <c r="CX20" s="8">
        <v>0</v>
      </c>
      <c r="CY20" s="8">
        <v>0</v>
      </c>
      <c r="CZ20" s="8">
        <v>0</v>
      </c>
      <c r="DA20" s="8">
        <v>0</v>
      </c>
      <c r="DB20" t="str">
        <f>IFERROR(INDEX('Initiative Summary'!$C$5:$C$25,MATCH($A20,'Initiative Summary'!$A$5:$A$25,0)),"")</f>
        <v>Westmark Region</v>
      </c>
    </row>
    <row r="21" spans="1:106" ht="24" x14ac:dyDescent="0.25">
      <c r="A21" s="6" t="s">
        <v>664</v>
      </c>
      <c r="B21" s="10" t="s">
        <v>663</v>
      </c>
      <c r="C21" s="11" t="s">
        <v>248</v>
      </c>
      <c r="D21" s="11" t="s">
        <v>249</v>
      </c>
      <c r="E21" s="11" t="s">
        <v>250</v>
      </c>
      <c r="F21" s="20">
        <v>0.4</v>
      </c>
      <c r="G21" s="20">
        <v>2026</v>
      </c>
      <c r="H21" s="11" t="s">
        <v>251</v>
      </c>
      <c r="I21" s="20">
        <v>2026</v>
      </c>
      <c r="J21" s="11" t="s">
        <v>251</v>
      </c>
      <c r="K21" s="11"/>
      <c r="L21" s="20">
        <v>0</v>
      </c>
      <c r="M21" s="11"/>
      <c r="N21" s="11"/>
      <c r="O21" s="11"/>
      <c r="P21" s="11"/>
      <c r="Q21" s="11"/>
      <c r="R21" s="11" t="s">
        <v>250</v>
      </c>
      <c r="S21" s="10"/>
      <c r="T21" s="10"/>
      <c r="U21" s="11" t="s">
        <v>762</v>
      </c>
      <c r="V21" s="11" t="s">
        <v>218</v>
      </c>
      <c r="W21" s="20">
        <v>0</v>
      </c>
      <c r="X21" s="11" t="b">
        <v>0</v>
      </c>
      <c r="Y21" s="11" t="s">
        <v>253</v>
      </c>
      <c r="Z21" s="11" t="s">
        <v>254</v>
      </c>
      <c r="AA21" s="11" t="s">
        <v>255</v>
      </c>
      <c r="AB21" s="20">
        <v>0</v>
      </c>
      <c r="AC21" s="11">
        <v>0</v>
      </c>
      <c r="AD21" s="11">
        <v>0</v>
      </c>
      <c r="AE21" s="11">
        <v>0</v>
      </c>
      <c r="AF21" s="11">
        <v>0</v>
      </c>
      <c r="AG21" s="11">
        <v>0</v>
      </c>
      <c r="AH21" s="11">
        <v>0</v>
      </c>
      <c r="AI21" s="11">
        <v>0</v>
      </c>
      <c r="AJ21" s="11">
        <v>0</v>
      </c>
      <c r="AK21" s="11">
        <v>0</v>
      </c>
      <c r="AL21" s="20">
        <v>0</v>
      </c>
      <c r="AM21" s="20">
        <v>0</v>
      </c>
      <c r="AN21" s="20">
        <v>0</v>
      </c>
      <c r="AO21" s="20">
        <v>0</v>
      </c>
      <c r="AP21" s="11">
        <v>0</v>
      </c>
      <c r="AQ21" s="11">
        <v>0</v>
      </c>
      <c r="AR21" s="11">
        <v>0</v>
      </c>
      <c r="AS21" s="11">
        <v>0</v>
      </c>
      <c r="AT21" s="11">
        <v>0</v>
      </c>
      <c r="AU21" s="11">
        <v>0</v>
      </c>
      <c r="AV21" s="11">
        <v>0</v>
      </c>
      <c r="AW21" s="11">
        <v>0</v>
      </c>
      <c r="AX21" s="11">
        <v>0</v>
      </c>
      <c r="AY21" s="11">
        <v>0</v>
      </c>
      <c r="AZ21" s="11">
        <v>0</v>
      </c>
      <c r="BA21" s="11">
        <v>0</v>
      </c>
      <c r="BB21" s="11">
        <v>0</v>
      </c>
      <c r="BC21" s="11">
        <v>0</v>
      </c>
      <c r="BD21" s="11">
        <v>0</v>
      </c>
      <c r="BE21" s="11">
        <v>0</v>
      </c>
      <c r="BF21" s="11">
        <v>0</v>
      </c>
      <c r="BG21" s="11">
        <v>0</v>
      </c>
      <c r="BH21" s="11">
        <v>0</v>
      </c>
      <c r="BI21" s="11">
        <v>0</v>
      </c>
      <c r="BJ21" s="11">
        <v>0</v>
      </c>
      <c r="BK21" s="11">
        <v>0</v>
      </c>
      <c r="BL21" s="11">
        <v>0</v>
      </c>
      <c r="BM21" s="11">
        <v>0</v>
      </c>
      <c r="BN21" s="11">
        <v>0</v>
      </c>
      <c r="BO21" s="11">
        <v>0</v>
      </c>
      <c r="BP21" s="11">
        <v>0</v>
      </c>
      <c r="BQ21" s="11">
        <v>0</v>
      </c>
      <c r="BR21" s="11">
        <v>0</v>
      </c>
      <c r="BS21" s="11">
        <v>0</v>
      </c>
      <c r="BT21" s="11">
        <v>0</v>
      </c>
      <c r="BU21" s="11">
        <v>0</v>
      </c>
      <c r="BV21" s="11">
        <v>0</v>
      </c>
      <c r="BW21" s="11">
        <v>0</v>
      </c>
      <c r="BX21" s="11">
        <v>0</v>
      </c>
      <c r="BY21" s="11">
        <v>0</v>
      </c>
      <c r="BZ21" s="11">
        <v>0</v>
      </c>
      <c r="CA21" s="11">
        <v>0</v>
      </c>
      <c r="CB21" s="11">
        <v>0</v>
      </c>
      <c r="CC21" s="11">
        <v>0</v>
      </c>
      <c r="CD21" s="11">
        <v>0</v>
      </c>
      <c r="CE21" s="11">
        <v>0</v>
      </c>
      <c r="CF21" s="11">
        <v>0</v>
      </c>
      <c r="CG21" s="11">
        <v>0</v>
      </c>
      <c r="CH21" s="11">
        <v>0</v>
      </c>
      <c r="CI21" s="11">
        <v>0</v>
      </c>
      <c r="CJ21" s="11">
        <v>0</v>
      </c>
      <c r="CK21" s="11">
        <v>0</v>
      </c>
      <c r="CL21" s="11">
        <v>0</v>
      </c>
      <c r="CM21" s="11">
        <v>0</v>
      </c>
      <c r="CN21" s="11">
        <v>0</v>
      </c>
      <c r="CO21" s="11">
        <v>0</v>
      </c>
      <c r="CP21" s="11">
        <v>0</v>
      </c>
      <c r="CQ21" s="11">
        <v>0</v>
      </c>
      <c r="CR21" s="11">
        <v>0</v>
      </c>
      <c r="CS21" s="11">
        <v>0</v>
      </c>
      <c r="CT21" s="11">
        <v>0</v>
      </c>
      <c r="CU21" s="11">
        <v>0</v>
      </c>
      <c r="CV21" s="11">
        <v>0</v>
      </c>
      <c r="CW21" s="11">
        <v>0</v>
      </c>
      <c r="CX21" s="11">
        <v>0</v>
      </c>
      <c r="CY21" s="11">
        <v>0</v>
      </c>
      <c r="CZ21" s="11">
        <v>0</v>
      </c>
      <c r="DA21" s="11">
        <v>0</v>
      </c>
      <c r="DB21" t="str">
        <f>IFERROR(INDEX('Initiative Summary'!$C$5:$C$25,MATCH($A21,'Initiative Summary'!$A$5:$A$25,0)),"")</f>
        <v>Eastbridge Region</v>
      </c>
    </row>
    <row r="22" spans="1:106" ht="24" x14ac:dyDescent="0.25">
      <c r="A22" s="6" t="s">
        <v>664</v>
      </c>
      <c r="B22" s="7" t="s">
        <v>663</v>
      </c>
      <c r="C22" s="8" t="s">
        <v>248</v>
      </c>
      <c r="D22" s="8" t="s">
        <v>204</v>
      </c>
      <c r="E22" s="8" t="s">
        <v>256</v>
      </c>
      <c r="F22" s="8"/>
      <c r="G22" s="8"/>
      <c r="H22" s="8"/>
      <c r="I22" s="8"/>
      <c r="J22" s="8"/>
      <c r="K22" s="8"/>
      <c r="L22" s="21">
        <v>0</v>
      </c>
      <c r="M22" s="8"/>
      <c r="N22" s="8"/>
      <c r="O22" s="8"/>
      <c r="P22" s="8"/>
      <c r="Q22" s="8"/>
      <c r="R22" s="8" t="s">
        <v>250</v>
      </c>
      <c r="S22" s="7"/>
      <c r="T22" s="7"/>
      <c r="U22" s="8" t="s">
        <v>762</v>
      </c>
      <c r="V22" s="8" t="s">
        <v>218</v>
      </c>
      <c r="W22" s="21">
        <v>0</v>
      </c>
      <c r="X22" s="8" t="b">
        <v>0</v>
      </c>
      <c r="Y22" s="8" t="s">
        <v>253</v>
      </c>
      <c r="Z22" s="8" t="s">
        <v>254</v>
      </c>
      <c r="AA22" s="8" t="s">
        <v>255</v>
      </c>
      <c r="AB22" s="8">
        <v>0</v>
      </c>
      <c r="AC22" s="8">
        <v>0</v>
      </c>
      <c r="AD22" s="8">
        <v>0</v>
      </c>
      <c r="AE22" s="8">
        <v>0</v>
      </c>
      <c r="AF22" s="8">
        <v>0</v>
      </c>
      <c r="AG22" s="8">
        <v>0</v>
      </c>
      <c r="AH22" s="8">
        <v>0</v>
      </c>
      <c r="AI22" s="8">
        <v>0</v>
      </c>
      <c r="AJ22" s="8">
        <v>0</v>
      </c>
      <c r="AK22" s="8">
        <v>0</v>
      </c>
      <c r="AL22" s="8">
        <v>0</v>
      </c>
      <c r="AM22" s="8">
        <v>0</v>
      </c>
      <c r="AN22" s="8">
        <v>0</v>
      </c>
      <c r="AO22" s="8">
        <v>0</v>
      </c>
      <c r="AP22" s="8">
        <v>0</v>
      </c>
      <c r="AQ22" s="8">
        <v>0</v>
      </c>
      <c r="AR22" s="8">
        <v>0</v>
      </c>
      <c r="AS22" s="8">
        <v>0</v>
      </c>
      <c r="AT22" s="8">
        <v>0</v>
      </c>
      <c r="AU22" s="8">
        <v>0</v>
      </c>
      <c r="AV22" s="8">
        <v>0</v>
      </c>
      <c r="AW22" s="8">
        <v>0</v>
      </c>
      <c r="AX22" s="8">
        <v>0</v>
      </c>
      <c r="AY22" s="8">
        <v>0</v>
      </c>
      <c r="AZ22" s="8">
        <v>0</v>
      </c>
      <c r="BA22" s="8">
        <v>0</v>
      </c>
      <c r="BB22" s="8">
        <v>0</v>
      </c>
      <c r="BC22" s="8">
        <v>0</v>
      </c>
      <c r="BD22" s="8">
        <v>0</v>
      </c>
      <c r="BE22" s="8">
        <v>0</v>
      </c>
      <c r="BF22" s="8">
        <v>0</v>
      </c>
      <c r="BG22" s="8">
        <v>0</v>
      </c>
      <c r="BH22" s="8">
        <v>0</v>
      </c>
      <c r="BI22" s="8">
        <v>0</v>
      </c>
      <c r="BJ22" s="8">
        <v>0</v>
      </c>
      <c r="BK22" s="8">
        <v>0</v>
      </c>
      <c r="BL22" s="8">
        <v>0</v>
      </c>
      <c r="BM22" s="8">
        <v>0</v>
      </c>
      <c r="BN22" s="8">
        <v>0</v>
      </c>
      <c r="BO22" s="8">
        <v>0</v>
      </c>
      <c r="BP22" s="8">
        <v>0</v>
      </c>
      <c r="BQ22" s="8">
        <v>0</v>
      </c>
      <c r="BR22" s="8">
        <v>0</v>
      </c>
      <c r="BS22" s="8">
        <v>0</v>
      </c>
      <c r="BT22" s="8">
        <v>0</v>
      </c>
      <c r="BU22" s="8">
        <v>0</v>
      </c>
      <c r="BV22" s="8">
        <v>0</v>
      </c>
      <c r="BW22" s="8">
        <v>0</v>
      </c>
      <c r="BX22" s="8">
        <v>0</v>
      </c>
      <c r="BY22" s="8">
        <v>0</v>
      </c>
      <c r="BZ22" s="8">
        <v>0</v>
      </c>
      <c r="CA22" s="8">
        <v>0</v>
      </c>
      <c r="CB22" s="8">
        <v>0</v>
      </c>
      <c r="CC22" s="8">
        <v>0</v>
      </c>
      <c r="CD22" s="8">
        <v>0</v>
      </c>
      <c r="CE22" s="8">
        <v>0</v>
      </c>
      <c r="CF22" s="8">
        <v>0</v>
      </c>
      <c r="CG22" s="8">
        <v>0</v>
      </c>
      <c r="CH22" s="8">
        <v>0</v>
      </c>
      <c r="CI22" s="8">
        <v>0</v>
      </c>
      <c r="CJ22" s="8">
        <v>0</v>
      </c>
      <c r="CK22" s="8">
        <v>0</v>
      </c>
      <c r="CL22" s="8">
        <v>0</v>
      </c>
      <c r="CM22" s="8">
        <v>0</v>
      </c>
      <c r="CN22" s="8">
        <v>0</v>
      </c>
      <c r="CO22" s="8">
        <v>0</v>
      </c>
      <c r="CP22" s="8">
        <v>0</v>
      </c>
      <c r="CQ22" s="8">
        <v>0</v>
      </c>
      <c r="CR22" s="8">
        <v>0</v>
      </c>
      <c r="CS22" s="8">
        <v>0</v>
      </c>
      <c r="CT22" s="8">
        <v>0</v>
      </c>
      <c r="CU22" s="8">
        <v>0</v>
      </c>
      <c r="CV22" s="8">
        <v>0</v>
      </c>
      <c r="CW22" s="8">
        <v>0</v>
      </c>
      <c r="CX22" s="8">
        <v>0</v>
      </c>
      <c r="CY22" s="8">
        <v>0</v>
      </c>
      <c r="CZ22" s="8">
        <v>0</v>
      </c>
      <c r="DA22" s="8">
        <v>0</v>
      </c>
      <c r="DB22" t="str">
        <f>IFERROR(INDEX('Initiative Summary'!$C$5:$C$25,MATCH($A22,'Initiative Summary'!$A$5:$A$25,0)),"")</f>
        <v>Eastbridge Region</v>
      </c>
    </row>
    <row r="23" spans="1:106" ht="24" x14ac:dyDescent="0.25">
      <c r="A23" s="6" t="s">
        <v>664</v>
      </c>
      <c r="B23" s="10" t="s">
        <v>663</v>
      </c>
      <c r="C23" s="11" t="s">
        <v>257</v>
      </c>
      <c r="D23" s="11" t="s">
        <v>249</v>
      </c>
      <c r="E23" s="11" t="s">
        <v>250</v>
      </c>
      <c r="F23" s="20">
        <v>0.2</v>
      </c>
      <c r="G23" s="20">
        <v>2026</v>
      </c>
      <c r="H23" s="11" t="s">
        <v>258</v>
      </c>
      <c r="I23" s="20">
        <v>2026</v>
      </c>
      <c r="J23" s="11" t="s">
        <v>258</v>
      </c>
      <c r="K23" s="11"/>
      <c r="L23" s="20">
        <v>0</v>
      </c>
      <c r="M23" s="11"/>
      <c r="N23" s="11"/>
      <c r="O23" s="11"/>
      <c r="P23" s="11"/>
      <c r="Q23" s="11"/>
      <c r="R23" s="11" t="s">
        <v>250</v>
      </c>
      <c r="S23" s="10"/>
      <c r="T23" s="10"/>
      <c r="U23" s="11" t="s">
        <v>763</v>
      </c>
      <c r="V23" s="11" t="s">
        <v>218</v>
      </c>
      <c r="W23" s="20">
        <v>0</v>
      </c>
      <c r="X23" s="11" t="b">
        <v>0</v>
      </c>
      <c r="Y23" s="11" t="s">
        <v>253</v>
      </c>
      <c r="Z23" s="11" t="s">
        <v>260</v>
      </c>
      <c r="AA23" s="11" t="s">
        <v>255</v>
      </c>
      <c r="AB23" s="20">
        <v>0</v>
      </c>
      <c r="AC23" s="11">
        <v>0</v>
      </c>
      <c r="AD23" s="11">
        <v>0</v>
      </c>
      <c r="AE23" s="11">
        <v>0</v>
      </c>
      <c r="AF23" s="11">
        <v>0</v>
      </c>
      <c r="AG23" s="11">
        <v>0</v>
      </c>
      <c r="AH23" s="11">
        <v>0</v>
      </c>
      <c r="AI23" s="11">
        <v>0</v>
      </c>
      <c r="AJ23" s="11">
        <v>0</v>
      </c>
      <c r="AK23" s="11">
        <v>0</v>
      </c>
      <c r="AL23" s="20">
        <v>0</v>
      </c>
      <c r="AM23" s="20">
        <v>0</v>
      </c>
      <c r="AN23" s="20">
        <v>0</v>
      </c>
      <c r="AO23" s="20">
        <v>0</v>
      </c>
      <c r="AP23" s="20">
        <v>0</v>
      </c>
      <c r="AQ23" s="20">
        <v>0</v>
      </c>
      <c r="AR23" s="11">
        <v>0</v>
      </c>
      <c r="AS23" s="11">
        <v>0</v>
      </c>
      <c r="AT23" s="11">
        <v>0</v>
      </c>
      <c r="AU23" s="11">
        <v>0</v>
      </c>
      <c r="AV23" s="11">
        <v>0</v>
      </c>
      <c r="AW23" s="11">
        <v>0</v>
      </c>
      <c r="AX23" s="11">
        <v>0</v>
      </c>
      <c r="AY23" s="11">
        <v>0</v>
      </c>
      <c r="AZ23" s="11">
        <v>0</v>
      </c>
      <c r="BA23" s="11">
        <v>0</v>
      </c>
      <c r="BB23" s="11">
        <v>0</v>
      </c>
      <c r="BC23" s="11">
        <v>0</v>
      </c>
      <c r="BD23" s="11">
        <v>0</v>
      </c>
      <c r="BE23" s="11">
        <v>0</v>
      </c>
      <c r="BF23" s="11">
        <v>0</v>
      </c>
      <c r="BG23" s="11">
        <v>0</v>
      </c>
      <c r="BH23" s="11">
        <v>0</v>
      </c>
      <c r="BI23" s="11">
        <v>0</v>
      </c>
      <c r="BJ23" s="11">
        <v>0</v>
      </c>
      <c r="BK23" s="11">
        <v>0</v>
      </c>
      <c r="BL23" s="11">
        <v>0</v>
      </c>
      <c r="BM23" s="11">
        <v>0</v>
      </c>
      <c r="BN23" s="11">
        <v>0</v>
      </c>
      <c r="BO23" s="11">
        <v>0</v>
      </c>
      <c r="BP23" s="11">
        <v>0</v>
      </c>
      <c r="BQ23" s="11">
        <v>0</v>
      </c>
      <c r="BR23" s="11">
        <v>0</v>
      </c>
      <c r="BS23" s="11">
        <v>0</v>
      </c>
      <c r="BT23" s="11">
        <v>0</v>
      </c>
      <c r="BU23" s="11">
        <v>0</v>
      </c>
      <c r="BV23" s="11">
        <v>0</v>
      </c>
      <c r="BW23" s="11">
        <v>0</v>
      </c>
      <c r="BX23" s="11">
        <v>0</v>
      </c>
      <c r="BY23" s="11">
        <v>0</v>
      </c>
      <c r="BZ23" s="11">
        <v>0</v>
      </c>
      <c r="CA23" s="11">
        <v>0</v>
      </c>
      <c r="CB23" s="11">
        <v>0</v>
      </c>
      <c r="CC23" s="11">
        <v>0</v>
      </c>
      <c r="CD23" s="11">
        <v>0</v>
      </c>
      <c r="CE23" s="11">
        <v>0</v>
      </c>
      <c r="CF23" s="11">
        <v>0</v>
      </c>
      <c r="CG23" s="11">
        <v>0</v>
      </c>
      <c r="CH23" s="11">
        <v>0</v>
      </c>
      <c r="CI23" s="11">
        <v>0</v>
      </c>
      <c r="CJ23" s="11">
        <v>0</v>
      </c>
      <c r="CK23" s="11">
        <v>0</v>
      </c>
      <c r="CL23" s="11">
        <v>0</v>
      </c>
      <c r="CM23" s="11">
        <v>0</v>
      </c>
      <c r="CN23" s="11">
        <v>0</v>
      </c>
      <c r="CO23" s="11">
        <v>0</v>
      </c>
      <c r="CP23" s="11">
        <v>0</v>
      </c>
      <c r="CQ23" s="11">
        <v>0</v>
      </c>
      <c r="CR23" s="11">
        <v>0</v>
      </c>
      <c r="CS23" s="11">
        <v>0</v>
      </c>
      <c r="CT23" s="11">
        <v>0</v>
      </c>
      <c r="CU23" s="11">
        <v>0</v>
      </c>
      <c r="CV23" s="11">
        <v>0</v>
      </c>
      <c r="CW23" s="11">
        <v>0</v>
      </c>
      <c r="CX23" s="11">
        <v>0</v>
      </c>
      <c r="CY23" s="11">
        <v>0</v>
      </c>
      <c r="CZ23" s="11">
        <v>0</v>
      </c>
      <c r="DA23" s="11">
        <v>0</v>
      </c>
      <c r="DB23" t="str">
        <f>IFERROR(INDEX('Initiative Summary'!$C$5:$C$25,MATCH($A23,'Initiative Summary'!$A$5:$A$25,0)),"")</f>
        <v>Eastbridge Region</v>
      </c>
    </row>
    <row r="24" spans="1:106" ht="24" x14ac:dyDescent="0.25">
      <c r="A24" s="6" t="s">
        <v>664</v>
      </c>
      <c r="B24" s="7" t="s">
        <v>663</v>
      </c>
      <c r="C24" s="8" t="s">
        <v>257</v>
      </c>
      <c r="D24" s="8" t="s">
        <v>204</v>
      </c>
      <c r="E24" s="8" t="s">
        <v>256</v>
      </c>
      <c r="F24" s="8"/>
      <c r="G24" s="8"/>
      <c r="H24" s="8"/>
      <c r="I24" s="8"/>
      <c r="J24" s="8"/>
      <c r="K24" s="8"/>
      <c r="L24" s="21">
        <v>0</v>
      </c>
      <c r="M24" s="8"/>
      <c r="N24" s="8"/>
      <c r="O24" s="8"/>
      <c r="P24" s="8"/>
      <c r="Q24" s="8"/>
      <c r="R24" s="8" t="s">
        <v>250</v>
      </c>
      <c r="S24" s="7"/>
      <c r="T24" s="7"/>
      <c r="U24" s="8" t="s">
        <v>763</v>
      </c>
      <c r="V24" s="8" t="s">
        <v>218</v>
      </c>
      <c r="W24" s="21">
        <v>0</v>
      </c>
      <c r="X24" s="8" t="b">
        <v>0</v>
      </c>
      <c r="Y24" s="8" t="s">
        <v>253</v>
      </c>
      <c r="Z24" s="8" t="s">
        <v>260</v>
      </c>
      <c r="AA24" s="8" t="s">
        <v>255</v>
      </c>
      <c r="AB24" s="8">
        <v>0</v>
      </c>
      <c r="AC24" s="8">
        <v>0</v>
      </c>
      <c r="AD24" s="8">
        <v>0</v>
      </c>
      <c r="AE24" s="8">
        <v>0</v>
      </c>
      <c r="AF24" s="8">
        <v>0</v>
      </c>
      <c r="AG24" s="8">
        <v>0</v>
      </c>
      <c r="AH24" s="8">
        <v>0</v>
      </c>
      <c r="AI24" s="8">
        <v>0</v>
      </c>
      <c r="AJ24" s="8">
        <v>0</v>
      </c>
      <c r="AK24" s="8">
        <v>0</v>
      </c>
      <c r="AL24" s="8">
        <v>0</v>
      </c>
      <c r="AM24" s="8">
        <v>0</v>
      </c>
      <c r="AN24" s="8">
        <v>0</v>
      </c>
      <c r="AO24" s="8">
        <v>0</v>
      </c>
      <c r="AP24" s="8">
        <v>0</v>
      </c>
      <c r="AQ24" s="8">
        <v>0</v>
      </c>
      <c r="AR24" s="8">
        <v>0</v>
      </c>
      <c r="AS24" s="8">
        <v>0</v>
      </c>
      <c r="AT24" s="8">
        <v>0</v>
      </c>
      <c r="AU24" s="8">
        <v>0</v>
      </c>
      <c r="AV24" s="8">
        <v>0</v>
      </c>
      <c r="AW24" s="8">
        <v>0</v>
      </c>
      <c r="AX24" s="8">
        <v>0</v>
      </c>
      <c r="AY24" s="8">
        <v>0</v>
      </c>
      <c r="AZ24" s="8">
        <v>0</v>
      </c>
      <c r="BA24" s="8">
        <v>0</v>
      </c>
      <c r="BB24" s="8">
        <v>0</v>
      </c>
      <c r="BC24" s="8">
        <v>0</v>
      </c>
      <c r="BD24" s="8">
        <v>0</v>
      </c>
      <c r="BE24" s="8">
        <v>0</v>
      </c>
      <c r="BF24" s="8">
        <v>0</v>
      </c>
      <c r="BG24" s="8">
        <v>0</v>
      </c>
      <c r="BH24" s="8">
        <v>0</v>
      </c>
      <c r="BI24" s="8">
        <v>0</v>
      </c>
      <c r="BJ24" s="8">
        <v>0</v>
      </c>
      <c r="BK24" s="8">
        <v>0</v>
      </c>
      <c r="BL24" s="8">
        <v>0</v>
      </c>
      <c r="BM24" s="8">
        <v>0</v>
      </c>
      <c r="BN24" s="8">
        <v>0</v>
      </c>
      <c r="BO24" s="8">
        <v>0</v>
      </c>
      <c r="BP24" s="8">
        <v>0</v>
      </c>
      <c r="BQ24" s="8">
        <v>0</v>
      </c>
      <c r="BR24" s="8">
        <v>0</v>
      </c>
      <c r="BS24" s="8">
        <v>0</v>
      </c>
      <c r="BT24" s="8">
        <v>0</v>
      </c>
      <c r="BU24" s="8">
        <v>0</v>
      </c>
      <c r="BV24" s="8">
        <v>0</v>
      </c>
      <c r="BW24" s="8">
        <v>0</v>
      </c>
      <c r="BX24" s="8">
        <v>0</v>
      </c>
      <c r="BY24" s="8">
        <v>0</v>
      </c>
      <c r="BZ24" s="8">
        <v>0</v>
      </c>
      <c r="CA24" s="8">
        <v>0</v>
      </c>
      <c r="CB24" s="8">
        <v>0</v>
      </c>
      <c r="CC24" s="8">
        <v>0</v>
      </c>
      <c r="CD24" s="8">
        <v>0</v>
      </c>
      <c r="CE24" s="8">
        <v>0</v>
      </c>
      <c r="CF24" s="8">
        <v>0</v>
      </c>
      <c r="CG24" s="8">
        <v>0</v>
      </c>
      <c r="CH24" s="8">
        <v>0</v>
      </c>
      <c r="CI24" s="8">
        <v>0</v>
      </c>
      <c r="CJ24" s="8">
        <v>0</v>
      </c>
      <c r="CK24" s="8">
        <v>0</v>
      </c>
      <c r="CL24" s="8">
        <v>0</v>
      </c>
      <c r="CM24" s="8">
        <v>0</v>
      </c>
      <c r="CN24" s="8">
        <v>0</v>
      </c>
      <c r="CO24" s="8">
        <v>0</v>
      </c>
      <c r="CP24" s="8">
        <v>0</v>
      </c>
      <c r="CQ24" s="8">
        <v>0</v>
      </c>
      <c r="CR24" s="8">
        <v>0</v>
      </c>
      <c r="CS24" s="8">
        <v>0</v>
      </c>
      <c r="CT24" s="8">
        <v>0</v>
      </c>
      <c r="CU24" s="8">
        <v>0</v>
      </c>
      <c r="CV24" s="8">
        <v>0</v>
      </c>
      <c r="CW24" s="8">
        <v>0</v>
      </c>
      <c r="CX24" s="8">
        <v>0</v>
      </c>
      <c r="CY24" s="8">
        <v>0</v>
      </c>
      <c r="CZ24" s="8">
        <v>0</v>
      </c>
      <c r="DA24" s="8">
        <v>0</v>
      </c>
      <c r="DB24" t="str">
        <f>IFERROR(INDEX('Initiative Summary'!$C$5:$C$25,MATCH($A24,'Initiative Summary'!$A$5:$A$25,0)),"")</f>
        <v>Eastbridge Region</v>
      </c>
    </row>
    <row r="25" spans="1:106" ht="24" x14ac:dyDescent="0.25">
      <c r="A25" s="6" t="s">
        <v>664</v>
      </c>
      <c r="B25" s="10" t="s">
        <v>663</v>
      </c>
      <c r="C25" s="11" t="s">
        <v>261</v>
      </c>
      <c r="D25" s="11" t="s">
        <v>249</v>
      </c>
      <c r="E25" s="11" t="s">
        <v>256</v>
      </c>
      <c r="F25" s="11"/>
      <c r="G25" s="11"/>
      <c r="H25" s="11"/>
      <c r="I25" s="11"/>
      <c r="J25" s="11"/>
      <c r="K25" s="11"/>
      <c r="L25" s="20">
        <v>0</v>
      </c>
      <c r="M25" s="11"/>
      <c r="N25" s="11"/>
      <c r="O25" s="11"/>
      <c r="P25" s="11"/>
      <c r="Q25" s="11"/>
      <c r="R25" s="11" t="s">
        <v>215</v>
      </c>
      <c r="S25" s="10"/>
      <c r="T25" s="10"/>
      <c r="U25" s="11" t="s">
        <v>764</v>
      </c>
      <c r="V25" s="11" t="s">
        <v>218</v>
      </c>
      <c r="W25" s="20">
        <v>0</v>
      </c>
      <c r="X25" s="11" t="b">
        <v>0</v>
      </c>
      <c r="Y25" s="11" t="s">
        <v>263</v>
      </c>
      <c r="Z25" s="11" t="s">
        <v>264</v>
      </c>
      <c r="AA25" s="11" t="s">
        <v>264</v>
      </c>
      <c r="AB25" s="20">
        <v>0</v>
      </c>
      <c r="AC25" s="20">
        <v>6.6000000000000003E-2</v>
      </c>
      <c r="AD25" s="20">
        <v>6.6000000000000003E-2</v>
      </c>
      <c r="AE25" s="20">
        <v>6.6000000000000003E-2</v>
      </c>
      <c r="AF25" s="20">
        <v>6.6000000000000003E-2</v>
      </c>
      <c r="AG25" s="11">
        <v>0</v>
      </c>
      <c r="AH25" s="11">
        <v>0</v>
      </c>
      <c r="AI25" s="11">
        <v>0</v>
      </c>
      <c r="AJ25" s="11">
        <v>0</v>
      </c>
      <c r="AK25" s="11">
        <v>0</v>
      </c>
      <c r="AL25" s="11">
        <v>0</v>
      </c>
      <c r="AM25" s="11">
        <v>0</v>
      </c>
      <c r="AN25" s="11">
        <v>0</v>
      </c>
      <c r="AO25" s="11">
        <v>0</v>
      </c>
      <c r="AP25" s="11">
        <v>0</v>
      </c>
      <c r="AQ25" s="11">
        <v>0</v>
      </c>
      <c r="AR25" s="20">
        <v>0</v>
      </c>
      <c r="AS25" s="20">
        <v>0</v>
      </c>
      <c r="AT25" s="20">
        <v>0</v>
      </c>
      <c r="AU25" s="20">
        <v>0</v>
      </c>
      <c r="AV25" s="20">
        <v>7.3333333333333341E-3</v>
      </c>
      <c r="AW25" s="20">
        <v>7.3333333333333341E-3</v>
      </c>
      <c r="AX25" s="20">
        <v>7.3333333333333341E-3</v>
      </c>
      <c r="AY25" s="20">
        <v>7.3333333333333341E-3</v>
      </c>
      <c r="AZ25" s="20">
        <v>7.3333333333333341E-3</v>
      </c>
      <c r="BA25" s="20">
        <v>7.3333333333333341E-3</v>
      </c>
      <c r="BB25" s="20">
        <v>7.3333333333333341E-3</v>
      </c>
      <c r="BC25" s="20">
        <v>7.3333333333333341E-3</v>
      </c>
      <c r="BD25" s="20">
        <v>7.3333333333333341E-3</v>
      </c>
      <c r="BE25" s="20">
        <v>5.5000000000000005E-3</v>
      </c>
      <c r="BF25" s="20">
        <v>5.5000000000000005E-3</v>
      </c>
      <c r="BG25" s="20">
        <v>5.5000000000000005E-3</v>
      </c>
      <c r="BH25" s="20">
        <v>5.5000000000000005E-3</v>
      </c>
      <c r="BI25" s="20">
        <v>5.5000000000000005E-3</v>
      </c>
      <c r="BJ25" s="20">
        <v>5.5000000000000005E-3</v>
      </c>
      <c r="BK25" s="20">
        <v>5.5000000000000005E-3</v>
      </c>
      <c r="BL25" s="20">
        <v>5.5000000000000005E-3</v>
      </c>
      <c r="BM25" s="20">
        <v>5.5000000000000005E-3</v>
      </c>
      <c r="BN25" s="20">
        <v>5.5000000000000005E-3</v>
      </c>
      <c r="BO25" s="20">
        <v>5.5000000000000005E-3</v>
      </c>
      <c r="BP25" s="20">
        <v>5.5000000000000005E-3</v>
      </c>
      <c r="BQ25" s="20">
        <v>5.5000000000000005E-3</v>
      </c>
      <c r="BR25" s="20">
        <v>5.5000000000000005E-3</v>
      </c>
      <c r="BS25" s="20">
        <v>5.5000000000000005E-3</v>
      </c>
      <c r="BT25" s="20">
        <v>5.5000000000000005E-3</v>
      </c>
      <c r="BU25" s="20">
        <v>5.5000000000000005E-3</v>
      </c>
      <c r="BV25" s="20">
        <v>5.5000000000000005E-3</v>
      </c>
      <c r="BW25" s="20">
        <v>5.5000000000000005E-3</v>
      </c>
      <c r="BX25" s="20">
        <v>5.5000000000000005E-3</v>
      </c>
      <c r="BY25" s="20">
        <v>5.5000000000000005E-3</v>
      </c>
      <c r="BZ25" s="20">
        <v>5.5000000000000005E-3</v>
      </c>
      <c r="CA25" s="20">
        <v>5.5000000000000005E-3</v>
      </c>
      <c r="CB25" s="20">
        <v>5.5000000000000005E-3</v>
      </c>
      <c r="CC25" s="20">
        <v>5.5000000000000005E-3</v>
      </c>
      <c r="CD25" s="20">
        <v>5.5000000000000005E-3</v>
      </c>
      <c r="CE25" s="20">
        <v>5.5000000000000005E-3</v>
      </c>
      <c r="CF25" s="20">
        <v>5.5000000000000005E-3</v>
      </c>
      <c r="CG25" s="20">
        <v>5.5000000000000005E-3</v>
      </c>
      <c r="CH25" s="20">
        <v>5.5000000000000005E-3</v>
      </c>
      <c r="CI25" s="20">
        <v>5.5000000000000005E-3</v>
      </c>
      <c r="CJ25" s="20">
        <v>5.5000000000000005E-3</v>
      </c>
      <c r="CK25" s="20">
        <v>5.5000000000000005E-3</v>
      </c>
      <c r="CL25" s="20">
        <v>5.5000000000000005E-3</v>
      </c>
      <c r="CM25" s="20">
        <v>5.5000000000000005E-3</v>
      </c>
      <c r="CN25" s="20">
        <v>5.5000000000000005E-3</v>
      </c>
      <c r="CO25" s="11">
        <v>6.6000000000000003E-2</v>
      </c>
      <c r="CP25" s="11">
        <v>5.5000000000000005E-3</v>
      </c>
      <c r="CQ25" s="11">
        <v>5.5000000000000005E-3</v>
      </c>
      <c r="CR25" s="11">
        <v>5.5000000000000005E-3</v>
      </c>
      <c r="CS25" s="11">
        <v>5.5000000000000005E-3</v>
      </c>
      <c r="CT25" s="11">
        <v>5.5000000000000005E-3</v>
      </c>
      <c r="CU25" s="11">
        <v>5.5000000000000005E-3</v>
      </c>
      <c r="CV25" s="11">
        <v>5.5000000000000005E-3</v>
      </c>
      <c r="CW25" s="11">
        <v>5.5000000000000005E-3</v>
      </c>
      <c r="CX25" s="11">
        <v>5.5000000000000005E-3</v>
      </c>
      <c r="CY25" s="11">
        <v>5.5000000000000005E-3</v>
      </c>
      <c r="CZ25" s="11">
        <v>5.5000000000000005E-3</v>
      </c>
      <c r="DA25" s="11">
        <v>5.5000000000000005E-3</v>
      </c>
      <c r="DB25" t="str">
        <f>IFERROR(INDEX('Initiative Summary'!$C$5:$C$25,MATCH($A25,'Initiative Summary'!$A$5:$A$25,0)),"")</f>
        <v>Eastbridge Region</v>
      </c>
    </row>
    <row r="26" spans="1:106" ht="24" x14ac:dyDescent="0.25">
      <c r="A26" s="6" t="s">
        <v>664</v>
      </c>
      <c r="B26" s="7" t="s">
        <v>663</v>
      </c>
      <c r="C26" s="8" t="s">
        <v>261</v>
      </c>
      <c r="D26" s="8" t="s">
        <v>204</v>
      </c>
      <c r="E26" s="8" t="s">
        <v>256</v>
      </c>
      <c r="F26" s="8"/>
      <c r="G26" s="8"/>
      <c r="H26" s="8"/>
      <c r="I26" s="8"/>
      <c r="J26" s="8"/>
      <c r="K26" s="8"/>
      <c r="L26" s="21">
        <v>0</v>
      </c>
      <c r="M26" s="8"/>
      <c r="N26" s="8"/>
      <c r="O26" s="8"/>
      <c r="P26" s="8"/>
      <c r="Q26" s="8"/>
      <c r="R26" s="8" t="s">
        <v>215</v>
      </c>
      <c r="S26" s="7"/>
      <c r="T26" s="7"/>
      <c r="U26" s="8" t="s">
        <v>764</v>
      </c>
      <c r="V26" s="8" t="s">
        <v>218</v>
      </c>
      <c r="W26" s="21">
        <v>0</v>
      </c>
      <c r="X26" s="8" t="b">
        <v>0</v>
      </c>
      <c r="Y26" s="8" t="s">
        <v>263</v>
      </c>
      <c r="Z26" s="8" t="s">
        <v>264</v>
      </c>
      <c r="AA26" s="8" t="s">
        <v>264</v>
      </c>
      <c r="AB26" s="8">
        <v>0</v>
      </c>
      <c r="AC26" s="8">
        <v>0</v>
      </c>
      <c r="AD26" s="8">
        <v>0</v>
      </c>
      <c r="AE26" s="8">
        <v>0</v>
      </c>
      <c r="AF26" s="8">
        <v>0</v>
      </c>
      <c r="AG26" s="8">
        <v>0</v>
      </c>
      <c r="AH26" s="8">
        <v>0</v>
      </c>
      <c r="AI26" s="8">
        <v>0</v>
      </c>
      <c r="AJ26" s="8">
        <v>0</v>
      </c>
      <c r="AK26" s="8">
        <v>0</v>
      </c>
      <c r="AL26" s="8">
        <v>0</v>
      </c>
      <c r="AM26" s="8">
        <v>0</v>
      </c>
      <c r="AN26" s="8">
        <v>0</v>
      </c>
      <c r="AO26" s="8">
        <v>0</v>
      </c>
      <c r="AP26" s="8">
        <v>0</v>
      </c>
      <c r="AQ26" s="8">
        <v>0</v>
      </c>
      <c r="AR26" s="8">
        <v>0</v>
      </c>
      <c r="AS26" s="8">
        <v>0</v>
      </c>
      <c r="AT26" s="8">
        <v>0</v>
      </c>
      <c r="AU26" s="8">
        <v>0</v>
      </c>
      <c r="AV26" s="8">
        <v>0</v>
      </c>
      <c r="AW26" s="8">
        <v>0</v>
      </c>
      <c r="AX26" s="8">
        <v>0</v>
      </c>
      <c r="AY26" s="8">
        <v>0</v>
      </c>
      <c r="AZ26" s="8">
        <v>0</v>
      </c>
      <c r="BA26" s="8">
        <v>0</v>
      </c>
      <c r="BB26" s="8">
        <v>0</v>
      </c>
      <c r="BC26" s="8">
        <v>0</v>
      </c>
      <c r="BD26" s="8">
        <v>0</v>
      </c>
      <c r="BE26" s="8">
        <v>0</v>
      </c>
      <c r="BF26" s="8">
        <v>0</v>
      </c>
      <c r="BG26" s="8">
        <v>0</v>
      </c>
      <c r="BH26" s="8">
        <v>0</v>
      </c>
      <c r="BI26" s="8">
        <v>0</v>
      </c>
      <c r="BJ26" s="8">
        <v>0</v>
      </c>
      <c r="BK26" s="8">
        <v>0</v>
      </c>
      <c r="BL26" s="8">
        <v>0</v>
      </c>
      <c r="BM26" s="8">
        <v>0</v>
      </c>
      <c r="BN26" s="8">
        <v>0</v>
      </c>
      <c r="BO26" s="8">
        <v>0</v>
      </c>
      <c r="BP26" s="8">
        <v>0</v>
      </c>
      <c r="BQ26" s="8">
        <v>0</v>
      </c>
      <c r="BR26" s="8">
        <v>0</v>
      </c>
      <c r="BS26" s="8">
        <v>0</v>
      </c>
      <c r="BT26" s="8">
        <v>0</v>
      </c>
      <c r="BU26" s="8">
        <v>0</v>
      </c>
      <c r="BV26" s="8">
        <v>0</v>
      </c>
      <c r="BW26" s="8">
        <v>0</v>
      </c>
      <c r="BX26" s="8">
        <v>0</v>
      </c>
      <c r="BY26" s="8">
        <v>0</v>
      </c>
      <c r="BZ26" s="8">
        <v>0</v>
      </c>
      <c r="CA26" s="8">
        <v>0</v>
      </c>
      <c r="CB26" s="8">
        <v>0</v>
      </c>
      <c r="CC26" s="8">
        <v>0</v>
      </c>
      <c r="CD26" s="8">
        <v>0</v>
      </c>
      <c r="CE26" s="8">
        <v>0</v>
      </c>
      <c r="CF26" s="8">
        <v>0</v>
      </c>
      <c r="CG26" s="8">
        <v>0</v>
      </c>
      <c r="CH26" s="8">
        <v>0</v>
      </c>
      <c r="CI26" s="8">
        <v>0</v>
      </c>
      <c r="CJ26" s="8">
        <v>0</v>
      </c>
      <c r="CK26" s="8">
        <v>0</v>
      </c>
      <c r="CL26" s="8">
        <v>0</v>
      </c>
      <c r="CM26" s="8">
        <v>0</v>
      </c>
      <c r="CN26" s="8">
        <v>0</v>
      </c>
      <c r="CO26" s="8">
        <v>0</v>
      </c>
      <c r="CP26" s="8">
        <v>0</v>
      </c>
      <c r="CQ26" s="8">
        <v>0</v>
      </c>
      <c r="CR26" s="8">
        <v>0</v>
      </c>
      <c r="CS26" s="8">
        <v>0</v>
      </c>
      <c r="CT26" s="8">
        <v>0</v>
      </c>
      <c r="CU26" s="8">
        <v>0</v>
      </c>
      <c r="CV26" s="8">
        <v>0</v>
      </c>
      <c r="CW26" s="8">
        <v>0</v>
      </c>
      <c r="CX26" s="8">
        <v>0</v>
      </c>
      <c r="CY26" s="8">
        <v>0</v>
      </c>
      <c r="CZ26" s="8">
        <v>0</v>
      </c>
      <c r="DA26" s="8">
        <v>0</v>
      </c>
      <c r="DB26" t="str">
        <f>IFERROR(INDEX('Initiative Summary'!$C$5:$C$25,MATCH($A26,'Initiative Summary'!$A$5:$A$25,0)),"")</f>
        <v>Eastbridge Region</v>
      </c>
    </row>
    <row r="27" spans="1:106" ht="24" x14ac:dyDescent="0.25">
      <c r="A27" s="6" t="s">
        <v>668</v>
      </c>
      <c r="B27" s="10" t="s">
        <v>667</v>
      </c>
      <c r="C27" s="11" t="s">
        <v>257</v>
      </c>
      <c r="D27" s="11" t="s">
        <v>249</v>
      </c>
      <c r="E27" s="11" t="s">
        <v>250</v>
      </c>
      <c r="F27" s="20">
        <v>0</v>
      </c>
      <c r="G27" s="11"/>
      <c r="H27" s="11"/>
      <c r="I27" s="11"/>
      <c r="J27" s="11"/>
      <c r="K27" s="11"/>
      <c r="L27" s="20">
        <v>0</v>
      </c>
      <c r="M27" s="11"/>
      <c r="N27" s="11"/>
      <c r="O27" s="11"/>
      <c r="P27" s="11"/>
      <c r="Q27" s="11"/>
      <c r="R27" s="11" t="s">
        <v>250</v>
      </c>
      <c r="S27" s="10"/>
      <c r="T27" s="10"/>
      <c r="U27" s="11" t="s">
        <v>765</v>
      </c>
      <c r="V27" s="11" t="s">
        <v>218</v>
      </c>
      <c r="W27" s="20">
        <v>0</v>
      </c>
      <c r="X27" s="11" t="b">
        <v>0</v>
      </c>
      <c r="Y27" s="11" t="s">
        <v>253</v>
      </c>
      <c r="Z27" s="11" t="s">
        <v>274</v>
      </c>
      <c r="AA27" s="11" t="s">
        <v>255</v>
      </c>
      <c r="AB27" s="20">
        <v>0</v>
      </c>
      <c r="AC27" s="20">
        <v>0</v>
      </c>
      <c r="AD27" s="11">
        <v>0</v>
      </c>
      <c r="AE27" s="11">
        <v>0</v>
      </c>
      <c r="AF27" s="11">
        <v>0</v>
      </c>
      <c r="AG27" s="11">
        <v>0</v>
      </c>
      <c r="AH27" s="11">
        <v>0</v>
      </c>
      <c r="AI27" s="11">
        <v>0</v>
      </c>
      <c r="AJ27" s="11">
        <v>0</v>
      </c>
      <c r="AK27" s="11">
        <v>0</v>
      </c>
      <c r="AL27" s="11">
        <v>0</v>
      </c>
      <c r="AM27" s="11">
        <v>0</v>
      </c>
      <c r="AN27" s="20">
        <v>0</v>
      </c>
      <c r="AO27" s="20">
        <v>0</v>
      </c>
      <c r="AP27" s="20">
        <v>0</v>
      </c>
      <c r="AQ27" s="20">
        <v>0</v>
      </c>
      <c r="AR27" s="20">
        <v>0</v>
      </c>
      <c r="AS27" s="20">
        <v>0</v>
      </c>
      <c r="AT27" s="20">
        <v>0</v>
      </c>
      <c r="AU27" s="20">
        <v>0</v>
      </c>
      <c r="AV27" s="20">
        <v>0</v>
      </c>
      <c r="AW27" s="20">
        <v>0</v>
      </c>
      <c r="AX27" s="20">
        <v>0</v>
      </c>
      <c r="AY27" s="20">
        <v>0</v>
      </c>
      <c r="AZ27" s="20">
        <v>0</v>
      </c>
      <c r="BA27" s="20">
        <v>0</v>
      </c>
      <c r="BB27" s="20">
        <v>0</v>
      </c>
      <c r="BC27" s="20">
        <v>0</v>
      </c>
      <c r="BD27" s="20">
        <v>0</v>
      </c>
      <c r="BE27" s="11">
        <v>0</v>
      </c>
      <c r="BF27" s="11">
        <v>0</v>
      </c>
      <c r="BG27" s="11">
        <v>0</v>
      </c>
      <c r="BH27" s="11">
        <v>0</v>
      </c>
      <c r="BI27" s="11">
        <v>0</v>
      </c>
      <c r="BJ27" s="11">
        <v>0</v>
      </c>
      <c r="BK27" s="11">
        <v>0</v>
      </c>
      <c r="BL27" s="11">
        <v>0</v>
      </c>
      <c r="BM27" s="11">
        <v>0</v>
      </c>
      <c r="BN27" s="11">
        <v>0</v>
      </c>
      <c r="BO27" s="11">
        <v>0</v>
      </c>
      <c r="BP27" s="11">
        <v>0</v>
      </c>
      <c r="BQ27" s="11">
        <v>0</v>
      </c>
      <c r="BR27" s="11">
        <v>0</v>
      </c>
      <c r="BS27" s="11">
        <v>0</v>
      </c>
      <c r="BT27" s="11">
        <v>0</v>
      </c>
      <c r="BU27" s="11">
        <v>0</v>
      </c>
      <c r="BV27" s="11">
        <v>0</v>
      </c>
      <c r="BW27" s="11">
        <v>0</v>
      </c>
      <c r="BX27" s="11">
        <v>0</v>
      </c>
      <c r="BY27" s="11">
        <v>0</v>
      </c>
      <c r="BZ27" s="11">
        <v>0</v>
      </c>
      <c r="CA27" s="11">
        <v>0</v>
      </c>
      <c r="CB27" s="11">
        <v>0</v>
      </c>
      <c r="CC27" s="11">
        <v>0</v>
      </c>
      <c r="CD27" s="11">
        <v>0</v>
      </c>
      <c r="CE27" s="11">
        <v>0</v>
      </c>
      <c r="CF27" s="11">
        <v>0</v>
      </c>
      <c r="CG27" s="11">
        <v>0</v>
      </c>
      <c r="CH27" s="11">
        <v>0</v>
      </c>
      <c r="CI27" s="11">
        <v>0</v>
      </c>
      <c r="CJ27" s="11">
        <v>0</v>
      </c>
      <c r="CK27" s="11">
        <v>0</v>
      </c>
      <c r="CL27" s="11">
        <v>0</v>
      </c>
      <c r="CM27" s="11">
        <v>0</v>
      </c>
      <c r="CN27" s="11">
        <v>0</v>
      </c>
      <c r="CO27" s="11">
        <v>0</v>
      </c>
      <c r="CP27" s="11">
        <v>0</v>
      </c>
      <c r="CQ27" s="11">
        <v>0</v>
      </c>
      <c r="CR27" s="11">
        <v>0</v>
      </c>
      <c r="CS27" s="11">
        <v>0</v>
      </c>
      <c r="CT27" s="11">
        <v>0</v>
      </c>
      <c r="CU27" s="11">
        <v>0</v>
      </c>
      <c r="CV27" s="11">
        <v>0</v>
      </c>
      <c r="CW27" s="11">
        <v>0</v>
      </c>
      <c r="CX27" s="11">
        <v>0</v>
      </c>
      <c r="CY27" s="11">
        <v>0</v>
      </c>
      <c r="CZ27" s="11">
        <v>0</v>
      </c>
      <c r="DA27" s="11">
        <v>0</v>
      </c>
      <c r="DB27" t="str">
        <f>IFERROR(INDEX('Initiative Summary'!$C$5:$C$25,MATCH($A27,'Initiative Summary'!$A$5:$A$25,0)),"")</f>
        <v>Eastbridge Region</v>
      </c>
    </row>
    <row r="28" spans="1:106" ht="24" x14ac:dyDescent="0.25">
      <c r="A28" s="6" t="s">
        <v>668</v>
      </c>
      <c r="B28" s="7" t="s">
        <v>667</v>
      </c>
      <c r="C28" s="8" t="s">
        <v>257</v>
      </c>
      <c r="D28" s="8" t="s">
        <v>204</v>
      </c>
      <c r="E28" s="8" t="s">
        <v>256</v>
      </c>
      <c r="F28" s="8"/>
      <c r="G28" s="8"/>
      <c r="H28" s="8"/>
      <c r="I28" s="8"/>
      <c r="J28" s="8"/>
      <c r="K28" s="8"/>
      <c r="L28" s="21">
        <v>0</v>
      </c>
      <c r="M28" s="8"/>
      <c r="N28" s="8"/>
      <c r="O28" s="8"/>
      <c r="P28" s="8"/>
      <c r="Q28" s="8"/>
      <c r="R28" s="8" t="s">
        <v>250</v>
      </c>
      <c r="S28" s="7"/>
      <c r="T28" s="7"/>
      <c r="U28" s="8" t="s">
        <v>765</v>
      </c>
      <c r="V28" s="8" t="s">
        <v>218</v>
      </c>
      <c r="W28" s="21">
        <v>0</v>
      </c>
      <c r="X28" s="8" t="b">
        <v>0</v>
      </c>
      <c r="Y28" s="8" t="s">
        <v>253</v>
      </c>
      <c r="Z28" s="8" t="s">
        <v>274</v>
      </c>
      <c r="AA28" s="8" t="s">
        <v>255</v>
      </c>
      <c r="AB28" s="8">
        <v>0</v>
      </c>
      <c r="AC28" s="8">
        <v>0</v>
      </c>
      <c r="AD28" s="8">
        <v>0</v>
      </c>
      <c r="AE28" s="8">
        <v>0</v>
      </c>
      <c r="AF28" s="8">
        <v>0</v>
      </c>
      <c r="AG28" s="8">
        <v>0</v>
      </c>
      <c r="AH28" s="8">
        <v>0</v>
      </c>
      <c r="AI28" s="8">
        <v>0</v>
      </c>
      <c r="AJ28" s="8">
        <v>0</v>
      </c>
      <c r="AK28" s="8">
        <v>0</v>
      </c>
      <c r="AL28" s="8">
        <v>0</v>
      </c>
      <c r="AM28" s="8">
        <v>0</v>
      </c>
      <c r="AN28" s="8">
        <v>0</v>
      </c>
      <c r="AO28" s="8">
        <v>0</v>
      </c>
      <c r="AP28" s="8">
        <v>0</v>
      </c>
      <c r="AQ28" s="8">
        <v>0</v>
      </c>
      <c r="AR28" s="8">
        <v>0</v>
      </c>
      <c r="AS28" s="8">
        <v>0</v>
      </c>
      <c r="AT28" s="8">
        <v>0</v>
      </c>
      <c r="AU28" s="8">
        <v>0</v>
      </c>
      <c r="AV28" s="8">
        <v>0</v>
      </c>
      <c r="AW28" s="8">
        <v>0</v>
      </c>
      <c r="AX28" s="8">
        <v>0</v>
      </c>
      <c r="AY28" s="8">
        <v>0</v>
      </c>
      <c r="AZ28" s="8">
        <v>0</v>
      </c>
      <c r="BA28" s="8">
        <v>0</v>
      </c>
      <c r="BB28" s="8">
        <v>0</v>
      </c>
      <c r="BC28" s="8">
        <v>0</v>
      </c>
      <c r="BD28" s="8">
        <v>0</v>
      </c>
      <c r="BE28" s="8">
        <v>0</v>
      </c>
      <c r="BF28" s="8">
        <v>0</v>
      </c>
      <c r="BG28" s="8">
        <v>0</v>
      </c>
      <c r="BH28" s="8">
        <v>0</v>
      </c>
      <c r="BI28" s="8">
        <v>0</v>
      </c>
      <c r="BJ28" s="8">
        <v>0</v>
      </c>
      <c r="BK28" s="8">
        <v>0</v>
      </c>
      <c r="BL28" s="8">
        <v>0</v>
      </c>
      <c r="BM28" s="8">
        <v>0</v>
      </c>
      <c r="BN28" s="8">
        <v>0</v>
      </c>
      <c r="BO28" s="8">
        <v>0</v>
      </c>
      <c r="BP28" s="8">
        <v>0</v>
      </c>
      <c r="BQ28" s="8">
        <v>0</v>
      </c>
      <c r="BR28" s="8">
        <v>0</v>
      </c>
      <c r="BS28" s="8">
        <v>0</v>
      </c>
      <c r="BT28" s="8">
        <v>0</v>
      </c>
      <c r="BU28" s="8">
        <v>0</v>
      </c>
      <c r="BV28" s="8">
        <v>0</v>
      </c>
      <c r="BW28" s="8">
        <v>0</v>
      </c>
      <c r="BX28" s="8">
        <v>0</v>
      </c>
      <c r="BY28" s="8">
        <v>0</v>
      </c>
      <c r="BZ28" s="8">
        <v>0</v>
      </c>
      <c r="CA28" s="8">
        <v>0</v>
      </c>
      <c r="CB28" s="8">
        <v>0</v>
      </c>
      <c r="CC28" s="8">
        <v>0</v>
      </c>
      <c r="CD28" s="8">
        <v>0</v>
      </c>
      <c r="CE28" s="8">
        <v>0</v>
      </c>
      <c r="CF28" s="8">
        <v>0</v>
      </c>
      <c r="CG28" s="8">
        <v>0</v>
      </c>
      <c r="CH28" s="8">
        <v>0</v>
      </c>
      <c r="CI28" s="8">
        <v>0</v>
      </c>
      <c r="CJ28" s="8">
        <v>0</v>
      </c>
      <c r="CK28" s="8">
        <v>0</v>
      </c>
      <c r="CL28" s="8">
        <v>0</v>
      </c>
      <c r="CM28" s="8">
        <v>0</v>
      </c>
      <c r="CN28" s="8">
        <v>0</v>
      </c>
      <c r="CO28" s="8">
        <v>0</v>
      </c>
      <c r="CP28" s="8">
        <v>0</v>
      </c>
      <c r="CQ28" s="8">
        <v>0</v>
      </c>
      <c r="CR28" s="8">
        <v>0</v>
      </c>
      <c r="CS28" s="8">
        <v>0</v>
      </c>
      <c r="CT28" s="8">
        <v>0</v>
      </c>
      <c r="CU28" s="8">
        <v>0</v>
      </c>
      <c r="CV28" s="8">
        <v>0</v>
      </c>
      <c r="CW28" s="8">
        <v>0</v>
      </c>
      <c r="CX28" s="8">
        <v>0</v>
      </c>
      <c r="CY28" s="8">
        <v>0</v>
      </c>
      <c r="CZ28" s="8">
        <v>0</v>
      </c>
      <c r="DA28" s="8">
        <v>0</v>
      </c>
      <c r="DB28" t="str">
        <f>IFERROR(INDEX('Initiative Summary'!$C$5:$C$25,MATCH($A28,'Initiative Summary'!$A$5:$A$25,0)),"")</f>
        <v>Eastbridge Region</v>
      </c>
    </row>
    <row r="29" spans="1:106" ht="24" x14ac:dyDescent="0.25">
      <c r="A29" s="6" t="s">
        <v>668</v>
      </c>
      <c r="B29" s="10" t="s">
        <v>667</v>
      </c>
      <c r="C29" s="11" t="s">
        <v>261</v>
      </c>
      <c r="D29" s="11" t="s">
        <v>249</v>
      </c>
      <c r="E29" s="11" t="s">
        <v>267</v>
      </c>
      <c r="F29" s="20">
        <v>0</v>
      </c>
      <c r="G29" s="11"/>
      <c r="H29" s="11"/>
      <c r="I29" s="11"/>
      <c r="J29" s="11"/>
      <c r="K29" s="11"/>
      <c r="L29" s="20">
        <v>0</v>
      </c>
      <c r="M29" s="11"/>
      <c r="N29" s="11"/>
      <c r="O29" s="11"/>
      <c r="P29" s="11"/>
      <c r="Q29" s="11"/>
      <c r="R29" s="11" t="s">
        <v>215</v>
      </c>
      <c r="S29" s="10"/>
      <c r="T29" s="10"/>
      <c r="U29" s="11" t="s">
        <v>766</v>
      </c>
      <c r="V29" s="11" t="s">
        <v>218</v>
      </c>
      <c r="W29" s="20">
        <v>0</v>
      </c>
      <c r="X29" s="11" t="b">
        <v>0</v>
      </c>
      <c r="Y29" s="11" t="s">
        <v>263</v>
      </c>
      <c r="Z29" s="11" t="s">
        <v>276</v>
      </c>
      <c r="AA29" s="11" t="s">
        <v>255</v>
      </c>
      <c r="AB29" s="11">
        <v>0.09</v>
      </c>
      <c r="AC29" s="20">
        <v>0.09</v>
      </c>
      <c r="AD29" s="20">
        <v>0.09</v>
      </c>
      <c r="AE29" s="20">
        <v>0.09</v>
      </c>
      <c r="AF29" s="20">
        <v>0.09</v>
      </c>
      <c r="AG29" s="11">
        <v>0</v>
      </c>
      <c r="AH29" s="11">
        <v>0</v>
      </c>
      <c r="AI29" s="11">
        <v>0</v>
      </c>
      <c r="AJ29" s="11">
        <v>0</v>
      </c>
      <c r="AK29" s="11">
        <v>0</v>
      </c>
      <c r="AL29" s="11">
        <v>0</v>
      </c>
      <c r="AM29" s="11">
        <v>0</v>
      </c>
      <c r="AN29" s="11">
        <v>0</v>
      </c>
      <c r="AO29" s="11">
        <v>0</v>
      </c>
      <c r="AP29" s="11">
        <v>0.03</v>
      </c>
      <c r="AQ29" s="11">
        <v>0.03</v>
      </c>
      <c r="AR29" s="11">
        <v>0.03</v>
      </c>
      <c r="AS29" s="20">
        <v>7.4999999999999997E-3</v>
      </c>
      <c r="AT29" s="20">
        <v>7.4999999999999997E-3</v>
      </c>
      <c r="AU29" s="20">
        <v>7.4999999999999997E-3</v>
      </c>
      <c r="AV29" s="20">
        <v>7.4999999999999997E-3</v>
      </c>
      <c r="AW29" s="20">
        <v>7.4999999999999997E-3</v>
      </c>
      <c r="AX29" s="20">
        <v>7.4999999999999997E-3</v>
      </c>
      <c r="AY29" s="20">
        <v>7.4999999999999997E-3</v>
      </c>
      <c r="AZ29" s="20">
        <v>7.4999999999999997E-3</v>
      </c>
      <c r="BA29" s="20">
        <v>7.4999999999999997E-3</v>
      </c>
      <c r="BB29" s="20">
        <v>7.4999999999999997E-3</v>
      </c>
      <c r="BC29" s="20">
        <v>7.4999999999999997E-3</v>
      </c>
      <c r="BD29" s="20">
        <v>7.4999999999999997E-3</v>
      </c>
      <c r="BE29" s="20">
        <v>7.4999999999999997E-3</v>
      </c>
      <c r="BF29" s="20">
        <v>7.4999999999999997E-3</v>
      </c>
      <c r="BG29" s="20">
        <v>7.4999999999999997E-3</v>
      </c>
      <c r="BH29" s="20">
        <v>7.4999999999999997E-3</v>
      </c>
      <c r="BI29" s="20">
        <v>7.4999999999999997E-3</v>
      </c>
      <c r="BJ29" s="20">
        <v>7.4999999999999997E-3</v>
      </c>
      <c r="BK29" s="20">
        <v>7.4999999999999997E-3</v>
      </c>
      <c r="BL29" s="20">
        <v>7.4999999999999997E-3</v>
      </c>
      <c r="BM29" s="20">
        <v>7.4999999999999997E-3</v>
      </c>
      <c r="BN29" s="20">
        <v>7.4999999999999997E-3</v>
      </c>
      <c r="BO29" s="20">
        <v>7.4999999999999997E-3</v>
      </c>
      <c r="BP29" s="20">
        <v>7.4999999999999997E-3</v>
      </c>
      <c r="BQ29" s="20">
        <v>7.4999999999999997E-3</v>
      </c>
      <c r="BR29" s="20">
        <v>7.4999999999999997E-3</v>
      </c>
      <c r="BS29" s="20">
        <v>7.4999999999999997E-3</v>
      </c>
      <c r="BT29" s="20">
        <v>7.4999999999999997E-3</v>
      </c>
      <c r="BU29" s="20">
        <v>7.4999999999999997E-3</v>
      </c>
      <c r="BV29" s="20">
        <v>7.4999999999999997E-3</v>
      </c>
      <c r="BW29" s="20">
        <v>7.4999999999999997E-3</v>
      </c>
      <c r="BX29" s="20">
        <v>7.4999999999999997E-3</v>
      </c>
      <c r="BY29" s="20">
        <v>7.4999999999999997E-3</v>
      </c>
      <c r="BZ29" s="20">
        <v>7.4999999999999997E-3</v>
      </c>
      <c r="CA29" s="20">
        <v>7.4999999999999997E-3</v>
      </c>
      <c r="CB29" s="20">
        <v>7.4999999999999997E-3</v>
      </c>
      <c r="CC29" s="20">
        <v>7.4999999999999997E-3</v>
      </c>
      <c r="CD29" s="20">
        <v>7.4999999999999997E-3</v>
      </c>
      <c r="CE29" s="20">
        <v>7.4999999999999997E-3</v>
      </c>
      <c r="CF29" s="20">
        <v>7.4999999999999997E-3</v>
      </c>
      <c r="CG29" s="20">
        <v>7.4999999999999997E-3</v>
      </c>
      <c r="CH29" s="20">
        <v>7.4999999999999997E-3</v>
      </c>
      <c r="CI29" s="20">
        <v>7.4999999999999997E-3</v>
      </c>
      <c r="CJ29" s="20">
        <v>7.4999999999999997E-3</v>
      </c>
      <c r="CK29" s="20">
        <v>7.4999999999999997E-3</v>
      </c>
      <c r="CL29" s="20">
        <v>7.4999999999999997E-3</v>
      </c>
      <c r="CM29" s="20">
        <v>7.4999999999999997E-3</v>
      </c>
      <c r="CN29" s="20">
        <v>7.4999999999999997E-3</v>
      </c>
      <c r="CO29" s="11">
        <v>0.09</v>
      </c>
      <c r="CP29" s="11">
        <v>7.4999999999999997E-3</v>
      </c>
      <c r="CQ29" s="11">
        <v>7.4999999999999997E-3</v>
      </c>
      <c r="CR29" s="11">
        <v>7.4999999999999997E-3</v>
      </c>
      <c r="CS29" s="11">
        <v>7.4999999999999997E-3</v>
      </c>
      <c r="CT29" s="11">
        <v>7.4999999999999997E-3</v>
      </c>
      <c r="CU29" s="11">
        <v>7.4999999999999997E-3</v>
      </c>
      <c r="CV29" s="11">
        <v>7.4999999999999997E-3</v>
      </c>
      <c r="CW29" s="11">
        <v>7.4999999999999997E-3</v>
      </c>
      <c r="CX29" s="11">
        <v>7.4999999999999997E-3</v>
      </c>
      <c r="CY29" s="11">
        <v>7.4999999999999997E-3</v>
      </c>
      <c r="CZ29" s="11">
        <v>7.4999999999999997E-3</v>
      </c>
      <c r="DA29" s="11">
        <v>7.4999999999999997E-3</v>
      </c>
      <c r="DB29" t="str">
        <f>IFERROR(INDEX('Initiative Summary'!$C$5:$C$25,MATCH($A29,'Initiative Summary'!$A$5:$A$25,0)),"")</f>
        <v>Eastbridge Region</v>
      </c>
    </row>
    <row r="30" spans="1:106" ht="24" x14ac:dyDescent="0.25">
      <c r="A30" s="6" t="s">
        <v>668</v>
      </c>
      <c r="B30" s="7" t="s">
        <v>667</v>
      </c>
      <c r="C30" s="8" t="s">
        <v>261</v>
      </c>
      <c r="D30" s="8" t="s">
        <v>204</v>
      </c>
      <c r="E30" s="8" t="s">
        <v>256</v>
      </c>
      <c r="F30" s="8"/>
      <c r="G30" s="8"/>
      <c r="H30" s="8"/>
      <c r="I30" s="8"/>
      <c r="J30" s="8"/>
      <c r="K30" s="8"/>
      <c r="L30" s="21">
        <v>0</v>
      </c>
      <c r="M30" s="8"/>
      <c r="N30" s="8"/>
      <c r="O30" s="8"/>
      <c r="P30" s="8"/>
      <c r="Q30" s="8"/>
      <c r="R30" s="8" t="s">
        <v>215</v>
      </c>
      <c r="S30" s="7"/>
      <c r="T30" s="7"/>
      <c r="U30" s="8" t="s">
        <v>766</v>
      </c>
      <c r="V30" s="8" t="s">
        <v>218</v>
      </c>
      <c r="W30" s="21">
        <v>0</v>
      </c>
      <c r="X30" s="8" t="b">
        <v>0</v>
      </c>
      <c r="Y30" s="8" t="s">
        <v>263</v>
      </c>
      <c r="Z30" s="8" t="s">
        <v>276</v>
      </c>
      <c r="AA30" s="8" t="s">
        <v>255</v>
      </c>
      <c r="AB30" s="8">
        <v>0</v>
      </c>
      <c r="AC30" s="8">
        <v>0</v>
      </c>
      <c r="AD30" s="8">
        <v>0</v>
      </c>
      <c r="AE30" s="8">
        <v>0</v>
      </c>
      <c r="AF30" s="8">
        <v>0</v>
      </c>
      <c r="AG30" s="8">
        <v>0</v>
      </c>
      <c r="AH30" s="8">
        <v>0</v>
      </c>
      <c r="AI30" s="8">
        <v>0</v>
      </c>
      <c r="AJ30" s="8">
        <v>0</v>
      </c>
      <c r="AK30" s="8">
        <v>0</v>
      </c>
      <c r="AL30" s="8">
        <v>0</v>
      </c>
      <c r="AM30" s="8">
        <v>0</v>
      </c>
      <c r="AN30" s="8">
        <v>0</v>
      </c>
      <c r="AO30" s="8">
        <v>0</v>
      </c>
      <c r="AP30" s="8">
        <v>0</v>
      </c>
      <c r="AQ30" s="8">
        <v>0</v>
      </c>
      <c r="AR30" s="8">
        <v>0</v>
      </c>
      <c r="AS30" s="8">
        <v>0</v>
      </c>
      <c r="AT30" s="8">
        <v>0</v>
      </c>
      <c r="AU30" s="8">
        <v>0</v>
      </c>
      <c r="AV30" s="8">
        <v>0</v>
      </c>
      <c r="AW30" s="8">
        <v>0</v>
      </c>
      <c r="AX30" s="8">
        <v>0</v>
      </c>
      <c r="AY30" s="8">
        <v>0</v>
      </c>
      <c r="AZ30" s="8">
        <v>0</v>
      </c>
      <c r="BA30" s="8">
        <v>0</v>
      </c>
      <c r="BB30" s="8">
        <v>0</v>
      </c>
      <c r="BC30" s="8">
        <v>0</v>
      </c>
      <c r="BD30" s="8">
        <v>0</v>
      </c>
      <c r="BE30" s="8">
        <v>0</v>
      </c>
      <c r="BF30" s="8">
        <v>0</v>
      </c>
      <c r="BG30" s="8">
        <v>0</v>
      </c>
      <c r="BH30" s="8">
        <v>0</v>
      </c>
      <c r="BI30" s="8">
        <v>0</v>
      </c>
      <c r="BJ30" s="8">
        <v>0</v>
      </c>
      <c r="BK30" s="8">
        <v>0</v>
      </c>
      <c r="BL30" s="8">
        <v>0</v>
      </c>
      <c r="BM30" s="8">
        <v>0</v>
      </c>
      <c r="BN30" s="8">
        <v>0</v>
      </c>
      <c r="BO30" s="8">
        <v>0</v>
      </c>
      <c r="BP30" s="8">
        <v>0</v>
      </c>
      <c r="BQ30" s="8">
        <v>0</v>
      </c>
      <c r="BR30" s="8">
        <v>0</v>
      </c>
      <c r="BS30" s="8">
        <v>0</v>
      </c>
      <c r="BT30" s="8">
        <v>0</v>
      </c>
      <c r="BU30" s="8">
        <v>0</v>
      </c>
      <c r="BV30" s="8">
        <v>0</v>
      </c>
      <c r="BW30" s="8">
        <v>0</v>
      </c>
      <c r="BX30" s="8">
        <v>0</v>
      </c>
      <c r="BY30" s="8">
        <v>0</v>
      </c>
      <c r="BZ30" s="8">
        <v>0</v>
      </c>
      <c r="CA30" s="8">
        <v>0</v>
      </c>
      <c r="CB30" s="8">
        <v>0</v>
      </c>
      <c r="CC30" s="8">
        <v>0</v>
      </c>
      <c r="CD30" s="8">
        <v>0</v>
      </c>
      <c r="CE30" s="8">
        <v>0</v>
      </c>
      <c r="CF30" s="8">
        <v>0</v>
      </c>
      <c r="CG30" s="8">
        <v>0</v>
      </c>
      <c r="CH30" s="8">
        <v>0</v>
      </c>
      <c r="CI30" s="8">
        <v>0</v>
      </c>
      <c r="CJ30" s="8">
        <v>0</v>
      </c>
      <c r="CK30" s="8">
        <v>0</v>
      </c>
      <c r="CL30" s="8">
        <v>0</v>
      </c>
      <c r="CM30" s="8">
        <v>0</v>
      </c>
      <c r="CN30" s="8">
        <v>0</v>
      </c>
      <c r="CO30" s="8">
        <v>0</v>
      </c>
      <c r="CP30" s="8">
        <v>0</v>
      </c>
      <c r="CQ30" s="8">
        <v>0</v>
      </c>
      <c r="CR30" s="8">
        <v>0</v>
      </c>
      <c r="CS30" s="8">
        <v>0</v>
      </c>
      <c r="CT30" s="8">
        <v>0</v>
      </c>
      <c r="CU30" s="8">
        <v>0</v>
      </c>
      <c r="CV30" s="8">
        <v>0</v>
      </c>
      <c r="CW30" s="8">
        <v>0</v>
      </c>
      <c r="CX30" s="8">
        <v>0</v>
      </c>
      <c r="CY30" s="8">
        <v>0</v>
      </c>
      <c r="CZ30" s="8">
        <v>0</v>
      </c>
      <c r="DA30" s="8">
        <v>0</v>
      </c>
      <c r="DB30" t="str">
        <f>IFERROR(INDEX('Initiative Summary'!$C$5:$C$25,MATCH($A30,'Initiative Summary'!$A$5:$A$25,0)),"")</f>
        <v>Eastbridge Region</v>
      </c>
    </row>
    <row r="31" spans="1:106" ht="60" x14ac:dyDescent="0.25">
      <c r="A31" s="6" t="s">
        <v>674</v>
      </c>
      <c r="B31" s="10" t="s">
        <v>673</v>
      </c>
      <c r="C31" s="11" t="s">
        <v>277</v>
      </c>
      <c r="D31" s="11" t="s">
        <v>249</v>
      </c>
      <c r="E31" s="11" t="s">
        <v>267</v>
      </c>
      <c r="F31" s="20">
        <v>960000</v>
      </c>
      <c r="G31" s="11"/>
      <c r="H31" s="11"/>
      <c r="I31" s="11"/>
      <c r="J31" s="11"/>
      <c r="K31" s="11"/>
      <c r="L31" s="20">
        <v>0</v>
      </c>
      <c r="M31" s="11"/>
      <c r="N31" s="11"/>
      <c r="O31" s="11"/>
      <c r="P31" s="11"/>
      <c r="Q31" s="11"/>
      <c r="R31" s="11" t="s">
        <v>215</v>
      </c>
      <c r="S31" s="10" t="s">
        <v>278</v>
      </c>
      <c r="T31" s="10"/>
      <c r="U31" s="11" t="s">
        <v>767</v>
      </c>
      <c r="V31" s="11" t="s">
        <v>218</v>
      </c>
      <c r="W31" s="20">
        <v>0</v>
      </c>
      <c r="X31" s="11" t="b">
        <v>0</v>
      </c>
      <c r="Y31" s="11" t="s">
        <v>263</v>
      </c>
      <c r="Z31" s="11" t="s">
        <v>280</v>
      </c>
      <c r="AA31" s="11" t="s">
        <v>255</v>
      </c>
      <c r="AB31" s="20">
        <v>0</v>
      </c>
      <c r="AC31" s="20">
        <v>0.52700000000000002</v>
      </c>
      <c r="AD31" s="20">
        <v>0.54400000000000004</v>
      </c>
      <c r="AE31" s="20">
        <v>0.54400000000000004</v>
      </c>
      <c r="AF31" s="20">
        <v>0.54400000000000004</v>
      </c>
      <c r="AG31" s="11">
        <v>0</v>
      </c>
      <c r="AH31" s="11">
        <v>0</v>
      </c>
      <c r="AI31" s="11">
        <v>0</v>
      </c>
      <c r="AJ31" s="11">
        <v>0</v>
      </c>
      <c r="AK31" s="11">
        <v>0</v>
      </c>
      <c r="AL31" s="11">
        <v>0</v>
      </c>
      <c r="AM31" s="11">
        <v>0</v>
      </c>
      <c r="AN31" s="11">
        <v>0</v>
      </c>
      <c r="AO31" s="11">
        <v>0</v>
      </c>
      <c r="AP31" s="20">
        <v>0</v>
      </c>
      <c r="AQ31" s="20">
        <v>0</v>
      </c>
      <c r="AR31" s="20">
        <v>0</v>
      </c>
      <c r="AS31" s="20">
        <v>0</v>
      </c>
      <c r="AT31" s="20">
        <v>0</v>
      </c>
      <c r="AU31" s="20">
        <v>0</v>
      </c>
      <c r="AV31" s="20">
        <v>0</v>
      </c>
      <c r="AW31" s="20">
        <v>0</v>
      </c>
      <c r="AX31" s="20">
        <v>0</v>
      </c>
      <c r="AY31" s="20">
        <v>0</v>
      </c>
      <c r="AZ31" s="20">
        <v>0</v>
      </c>
      <c r="BA31" s="20">
        <v>0.13175000000000001</v>
      </c>
      <c r="BB31" s="20">
        <v>0.13175000000000001</v>
      </c>
      <c r="BC31" s="20">
        <v>0.13175000000000001</v>
      </c>
      <c r="BD31" s="20">
        <v>0.13175000000000001</v>
      </c>
      <c r="BE31" s="20">
        <v>4.5333333333333337E-2</v>
      </c>
      <c r="BF31" s="20">
        <v>4.5333333333333337E-2</v>
      </c>
      <c r="BG31" s="20">
        <v>4.5333333333333337E-2</v>
      </c>
      <c r="BH31" s="20">
        <v>4.5333333333333337E-2</v>
      </c>
      <c r="BI31" s="20">
        <v>4.5333333333333337E-2</v>
      </c>
      <c r="BJ31" s="20">
        <v>4.5333333333333337E-2</v>
      </c>
      <c r="BK31" s="20">
        <v>4.5333333333333337E-2</v>
      </c>
      <c r="BL31" s="20">
        <v>4.5333333333333337E-2</v>
      </c>
      <c r="BM31" s="20">
        <v>4.5333333333333337E-2</v>
      </c>
      <c r="BN31" s="20">
        <v>4.5333333333333337E-2</v>
      </c>
      <c r="BO31" s="20">
        <v>4.5333333333333337E-2</v>
      </c>
      <c r="BP31" s="20">
        <v>4.5333333333333337E-2</v>
      </c>
      <c r="BQ31" s="20">
        <v>4.5333333333333337E-2</v>
      </c>
      <c r="BR31" s="20">
        <v>4.5333333333333337E-2</v>
      </c>
      <c r="BS31" s="20">
        <v>4.5333333333333337E-2</v>
      </c>
      <c r="BT31" s="20">
        <v>4.5333333333333337E-2</v>
      </c>
      <c r="BU31" s="20">
        <v>4.5333333333333337E-2</v>
      </c>
      <c r="BV31" s="20">
        <v>4.5333333333333337E-2</v>
      </c>
      <c r="BW31" s="20">
        <v>4.5333333333333337E-2</v>
      </c>
      <c r="BX31" s="20">
        <v>4.5333333333333337E-2</v>
      </c>
      <c r="BY31" s="20">
        <v>4.5333333333333337E-2</v>
      </c>
      <c r="BZ31" s="20">
        <v>4.5333333333333337E-2</v>
      </c>
      <c r="CA31" s="20">
        <v>4.5333333333333337E-2</v>
      </c>
      <c r="CB31" s="20">
        <v>4.5333333333333337E-2</v>
      </c>
      <c r="CC31" s="20">
        <v>4.5333333333333337E-2</v>
      </c>
      <c r="CD31" s="20">
        <v>4.5333333333333337E-2</v>
      </c>
      <c r="CE31" s="20">
        <v>4.5333333333333337E-2</v>
      </c>
      <c r="CF31" s="20">
        <v>4.5333333333333337E-2</v>
      </c>
      <c r="CG31" s="20">
        <v>4.5333333333333337E-2</v>
      </c>
      <c r="CH31" s="20">
        <v>4.5333333333333337E-2</v>
      </c>
      <c r="CI31" s="20">
        <v>4.5333333333333337E-2</v>
      </c>
      <c r="CJ31" s="20">
        <v>4.5333333333333337E-2</v>
      </c>
      <c r="CK31" s="20">
        <v>4.5333333333333337E-2</v>
      </c>
      <c r="CL31" s="20">
        <v>4.5333333333333337E-2</v>
      </c>
      <c r="CM31" s="20">
        <v>4.5333333333333337E-2</v>
      </c>
      <c r="CN31" s="20">
        <v>4.5333333333333337E-2</v>
      </c>
      <c r="CO31" s="11">
        <v>0.54400000000000004</v>
      </c>
      <c r="CP31" s="11">
        <v>4.5333333333333337E-2</v>
      </c>
      <c r="CQ31" s="11">
        <v>4.5333333333333337E-2</v>
      </c>
      <c r="CR31" s="11">
        <v>4.5333333333333337E-2</v>
      </c>
      <c r="CS31" s="11">
        <v>4.5333333333333337E-2</v>
      </c>
      <c r="CT31" s="11">
        <v>4.5333333333333337E-2</v>
      </c>
      <c r="CU31" s="11">
        <v>4.5333333333333337E-2</v>
      </c>
      <c r="CV31" s="11">
        <v>4.5333333333333337E-2</v>
      </c>
      <c r="CW31" s="11">
        <v>4.5333333333333337E-2</v>
      </c>
      <c r="CX31" s="11">
        <v>4.5333333333333337E-2</v>
      </c>
      <c r="CY31" s="11">
        <v>4.5333333333333337E-2</v>
      </c>
      <c r="CZ31" s="11">
        <v>4.5333333333333337E-2</v>
      </c>
      <c r="DA31" s="11">
        <v>4.5333333333333337E-2</v>
      </c>
      <c r="DB31" t="str">
        <f>IFERROR(INDEX('Initiative Summary'!$C$5:$C$25,MATCH($A31,'Initiative Summary'!$A$5:$A$25,0)),"")</f>
        <v>Eastbridge Region</v>
      </c>
    </row>
    <row r="32" spans="1:106" ht="60" x14ac:dyDescent="0.25">
      <c r="A32" s="6" t="s">
        <v>674</v>
      </c>
      <c r="B32" s="7" t="s">
        <v>673</v>
      </c>
      <c r="C32" s="8" t="s">
        <v>277</v>
      </c>
      <c r="D32" s="8" t="s">
        <v>204</v>
      </c>
      <c r="E32" s="8" t="s">
        <v>256</v>
      </c>
      <c r="F32" s="8"/>
      <c r="G32" s="8"/>
      <c r="H32" s="8"/>
      <c r="I32" s="8"/>
      <c r="J32" s="8"/>
      <c r="K32" s="8"/>
      <c r="L32" s="21">
        <v>0</v>
      </c>
      <c r="M32" s="8"/>
      <c r="N32" s="8"/>
      <c r="O32" s="8"/>
      <c r="P32" s="8"/>
      <c r="Q32" s="8"/>
      <c r="R32" s="8" t="s">
        <v>215</v>
      </c>
      <c r="S32" s="7" t="s">
        <v>278</v>
      </c>
      <c r="T32" s="7"/>
      <c r="U32" s="8" t="s">
        <v>767</v>
      </c>
      <c r="V32" s="8" t="s">
        <v>218</v>
      </c>
      <c r="W32" s="21">
        <v>0</v>
      </c>
      <c r="X32" s="8" t="b">
        <v>0</v>
      </c>
      <c r="Y32" s="8" t="s">
        <v>263</v>
      </c>
      <c r="Z32" s="8" t="s">
        <v>280</v>
      </c>
      <c r="AA32" s="8" t="s">
        <v>255</v>
      </c>
      <c r="AB32" s="8">
        <v>0</v>
      </c>
      <c r="AC32" s="8">
        <v>0</v>
      </c>
      <c r="AD32" s="8">
        <v>0</v>
      </c>
      <c r="AE32" s="8">
        <v>0</v>
      </c>
      <c r="AF32" s="8">
        <v>0</v>
      </c>
      <c r="AG32" s="8">
        <v>0</v>
      </c>
      <c r="AH32" s="8">
        <v>0</v>
      </c>
      <c r="AI32" s="8">
        <v>0</v>
      </c>
      <c r="AJ32" s="8">
        <v>0</v>
      </c>
      <c r="AK32" s="8">
        <v>0</v>
      </c>
      <c r="AL32" s="8">
        <v>0</v>
      </c>
      <c r="AM32" s="8">
        <v>0</v>
      </c>
      <c r="AN32" s="8">
        <v>0</v>
      </c>
      <c r="AO32" s="8">
        <v>0</v>
      </c>
      <c r="AP32" s="8">
        <v>0</v>
      </c>
      <c r="AQ32" s="8">
        <v>0</v>
      </c>
      <c r="AR32" s="8">
        <v>0</v>
      </c>
      <c r="AS32" s="8">
        <v>0</v>
      </c>
      <c r="AT32" s="8">
        <v>0</v>
      </c>
      <c r="AU32" s="8">
        <v>0</v>
      </c>
      <c r="AV32" s="8">
        <v>0</v>
      </c>
      <c r="AW32" s="8">
        <v>0</v>
      </c>
      <c r="AX32" s="8">
        <v>0</v>
      </c>
      <c r="AY32" s="8">
        <v>0</v>
      </c>
      <c r="AZ32" s="8">
        <v>0</v>
      </c>
      <c r="BA32" s="8">
        <v>0</v>
      </c>
      <c r="BB32" s="8">
        <v>0</v>
      </c>
      <c r="BC32" s="8">
        <v>0</v>
      </c>
      <c r="BD32" s="8">
        <v>0</v>
      </c>
      <c r="BE32" s="8">
        <v>0</v>
      </c>
      <c r="BF32" s="8">
        <v>0</v>
      </c>
      <c r="BG32" s="8">
        <v>0</v>
      </c>
      <c r="BH32" s="8">
        <v>0</v>
      </c>
      <c r="BI32" s="8">
        <v>0</v>
      </c>
      <c r="BJ32" s="8">
        <v>0</v>
      </c>
      <c r="BK32" s="8">
        <v>0</v>
      </c>
      <c r="BL32" s="8">
        <v>0</v>
      </c>
      <c r="BM32" s="8">
        <v>0</v>
      </c>
      <c r="BN32" s="8">
        <v>0</v>
      </c>
      <c r="BO32" s="8">
        <v>0</v>
      </c>
      <c r="BP32" s="8">
        <v>0</v>
      </c>
      <c r="BQ32" s="8">
        <v>0</v>
      </c>
      <c r="BR32" s="8">
        <v>0</v>
      </c>
      <c r="BS32" s="8">
        <v>0</v>
      </c>
      <c r="BT32" s="8">
        <v>0</v>
      </c>
      <c r="BU32" s="8">
        <v>0</v>
      </c>
      <c r="BV32" s="8">
        <v>0</v>
      </c>
      <c r="BW32" s="8">
        <v>0</v>
      </c>
      <c r="BX32" s="8">
        <v>0</v>
      </c>
      <c r="BY32" s="8">
        <v>0</v>
      </c>
      <c r="BZ32" s="8">
        <v>0</v>
      </c>
      <c r="CA32" s="8">
        <v>0</v>
      </c>
      <c r="CB32" s="8">
        <v>0</v>
      </c>
      <c r="CC32" s="8">
        <v>0</v>
      </c>
      <c r="CD32" s="8">
        <v>0</v>
      </c>
      <c r="CE32" s="8">
        <v>0</v>
      </c>
      <c r="CF32" s="8">
        <v>0</v>
      </c>
      <c r="CG32" s="8">
        <v>0</v>
      </c>
      <c r="CH32" s="8">
        <v>0</v>
      </c>
      <c r="CI32" s="8">
        <v>0</v>
      </c>
      <c r="CJ32" s="8">
        <v>0</v>
      </c>
      <c r="CK32" s="8">
        <v>0</v>
      </c>
      <c r="CL32" s="8">
        <v>0</v>
      </c>
      <c r="CM32" s="8">
        <v>0</v>
      </c>
      <c r="CN32" s="8">
        <v>0</v>
      </c>
      <c r="CO32" s="8">
        <v>0</v>
      </c>
      <c r="CP32" s="8">
        <v>0</v>
      </c>
      <c r="CQ32" s="8">
        <v>0</v>
      </c>
      <c r="CR32" s="8">
        <v>0</v>
      </c>
      <c r="CS32" s="8">
        <v>0</v>
      </c>
      <c r="CT32" s="8">
        <v>0</v>
      </c>
      <c r="CU32" s="8">
        <v>0</v>
      </c>
      <c r="CV32" s="8">
        <v>0</v>
      </c>
      <c r="CW32" s="8">
        <v>0</v>
      </c>
      <c r="CX32" s="8">
        <v>0</v>
      </c>
      <c r="CY32" s="8">
        <v>0</v>
      </c>
      <c r="CZ32" s="8">
        <v>0</v>
      </c>
      <c r="DA32" s="8">
        <v>0</v>
      </c>
      <c r="DB32" t="str">
        <f>IFERROR(INDEX('Initiative Summary'!$C$5:$C$25,MATCH($A32,'Initiative Summary'!$A$5:$A$25,0)),"")</f>
        <v>Eastbridge Region</v>
      </c>
    </row>
    <row r="33" spans="1:106" ht="24" x14ac:dyDescent="0.25">
      <c r="A33" s="6" t="s">
        <v>678</v>
      </c>
      <c r="B33" s="10" t="s">
        <v>677</v>
      </c>
      <c r="C33" s="11" t="s">
        <v>257</v>
      </c>
      <c r="D33" s="11" t="s">
        <v>249</v>
      </c>
      <c r="E33" s="11" t="s">
        <v>250</v>
      </c>
      <c r="F33" s="20">
        <v>0.4</v>
      </c>
      <c r="G33" s="20">
        <v>2026</v>
      </c>
      <c r="H33" s="11" t="s">
        <v>258</v>
      </c>
      <c r="I33" s="20">
        <v>2026</v>
      </c>
      <c r="J33" s="11" t="s">
        <v>258</v>
      </c>
      <c r="K33" s="11"/>
      <c r="L33" s="20">
        <v>0</v>
      </c>
      <c r="M33" s="11"/>
      <c r="N33" s="11"/>
      <c r="O33" s="11"/>
      <c r="P33" s="11"/>
      <c r="Q33" s="11"/>
      <c r="R33" s="11" t="s">
        <v>250</v>
      </c>
      <c r="S33" s="10"/>
      <c r="T33" s="10"/>
      <c r="U33" s="11" t="s">
        <v>768</v>
      </c>
      <c r="V33" s="11" t="s">
        <v>218</v>
      </c>
      <c r="W33" s="20">
        <v>0</v>
      </c>
      <c r="X33" s="11" t="b">
        <v>0</v>
      </c>
      <c r="Y33" s="11" t="s">
        <v>253</v>
      </c>
      <c r="Z33" s="11" t="s">
        <v>266</v>
      </c>
      <c r="AA33" s="11" t="s">
        <v>255</v>
      </c>
      <c r="AB33" s="20">
        <v>0</v>
      </c>
      <c r="AC33" s="11">
        <v>0</v>
      </c>
      <c r="AD33" s="11">
        <v>0</v>
      </c>
      <c r="AE33" s="11">
        <v>0</v>
      </c>
      <c r="AF33" s="11">
        <v>0</v>
      </c>
      <c r="AG33" s="11">
        <v>0</v>
      </c>
      <c r="AH33" s="11">
        <v>0</v>
      </c>
      <c r="AI33" s="11">
        <v>0</v>
      </c>
      <c r="AJ33" s="11">
        <v>0</v>
      </c>
      <c r="AK33" s="11">
        <v>0</v>
      </c>
      <c r="AL33" s="20">
        <v>0</v>
      </c>
      <c r="AM33" s="20">
        <v>0</v>
      </c>
      <c r="AN33" s="20">
        <v>0</v>
      </c>
      <c r="AO33" s="20">
        <v>0</v>
      </c>
      <c r="AP33" s="20">
        <v>0</v>
      </c>
      <c r="AQ33" s="20">
        <v>0</v>
      </c>
      <c r="AR33" s="11">
        <v>0</v>
      </c>
      <c r="AS33" s="11">
        <v>0</v>
      </c>
      <c r="AT33" s="11">
        <v>0</v>
      </c>
      <c r="AU33" s="11">
        <v>0</v>
      </c>
      <c r="AV33" s="11">
        <v>0</v>
      </c>
      <c r="AW33" s="11">
        <v>0</v>
      </c>
      <c r="AX33" s="11">
        <v>0</v>
      </c>
      <c r="AY33" s="11">
        <v>0</v>
      </c>
      <c r="AZ33" s="11">
        <v>0</v>
      </c>
      <c r="BA33" s="11">
        <v>0</v>
      </c>
      <c r="BB33" s="11">
        <v>0</v>
      </c>
      <c r="BC33" s="11">
        <v>0</v>
      </c>
      <c r="BD33" s="11">
        <v>0</v>
      </c>
      <c r="BE33" s="11">
        <v>0</v>
      </c>
      <c r="BF33" s="11">
        <v>0</v>
      </c>
      <c r="BG33" s="11">
        <v>0</v>
      </c>
      <c r="BH33" s="11">
        <v>0</v>
      </c>
      <c r="BI33" s="11">
        <v>0</v>
      </c>
      <c r="BJ33" s="11">
        <v>0</v>
      </c>
      <c r="BK33" s="11">
        <v>0</v>
      </c>
      <c r="BL33" s="11">
        <v>0</v>
      </c>
      <c r="BM33" s="11">
        <v>0</v>
      </c>
      <c r="BN33" s="11">
        <v>0</v>
      </c>
      <c r="BO33" s="11">
        <v>0</v>
      </c>
      <c r="BP33" s="11">
        <v>0</v>
      </c>
      <c r="BQ33" s="11">
        <v>0</v>
      </c>
      <c r="BR33" s="11">
        <v>0</v>
      </c>
      <c r="BS33" s="11">
        <v>0</v>
      </c>
      <c r="BT33" s="11">
        <v>0</v>
      </c>
      <c r="BU33" s="11">
        <v>0</v>
      </c>
      <c r="BV33" s="11">
        <v>0</v>
      </c>
      <c r="BW33" s="11">
        <v>0</v>
      </c>
      <c r="BX33" s="11">
        <v>0</v>
      </c>
      <c r="BY33" s="11">
        <v>0</v>
      </c>
      <c r="BZ33" s="11">
        <v>0</v>
      </c>
      <c r="CA33" s="11">
        <v>0</v>
      </c>
      <c r="CB33" s="11">
        <v>0</v>
      </c>
      <c r="CC33" s="11">
        <v>0</v>
      </c>
      <c r="CD33" s="11">
        <v>0</v>
      </c>
      <c r="CE33" s="11">
        <v>0</v>
      </c>
      <c r="CF33" s="11">
        <v>0</v>
      </c>
      <c r="CG33" s="11">
        <v>0</v>
      </c>
      <c r="CH33" s="11">
        <v>0</v>
      </c>
      <c r="CI33" s="11">
        <v>0</v>
      </c>
      <c r="CJ33" s="11">
        <v>0</v>
      </c>
      <c r="CK33" s="11">
        <v>0</v>
      </c>
      <c r="CL33" s="11">
        <v>0</v>
      </c>
      <c r="CM33" s="11">
        <v>0</v>
      </c>
      <c r="CN33" s="11">
        <v>0</v>
      </c>
      <c r="CO33" s="11">
        <v>0</v>
      </c>
      <c r="CP33" s="11">
        <v>0</v>
      </c>
      <c r="CQ33" s="11">
        <v>0</v>
      </c>
      <c r="CR33" s="11">
        <v>0</v>
      </c>
      <c r="CS33" s="11">
        <v>0</v>
      </c>
      <c r="CT33" s="11">
        <v>0</v>
      </c>
      <c r="CU33" s="11">
        <v>0</v>
      </c>
      <c r="CV33" s="11">
        <v>0</v>
      </c>
      <c r="CW33" s="11">
        <v>0</v>
      </c>
      <c r="CX33" s="11">
        <v>0</v>
      </c>
      <c r="CY33" s="11">
        <v>0</v>
      </c>
      <c r="CZ33" s="11">
        <v>0</v>
      </c>
      <c r="DA33" s="11">
        <v>0</v>
      </c>
      <c r="DB33" t="str">
        <f>IFERROR(INDEX('Initiative Summary'!$C$5:$C$25,MATCH($A33,'Initiative Summary'!$A$5:$A$25,0)),"")</f>
        <v>Eastbridge Region</v>
      </c>
    </row>
    <row r="34" spans="1:106" ht="24" x14ac:dyDescent="0.25">
      <c r="A34" s="6" t="s">
        <v>678</v>
      </c>
      <c r="B34" s="7" t="s">
        <v>677</v>
      </c>
      <c r="C34" s="8" t="s">
        <v>257</v>
      </c>
      <c r="D34" s="8" t="s">
        <v>204</v>
      </c>
      <c r="E34" s="8" t="s">
        <v>256</v>
      </c>
      <c r="F34" s="8"/>
      <c r="G34" s="8"/>
      <c r="H34" s="8"/>
      <c r="I34" s="8"/>
      <c r="J34" s="8"/>
      <c r="K34" s="8"/>
      <c r="L34" s="21">
        <v>0</v>
      </c>
      <c r="M34" s="8"/>
      <c r="N34" s="8"/>
      <c r="O34" s="8"/>
      <c r="P34" s="8"/>
      <c r="Q34" s="8"/>
      <c r="R34" s="8" t="s">
        <v>250</v>
      </c>
      <c r="S34" s="7"/>
      <c r="T34" s="7"/>
      <c r="U34" s="8" t="s">
        <v>768</v>
      </c>
      <c r="V34" s="8" t="s">
        <v>218</v>
      </c>
      <c r="W34" s="21">
        <v>0</v>
      </c>
      <c r="X34" s="8" t="b">
        <v>0</v>
      </c>
      <c r="Y34" s="8" t="s">
        <v>253</v>
      </c>
      <c r="Z34" s="8" t="s">
        <v>266</v>
      </c>
      <c r="AA34" s="8" t="s">
        <v>255</v>
      </c>
      <c r="AB34" s="8">
        <v>0</v>
      </c>
      <c r="AC34" s="8">
        <v>0</v>
      </c>
      <c r="AD34" s="8">
        <v>0</v>
      </c>
      <c r="AE34" s="8">
        <v>0</v>
      </c>
      <c r="AF34" s="8">
        <v>0</v>
      </c>
      <c r="AG34" s="8">
        <v>0</v>
      </c>
      <c r="AH34" s="8">
        <v>0</v>
      </c>
      <c r="AI34" s="8">
        <v>0</v>
      </c>
      <c r="AJ34" s="8">
        <v>0</v>
      </c>
      <c r="AK34" s="8">
        <v>0</v>
      </c>
      <c r="AL34" s="8">
        <v>0</v>
      </c>
      <c r="AM34" s="8">
        <v>0</v>
      </c>
      <c r="AN34" s="8">
        <v>0</v>
      </c>
      <c r="AO34" s="8">
        <v>0</v>
      </c>
      <c r="AP34" s="8">
        <v>0</v>
      </c>
      <c r="AQ34" s="8">
        <v>0</v>
      </c>
      <c r="AR34" s="8">
        <v>0</v>
      </c>
      <c r="AS34" s="8">
        <v>0</v>
      </c>
      <c r="AT34" s="8">
        <v>0</v>
      </c>
      <c r="AU34" s="8">
        <v>0</v>
      </c>
      <c r="AV34" s="8">
        <v>0</v>
      </c>
      <c r="AW34" s="8">
        <v>0</v>
      </c>
      <c r="AX34" s="8">
        <v>0</v>
      </c>
      <c r="AY34" s="8">
        <v>0</v>
      </c>
      <c r="AZ34" s="8">
        <v>0</v>
      </c>
      <c r="BA34" s="8">
        <v>0</v>
      </c>
      <c r="BB34" s="8">
        <v>0</v>
      </c>
      <c r="BC34" s="8">
        <v>0</v>
      </c>
      <c r="BD34" s="8">
        <v>0</v>
      </c>
      <c r="BE34" s="8">
        <v>0</v>
      </c>
      <c r="BF34" s="8">
        <v>0</v>
      </c>
      <c r="BG34" s="8">
        <v>0</v>
      </c>
      <c r="BH34" s="8">
        <v>0</v>
      </c>
      <c r="BI34" s="8">
        <v>0</v>
      </c>
      <c r="BJ34" s="8">
        <v>0</v>
      </c>
      <c r="BK34" s="8">
        <v>0</v>
      </c>
      <c r="BL34" s="8">
        <v>0</v>
      </c>
      <c r="BM34" s="8">
        <v>0</v>
      </c>
      <c r="BN34" s="8">
        <v>0</v>
      </c>
      <c r="BO34" s="8">
        <v>0</v>
      </c>
      <c r="BP34" s="8">
        <v>0</v>
      </c>
      <c r="BQ34" s="8">
        <v>0</v>
      </c>
      <c r="BR34" s="8">
        <v>0</v>
      </c>
      <c r="BS34" s="8">
        <v>0</v>
      </c>
      <c r="BT34" s="8">
        <v>0</v>
      </c>
      <c r="BU34" s="8">
        <v>0</v>
      </c>
      <c r="BV34" s="8">
        <v>0</v>
      </c>
      <c r="BW34" s="8">
        <v>0</v>
      </c>
      <c r="BX34" s="8">
        <v>0</v>
      </c>
      <c r="BY34" s="8">
        <v>0</v>
      </c>
      <c r="BZ34" s="8">
        <v>0</v>
      </c>
      <c r="CA34" s="8">
        <v>0</v>
      </c>
      <c r="CB34" s="8">
        <v>0</v>
      </c>
      <c r="CC34" s="8">
        <v>0</v>
      </c>
      <c r="CD34" s="8">
        <v>0</v>
      </c>
      <c r="CE34" s="8">
        <v>0</v>
      </c>
      <c r="CF34" s="8">
        <v>0</v>
      </c>
      <c r="CG34" s="8">
        <v>0</v>
      </c>
      <c r="CH34" s="8">
        <v>0</v>
      </c>
      <c r="CI34" s="8">
        <v>0</v>
      </c>
      <c r="CJ34" s="8">
        <v>0</v>
      </c>
      <c r="CK34" s="8">
        <v>0</v>
      </c>
      <c r="CL34" s="8">
        <v>0</v>
      </c>
      <c r="CM34" s="8">
        <v>0</v>
      </c>
      <c r="CN34" s="8">
        <v>0</v>
      </c>
      <c r="CO34" s="8">
        <v>0</v>
      </c>
      <c r="CP34" s="8">
        <v>0</v>
      </c>
      <c r="CQ34" s="8">
        <v>0</v>
      </c>
      <c r="CR34" s="8">
        <v>0</v>
      </c>
      <c r="CS34" s="8">
        <v>0</v>
      </c>
      <c r="CT34" s="8">
        <v>0</v>
      </c>
      <c r="CU34" s="8">
        <v>0</v>
      </c>
      <c r="CV34" s="8">
        <v>0</v>
      </c>
      <c r="CW34" s="8">
        <v>0</v>
      </c>
      <c r="CX34" s="8">
        <v>0</v>
      </c>
      <c r="CY34" s="8">
        <v>0</v>
      </c>
      <c r="CZ34" s="8">
        <v>0</v>
      </c>
      <c r="DA34" s="8">
        <v>0</v>
      </c>
      <c r="DB34" t="str">
        <f>IFERROR(INDEX('Initiative Summary'!$C$5:$C$25,MATCH($A34,'Initiative Summary'!$A$5:$A$25,0)),"")</f>
        <v>Eastbridge Region</v>
      </c>
    </row>
    <row r="35" spans="1:106" ht="24" x14ac:dyDescent="0.25">
      <c r="A35" s="6" t="s">
        <v>678</v>
      </c>
      <c r="B35" s="10" t="s">
        <v>677</v>
      </c>
      <c r="C35" s="11" t="s">
        <v>261</v>
      </c>
      <c r="D35" s="11" t="s">
        <v>249</v>
      </c>
      <c r="E35" s="11" t="s">
        <v>267</v>
      </c>
      <c r="F35" s="20">
        <v>0</v>
      </c>
      <c r="G35" s="11"/>
      <c r="H35" s="11"/>
      <c r="I35" s="11"/>
      <c r="J35" s="11"/>
      <c r="K35" s="11"/>
      <c r="L35" s="20">
        <v>0</v>
      </c>
      <c r="M35" s="11"/>
      <c r="N35" s="11"/>
      <c r="O35" s="11"/>
      <c r="P35" s="11"/>
      <c r="Q35" s="11"/>
      <c r="R35" s="11" t="s">
        <v>215</v>
      </c>
      <c r="S35" s="10"/>
      <c r="T35" s="10"/>
      <c r="U35" s="11" t="s">
        <v>769</v>
      </c>
      <c r="V35" s="11" t="s">
        <v>218</v>
      </c>
      <c r="W35" s="20">
        <v>0</v>
      </c>
      <c r="X35" s="11" t="b">
        <v>0</v>
      </c>
      <c r="Y35" s="11" t="s">
        <v>263</v>
      </c>
      <c r="Z35" s="11" t="s">
        <v>269</v>
      </c>
      <c r="AA35" s="11" t="s">
        <v>255</v>
      </c>
      <c r="AB35" s="20">
        <v>0</v>
      </c>
      <c r="AC35" s="20">
        <v>0.105</v>
      </c>
      <c r="AD35" s="20">
        <v>0.105</v>
      </c>
      <c r="AE35" s="20">
        <v>0.105</v>
      </c>
      <c r="AF35" s="20">
        <v>0.105</v>
      </c>
      <c r="AG35" s="11">
        <v>0</v>
      </c>
      <c r="AH35" s="11">
        <v>0</v>
      </c>
      <c r="AI35" s="11">
        <v>0</v>
      </c>
      <c r="AJ35" s="11">
        <v>0</v>
      </c>
      <c r="AK35" s="11">
        <v>0</v>
      </c>
      <c r="AL35" s="11">
        <v>0</v>
      </c>
      <c r="AM35" s="11">
        <v>0</v>
      </c>
      <c r="AN35" s="11">
        <v>0</v>
      </c>
      <c r="AO35" s="11">
        <v>0</v>
      </c>
      <c r="AP35" s="11">
        <v>0</v>
      </c>
      <c r="AQ35" s="11">
        <v>0</v>
      </c>
      <c r="AR35" s="20">
        <v>0</v>
      </c>
      <c r="AS35" s="20">
        <v>0</v>
      </c>
      <c r="AT35" s="20">
        <v>0</v>
      </c>
      <c r="AU35" s="20">
        <v>0</v>
      </c>
      <c r="AV35" s="20">
        <v>0</v>
      </c>
      <c r="AW35" s="20">
        <v>0</v>
      </c>
      <c r="AX35" s="20">
        <v>0</v>
      </c>
      <c r="AY35" s="20">
        <v>0</v>
      </c>
      <c r="AZ35" s="20">
        <v>0</v>
      </c>
      <c r="BA35" s="20">
        <v>0</v>
      </c>
      <c r="BB35" s="20">
        <v>0</v>
      </c>
      <c r="BC35" s="20">
        <v>0</v>
      </c>
      <c r="BD35" s="20">
        <v>0.105</v>
      </c>
      <c r="BE35" s="20">
        <v>8.7499999999999991E-3</v>
      </c>
      <c r="BF35" s="20">
        <v>8.7499999999999991E-3</v>
      </c>
      <c r="BG35" s="20">
        <v>8.7499999999999991E-3</v>
      </c>
      <c r="BH35" s="20">
        <v>8.7499999999999991E-3</v>
      </c>
      <c r="BI35" s="20">
        <v>8.7499999999999991E-3</v>
      </c>
      <c r="BJ35" s="20">
        <v>8.7499999999999991E-3</v>
      </c>
      <c r="BK35" s="20">
        <v>8.7499999999999991E-3</v>
      </c>
      <c r="BL35" s="20">
        <v>8.7499999999999991E-3</v>
      </c>
      <c r="BM35" s="20">
        <v>8.7499999999999991E-3</v>
      </c>
      <c r="BN35" s="20">
        <v>8.7499999999999991E-3</v>
      </c>
      <c r="BO35" s="20">
        <v>8.7499999999999991E-3</v>
      </c>
      <c r="BP35" s="20">
        <v>8.7499999999999991E-3</v>
      </c>
      <c r="BQ35" s="20">
        <v>8.7499999999999991E-3</v>
      </c>
      <c r="BR35" s="20">
        <v>8.7499999999999991E-3</v>
      </c>
      <c r="BS35" s="20">
        <v>8.7499999999999991E-3</v>
      </c>
      <c r="BT35" s="20">
        <v>8.7499999999999991E-3</v>
      </c>
      <c r="BU35" s="20">
        <v>8.7499999999999991E-3</v>
      </c>
      <c r="BV35" s="20">
        <v>8.7499999999999991E-3</v>
      </c>
      <c r="BW35" s="20">
        <v>8.7499999999999991E-3</v>
      </c>
      <c r="BX35" s="20">
        <v>8.7499999999999991E-3</v>
      </c>
      <c r="BY35" s="20">
        <v>8.7499999999999991E-3</v>
      </c>
      <c r="BZ35" s="20">
        <v>8.7499999999999991E-3</v>
      </c>
      <c r="CA35" s="20">
        <v>8.7499999999999991E-3</v>
      </c>
      <c r="CB35" s="20">
        <v>8.7499999999999991E-3</v>
      </c>
      <c r="CC35" s="20">
        <v>8.7499999999999991E-3</v>
      </c>
      <c r="CD35" s="20">
        <v>8.7499999999999991E-3</v>
      </c>
      <c r="CE35" s="20">
        <v>8.7499999999999991E-3</v>
      </c>
      <c r="CF35" s="20">
        <v>8.7499999999999991E-3</v>
      </c>
      <c r="CG35" s="20">
        <v>8.7499999999999991E-3</v>
      </c>
      <c r="CH35" s="20">
        <v>8.7499999999999991E-3</v>
      </c>
      <c r="CI35" s="20">
        <v>8.7499999999999991E-3</v>
      </c>
      <c r="CJ35" s="20">
        <v>8.7499999999999991E-3</v>
      </c>
      <c r="CK35" s="20">
        <v>8.7499999999999991E-3</v>
      </c>
      <c r="CL35" s="20">
        <v>8.7499999999999991E-3</v>
      </c>
      <c r="CM35" s="20">
        <v>8.7499999999999991E-3</v>
      </c>
      <c r="CN35" s="20">
        <v>8.7499999999999991E-3</v>
      </c>
      <c r="CO35" s="11">
        <v>0.105</v>
      </c>
      <c r="CP35" s="11">
        <v>8.7499999999999991E-3</v>
      </c>
      <c r="CQ35" s="11">
        <v>8.7499999999999991E-3</v>
      </c>
      <c r="CR35" s="11">
        <v>8.7499999999999991E-3</v>
      </c>
      <c r="CS35" s="11">
        <v>8.7499999999999991E-3</v>
      </c>
      <c r="CT35" s="11">
        <v>8.7499999999999991E-3</v>
      </c>
      <c r="CU35" s="11">
        <v>8.7499999999999991E-3</v>
      </c>
      <c r="CV35" s="11">
        <v>8.7499999999999991E-3</v>
      </c>
      <c r="CW35" s="11">
        <v>8.7499999999999991E-3</v>
      </c>
      <c r="CX35" s="11">
        <v>8.7499999999999991E-3</v>
      </c>
      <c r="CY35" s="11">
        <v>8.7499999999999991E-3</v>
      </c>
      <c r="CZ35" s="11">
        <v>8.7499999999999991E-3</v>
      </c>
      <c r="DA35" s="11">
        <v>8.7499999999999991E-3</v>
      </c>
      <c r="DB35" t="str">
        <f>IFERROR(INDEX('Initiative Summary'!$C$5:$C$25,MATCH($A35,'Initiative Summary'!$A$5:$A$25,0)),"")</f>
        <v>Eastbridge Region</v>
      </c>
    </row>
    <row r="36" spans="1:106" ht="24" x14ac:dyDescent="0.25">
      <c r="A36" s="6" t="s">
        <v>678</v>
      </c>
      <c r="B36" s="7" t="s">
        <v>677</v>
      </c>
      <c r="C36" s="8" t="s">
        <v>261</v>
      </c>
      <c r="D36" s="8" t="s">
        <v>204</v>
      </c>
      <c r="E36" s="8" t="s">
        <v>256</v>
      </c>
      <c r="F36" s="8"/>
      <c r="G36" s="8"/>
      <c r="H36" s="8"/>
      <c r="I36" s="8"/>
      <c r="J36" s="8"/>
      <c r="K36" s="8"/>
      <c r="L36" s="21">
        <v>0</v>
      </c>
      <c r="M36" s="8"/>
      <c r="N36" s="8"/>
      <c r="O36" s="8"/>
      <c r="P36" s="8"/>
      <c r="Q36" s="8"/>
      <c r="R36" s="8" t="s">
        <v>215</v>
      </c>
      <c r="S36" s="7"/>
      <c r="T36" s="7"/>
      <c r="U36" s="8" t="s">
        <v>769</v>
      </c>
      <c r="V36" s="8" t="s">
        <v>218</v>
      </c>
      <c r="W36" s="21">
        <v>0</v>
      </c>
      <c r="X36" s="8" t="b">
        <v>0</v>
      </c>
      <c r="Y36" s="8" t="s">
        <v>263</v>
      </c>
      <c r="Z36" s="8" t="s">
        <v>269</v>
      </c>
      <c r="AA36" s="8" t="s">
        <v>255</v>
      </c>
      <c r="AB36" s="8">
        <v>0</v>
      </c>
      <c r="AC36" s="8">
        <v>0</v>
      </c>
      <c r="AD36" s="8">
        <v>0</v>
      </c>
      <c r="AE36" s="8">
        <v>0</v>
      </c>
      <c r="AF36" s="8">
        <v>0</v>
      </c>
      <c r="AG36" s="8">
        <v>0</v>
      </c>
      <c r="AH36" s="8">
        <v>0</v>
      </c>
      <c r="AI36" s="8">
        <v>0</v>
      </c>
      <c r="AJ36" s="8">
        <v>0</v>
      </c>
      <c r="AK36" s="8">
        <v>0</v>
      </c>
      <c r="AL36" s="8">
        <v>0</v>
      </c>
      <c r="AM36" s="8">
        <v>0</v>
      </c>
      <c r="AN36" s="8">
        <v>0</v>
      </c>
      <c r="AO36" s="8">
        <v>0</v>
      </c>
      <c r="AP36" s="8">
        <v>0</v>
      </c>
      <c r="AQ36" s="8">
        <v>0</v>
      </c>
      <c r="AR36" s="8">
        <v>0</v>
      </c>
      <c r="AS36" s="8">
        <v>0</v>
      </c>
      <c r="AT36" s="8">
        <v>0</v>
      </c>
      <c r="AU36" s="8">
        <v>0</v>
      </c>
      <c r="AV36" s="8">
        <v>0</v>
      </c>
      <c r="AW36" s="8">
        <v>0</v>
      </c>
      <c r="AX36" s="8">
        <v>0</v>
      </c>
      <c r="AY36" s="8">
        <v>0</v>
      </c>
      <c r="AZ36" s="8">
        <v>0</v>
      </c>
      <c r="BA36" s="8">
        <v>0</v>
      </c>
      <c r="BB36" s="8">
        <v>0</v>
      </c>
      <c r="BC36" s="8">
        <v>0</v>
      </c>
      <c r="BD36" s="8">
        <v>0</v>
      </c>
      <c r="BE36" s="8">
        <v>0</v>
      </c>
      <c r="BF36" s="8">
        <v>0</v>
      </c>
      <c r="BG36" s="8">
        <v>0</v>
      </c>
      <c r="BH36" s="8">
        <v>0</v>
      </c>
      <c r="BI36" s="8">
        <v>0</v>
      </c>
      <c r="BJ36" s="8">
        <v>0</v>
      </c>
      <c r="BK36" s="8">
        <v>0</v>
      </c>
      <c r="BL36" s="8">
        <v>0</v>
      </c>
      <c r="BM36" s="8">
        <v>0</v>
      </c>
      <c r="BN36" s="8">
        <v>0</v>
      </c>
      <c r="BO36" s="8">
        <v>0</v>
      </c>
      <c r="BP36" s="8">
        <v>0</v>
      </c>
      <c r="BQ36" s="8">
        <v>0</v>
      </c>
      <c r="BR36" s="8">
        <v>0</v>
      </c>
      <c r="BS36" s="8">
        <v>0</v>
      </c>
      <c r="BT36" s="8">
        <v>0</v>
      </c>
      <c r="BU36" s="8">
        <v>0</v>
      </c>
      <c r="BV36" s="8">
        <v>0</v>
      </c>
      <c r="BW36" s="8">
        <v>0</v>
      </c>
      <c r="BX36" s="8">
        <v>0</v>
      </c>
      <c r="BY36" s="8">
        <v>0</v>
      </c>
      <c r="BZ36" s="8">
        <v>0</v>
      </c>
      <c r="CA36" s="8">
        <v>0</v>
      </c>
      <c r="CB36" s="8">
        <v>0</v>
      </c>
      <c r="CC36" s="8">
        <v>0</v>
      </c>
      <c r="CD36" s="8">
        <v>0</v>
      </c>
      <c r="CE36" s="8">
        <v>0</v>
      </c>
      <c r="CF36" s="8">
        <v>0</v>
      </c>
      <c r="CG36" s="8">
        <v>0</v>
      </c>
      <c r="CH36" s="8">
        <v>0</v>
      </c>
      <c r="CI36" s="8">
        <v>0</v>
      </c>
      <c r="CJ36" s="8">
        <v>0</v>
      </c>
      <c r="CK36" s="8">
        <v>0</v>
      </c>
      <c r="CL36" s="8">
        <v>0</v>
      </c>
      <c r="CM36" s="8">
        <v>0</v>
      </c>
      <c r="CN36" s="8">
        <v>0</v>
      </c>
      <c r="CO36" s="8">
        <v>0</v>
      </c>
      <c r="CP36" s="8">
        <v>0</v>
      </c>
      <c r="CQ36" s="8">
        <v>0</v>
      </c>
      <c r="CR36" s="8">
        <v>0</v>
      </c>
      <c r="CS36" s="8">
        <v>0</v>
      </c>
      <c r="CT36" s="8">
        <v>0</v>
      </c>
      <c r="CU36" s="8">
        <v>0</v>
      </c>
      <c r="CV36" s="8">
        <v>0</v>
      </c>
      <c r="CW36" s="8">
        <v>0</v>
      </c>
      <c r="CX36" s="8">
        <v>0</v>
      </c>
      <c r="CY36" s="8">
        <v>0</v>
      </c>
      <c r="CZ36" s="8">
        <v>0</v>
      </c>
      <c r="DA36" s="8">
        <v>0</v>
      </c>
      <c r="DB36" t="str">
        <f>IFERROR(INDEX('Initiative Summary'!$C$5:$C$25,MATCH($A36,'Initiative Summary'!$A$5:$A$25,0)),"")</f>
        <v>Eastbridge Region</v>
      </c>
    </row>
    <row r="37" spans="1:106" ht="24" x14ac:dyDescent="0.25">
      <c r="A37" s="6" t="s">
        <v>678</v>
      </c>
      <c r="B37" s="10" t="s">
        <v>677</v>
      </c>
      <c r="C37" s="11" t="s">
        <v>270</v>
      </c>
      <c r="D37" s="11" t="s">
        <v>249</v>
      </c>
      <c r="E37" s="11" t="s">
        <v>250</v>
      </c>
      <c r="F37" s="20">
        <v>0.2</v>
      </c>
      <c r="G37" s="20">
        <v>2026</v>
      </c>
      <c r="H37" s="11" t="s">
        <v>251</v>
      </c>
      <c r="I37" s="20">
        <v>2026</v>
      </c>
      <c r="J37" s="11" t="s">
        <v>251</v>
      </c>
      <c r="K37" s="11"/>
      <c r="L37" s="20">
        <v>0</v>
      </c>
      <c r="M37" s="11"/>
      <c r="N37" s="11"/>
      <c r="O37" s="11"/>
      <c r="P37" s="11"/>
      <c r="Q37" s="11"/>
      <c r="R37" s="11" t="s">
        <v>250</v>
      </c>
      <c r="S37" s="10"/>
      <c r="T37" s="10"/>
      <c r="U37" s="11" t="s">
        <v>770</v>
      </c>
      <c r="V37" s="11" t="s">
        <v>218</v>
      </c>
      <c r="W37" s="20">
        <v>0</v>
      </c>
      <c r="X37" s="11" t="b">
        <v>0</v>
      </c>
      <c r="Y37" s="11" t="s">
        <v>253</v>
      </c>
      <c r="Z37" s="11" t="s">
        <v>272</v>
      </c>
      <c r="AA37" s="11" t="s">
        <v>255</v>
      </c>
      <c r="AB37" s="20">
        <v>0</v>
      </c>
      <c r="AC37" s="11">
        <v>0</v>
      </c>
      <c r="AD37" s="11">
        <v>0</v>
      </c>
      <c r="AE37" s="11">
        <v>0</v>
      </c>
      <c r="AF37" s="11">
        <v>0</v>
      </c>
      <c r="AG37" s="11">
        <v>0</v>
      </c>
      <c r="AH37" s="11">
        <v>0</v>
      </c>
      <c r="AI37" s="11">
        <v>0</v>
      </c>
      <c r="AJ37" s="11">
        <v>0</v>
      </c>
      <c r="AK37" s="11">
        <v>0</v>
      </c>
      <c r="AL37" s="20">
        <v>0</v>
      </c>
      <c r="AM37" s="20">
        <v>0</v>
      </c>
      <c r="AN37" s="20">
        <v>0</v>
      </c>
      <c r="AO37" s="20">
        <v>0</v>
      </c>
      <c r="AP37" s="11">
        <v>0</v>
      </c>
      <c r="AQ37" s="11">
        <v>0</v>
      </c>
      <c r="AR37" s="11">
        <v>0</v>
      </c>
      <c r="AS37" s="11">
        <v>0</v>
      </c>
      <c r="AT37" s="11">
        <v>0</v>
      </c>
      <c r="AU37" s="11">
        <v>0</v>
      </c>
      <c r="AV37" s="11">
        <v>0</v>
      </c>
      <c r="AW37" s="11">
        <v>0</v>
      </c>
      <c r="AX37" s="11">
        <v>0</v>
      </c>
      <c r="AY37" s="11">
        <v>0</v>
      </c>
      <c r="AZ37" s="11">
        <v>0</v>
      </c>
      <c r="BA37" s="11">
        <v>0</v>
      </c>
      <c r="BB37" s="11">
        <v>0</v>
      </c>
      <c r="BC37" s="11">
        <v>0</v>
      </c>
      <c r="BD37" s="11">
        <v>0</v>
      </c>
      <c r="BE37" s="11">
        <v>0</v>
      </c>
      <c r="BF37" s="11">
        <v>0</v>
      </c>
      <c r="BG37" s="11">
        <v>0</v>
      </c>
      <c r="BH37" s="11">
        <v>0</v>
      </c>
      <c r="BI37" s="11">
        <v>0</v>
      </c>
      <c r="BJ37" s="11">
        <v>0</v>
      </c>
      <c r="BK37" s="11">
        <v>0</v>
      </c>
      <c r="BL37" s="11">
        <v>0</v>
      </c>
      <c r="BM37" s="11">
        <v>0</v>
      </c>
      <c r="BN37" s="11">
        <v>0</v>
      </c>
      <c r="BO37" s="11">
        <v>0</v>
      </c>
      <c r="BP37" s="11">
        <v>0</v>
      </c>
      <c r="BQ37" s="11">
        <v>0</v>
      </c>
      <c r="BR37" s="11">
        <v>0</v>
      </c>
      <c r="BS37" s="11">
        <v>0</v>
      </c>
      <c r="BT37" s="11">
        <v>0</v>
      </c>
      <c r="BU37" s="11">
        <v>0</v>
      </c>
      <c r="BV37" s="11">
        <v>0</v>
      </c>
      <c r="BW37" s="11">
        <v>0</v>
      </c>
      <c r="BX37" s="11">
        <v>0</v>
      </c>
      <c r="BY37" s="11">
        <v>0</v>
      </c>
      <c r="BZ37" s="11">
        <v>0</v>
      </c>
      <c r="CA37" s="11">
        <v>0</v>
      </c>
      <c r="CB37" s="11">
        <v>0</v>
      </c>
      <c r="CC37" s="11">
        <v>0</v>
      </c>
      <c r="CD37" s="11">
        <v>0</v>
      </c>
      <c r="CE37" s="11">
        <v>0</v>
      </c>
      <c r="CF37" s="11">
        <v>0</v>
      </c>
      <c r="CG37" s="11">
        <v>0</v>
      </c>
      <c r="CH37" s="11">
        <v>0</v>
      </c>
      <c r="CI37" s="11">
        <v>0</v>
      </c>
      <c r="CJ37" s="11">
        <v>0</v>
      </c>
      <c r="CK37" s="11">
        <v>0</v>
      </c>
      <c r="CL37" s="11">
        <v>0</v>
      </c>
      <c r="CM37" s="11">
        <v>0</v>
      </c>
      <c r="CN37" s="11">
        <v>0</v>
      </c>
      <c r="CO37" s="11">
        <v>0</v>
      </c>
      <c r="CP37" s="11">
        <v>0</v>
      </c>
      <c r="CQ37" s="11">
        <v>0</v>
      </c>
      <c r="CR37" s="11">
        <v>0</v>
      </c>
      <c r="CS37" s="11">
        <v>0</v>
      </c>
      <c r="CT37" s="11">
        <v>0</v>
      </c>
      <c r="CU37" s="11">
        <v>0</v>
      </c>
      <c r="CV37" s="11">
        <v>0</v>
      </c>
      <c r="CW37" s="11">
        <v>0</v>
      </c>
      <c r="CX37" s="11">
        <v>0</v>
      </c>
      <c r="CY37" s="11">
        <v>0</v>
      </c>
      <c r="CZ37" s="11">
        <v>0</v>
      </c>
      <c r="DA37" s="11">
        <v>0</v>
      </c>
      <c r="DB37" t="str">
        <f>IFERROR(INDEX('Initiative Summary'!$C$5:$C$25,MATCH($A37,'Initiative Summary'!$A$5:$A$25,0)),"")</f>
        <v>Eastbridge Region</v>
      </c>
    </row>
    <row r="38" spans="1:106" ht="24" x14ac:dyDescent="0.25">
      <c r="A38" s="6" t="s">
        <v>678</v>
      </c>
      <c r="B38" s="7" t="s">
        <v>677</v>
      </c>
      <c r="C38" s="8" t="s">
        <v>270</v>
      </c>
      <c r="D38" s="8" t="s">
        <v>204</v>
      </c>
      <c r="E38" s="8" t="s">
        <v>256</v>
      </c>
      <c r="F38" s="8"/>
      <c r="G38" s="8"/>
      <c r="H38" s="8"/>
      <c r="I38" s="8"/>
      <c r="J38" s="8"/>
      <c r="K38" s="8"/>
      <c r="L38" s="21">
        <v>0</v>
      </c>
      <c r="M38" s="8"/>
      <c r="N38" s="8"/>
      <c r="O38" s="8"/>
      <c r="P38" s="8"/>
      <c r="Q38" s="8"/>
      <c r="R38" s="8" t="s">
        <v>250</v>
      </c>
      <c r="S38" s="7"/>
      <c r="T38" s="7"/>
      <c r="U38" s="8" t="s">
        <v>770</v>
      </c>
      <c r="V38" s="8" t="s">
        <v>218</v>
      </c>
      <c r="W38" s="21">
        <v>0</v>
      </c>
      <c r="X38" s="8" t="b">
        <v>0</v>
      </c>
      <c r="Y38" s="8" t="s">
        <v>253</v>
      </c>
      <c r="Z38" s="8" t="s">
        <v>272</v>
      </c>
      <c r="AA38" s="8" t="s">
        <v>255</v>
      </c>
      <c r="AB38" s="8">
        <v>0</v>
      </c>
      <c r="AC38" s="8">
        <v>0</v>
      </c>
      <c r="AD38" s="8">
        <v>0</v>
      </c>
      <c r="AE38" s="8">
        <v>0</v>
      </c>
      <c r="AF38" s="8">
        <v>0</v>
      </c>
      <c r="AG38" s="8">
        <v>0</v>
      </c>
      <c r="AH38" s="8">
        <v>0</v>
      </c>
      <c r="AI38" s="8">
        <v>0</v>
      </c>
      <c r="AJ38" s="8">
        <v>0</v>
      </c>
      <c r="AK38" s="8">
        <v>0</v>
      </c>
      <c r="AL38" s="8">
        <v>0</v>
      </c>
      <c r="AM38" s="8">
        <v>0</v>
      </c>
      <c r="AN38" s="8">
        <v>0</v>
      </c>
      <c r="AO38" s="8">
        <v>0</v>
      </c>
      <c r="AP38" s="8">
        <v>0</v>
      </c>
      <c r="AQ38" s="8">
        <v>0</v>
      </c>
      <c r="AR38" s="8">
        <v>0</v>
      </c>
      <c r="AS38" s="8">
        <v>0</v>
      </c>
      <c r="AT38" s="8">
        <v>0</v>
      </c>
      <c r="AU38" s="8">
        <v>0</v>
      </c>
      <c r="AV38" s="8">
        <v>0</v>
      </c>
      <c r="AW38" s="8">
        <v>0</v>
      </c>
      <c r="AX38" s="8">
        <v>0</v>
      </c>
      <c r="AY38" s="8">
        <v>0</v>
      </c>
      <c r="AZ38" s="8">
        <v>0</v>
      </c>
      <c r="BA38" s="8">
        <v>0</v>
      </c>
      <c r="BB38" s="8">
        <v>0</v>
      </c>
      <c r="BC38" s="8">
        <v>0</v>
      </c>
      <c r="BD38" s="8">
        <v>0</v>
      </c>
      <c r="BE38" s="8">
        <v>0</v>
      </c>
      <c r="BF38" s="8">
        <v>0</v>
      </c>
      <c r="BG38" s="8">
        <v>0</v>
      </c>
      <c r="BH38" s="8">
        <v>0</v>
      </c>
      <c r="BI38" s="8">
        <v>0</v>
      </c>
      <c r="BJ38" s="8">
        <v>0</v>
      </c>
      <c r="BK38" s="8">
        <v>0</v>
      </c>
      <c r="BL38" s="8">
        <v>0</v>
      </c>
      <c r="BM38" s="8">
        <v>0</v>
      </c>
      <c r="BN38" s="8">
        <v>0</v>
      </c>
      <c r="BO38" s="8">
        <v>0</v>
      </c>
      <c r="BP38" s="8">
        <v>0</v>
      </c>
      <c r="BQ38" s="8">
        <v>0</v>
      </c>
      <c r="BR38" s="8">
        <v>0</v>
      </c>
      <c r="BS38" s="8">
        <v>0</v>
      </c>
      <c r="BT38" s="8">
        <v>0</v>
      </c>
      <c r="BU38" s="8">
        <v>0</v>
      </c>
      <c r="BV38" s="8">
        <v>0</v>
      </c>
      <c r="BW38" s="8">
        <v>0</v>
      </c>
      <c r="BX38" s="8">
        <v>0</v>
      </c>
      <c r="BY38" s="8">
        <v>0</v>
      </c>
      <c r="BZ38" s="8">
        <v>0</v>
      </c>
      <c r="CA38" s="8">
        <v>0</v>
      </c>
      <c r="CB38" s="8">
        <v>0</v>
      </c>
      <c r="CC38" s="8">
        <v>0</v>
      </c>
      <c r="CD38" s="8">
        <v>0</v>
      </c>
      <c r="CE38" s="8">
        <v>0</v>
      </c>
      <c r="CF38" s="8">
        <v>0</v>
      </c>
      <c r="CG38" s="8">
        <v>0</v>
      </c>
      <c r="CH38" s="8">
        <v>0</v>
      </c>
      <c r="CI38" s="8">
        <v>0</v>
      </c>
      <c r="CJ38" s="8">
        <v>0</v>
      </c>
      <c r="CK38" s="8">
        <v>0</v>
      </c>
      <c r="CL38" s="8">
        <v>0</v>
      </c>
      <c r="CM38" s="8">
        <v>0</v>
      </c>
      <c r="CN38" s="8">
        <v>0</v>
      </c>
      <c r="CO38" s="8">
        <v>0</v>
      </c>
      <c r="CP38" s="8">
        <v>0</v>
      </c>
      <c r="CQ38" s="8">
        <v>0</v>
      </c>
      <c r="CR38" s="8">
        <v>0</v>
      </c>
      <c r="CS38" s="8">
        <v>0</v>
      </c>
      <c r="CT38" s="8">
        <v>0</v>
      </c>
      <c r="CU38" s="8">
        <v>0</v>
      </c>
      <c r="CV38" s="8">
        <v>0</v>
      </c>
      <c r="CW38" s="8">
        <v>0</v>
      </c>
      <c r="CX38" s="8">
        <v>0</v>
      </c>
      <c r="CY38" s="8">
        <v>0</v>
      </c>
      <c r="CZ38" s="8">
        <v>0</v>
      </c>
      <c r="DA38" s="8">
        <v>0</v>
      </c>
      <c r="DB38" t="str">
        <f>IFERROR(INDEX('Initiative Summary'!$C$5:$C$25,MATCH($A38,'Initiative Summary'!$A$5:$A$25,0)),"")</f>
        <v>Eastbridge Region</v>
      </c>
    </row>
    <row r="39" spans="1:106" ht="24" x14ac:dyDescent="0.25">
      <c r="A39" s="6" t="s">
        <v>681</v>
      </c>
      <c r="B39" s="10" t="s">
        <v>680</v>
      </c>
      <c r="C39" s="11" t="s">
        <v>248</v>
      </c>
      <c r="D39" s="11" t="s">
        <v>249</v>
      </c>
      <c r="E39" s="11" t="s">
        <v>250</v>
      </c>
      <c r="F39" s="20">
        <v>0.4</v>
      </c>
      <c r="G39" s="20">
        <v>2026</v>
      </c>
      <c r="H39" s="11" t="s">
        <v>251</v>
      </c>
      <c r="I39" s="20">
        <v>2026</v>
      </c>
      <c r="J39" s="11" t="s">
        <v>251</v>
      </c>
      <c r="K39" s="11"/>
      <c r="L39" s="20">
        <v>0</v>
      </c>
      <c r="M39" s="11"/>
      <c r="N39" s="11"/>
      <c r="O39" s="11"/>
      <c r="P39" s="11"/>
      <c r="Q39" s="11"/>
      <c r="R39" s="11" t="s">
        <v>250</v>
      </c>
      <c r="S39" s="10"/>
      <c r="T39" s="10"/>
      <c r="U39" s="11" t="s">
        <v>771</v>
      </c>
      <c r="V39" s="11" t="s">
        <v>218</v>
      </c>
      <c r="W39" s="20">
        <v>0</v>
      </c>
      <c r="X39" s="11" t="b">
        <v>0</v>
      </c>
      <c r="Y39" s="11" t="s">
        <v>253</v>
      </c>
      <c r="Z39" s="11" t="s">
        <v>254</v>
      </c>
      <c r="AA39" s="11" t="s">
        <v>255</v>
      </c>
      <c r="AB39" s="20">
        <v>0</v>
      </c>
      <c r="AC39" s="11">
        <v>0</v>
      </c>
      <c r="AD39" s="11">
        <v>0</v>
      </c>
      <c r="AE39" s="11">
        <v>0</v>
      </c>
      <c r="AF39" s="11">
        <v>0</v>
      </c>
      <c r="AG39" s="11">
        <v>0</v>
      </c>
      <c r="AH39" s="11">
        <v>0</v>
      </c>
      <c r="AI39" s="11">
        <v>0</v>
      </c>
      <c r="AJ39" s="11">
        <v>0</v>
      </c>
      <c r="AK39" s="11">
        <v>0</v>
      </c>
      <c r="AL39" s="20">
        <v>0</v>
      </c>
      <c r="AM39" s="20">
        <v>0</v>
      </c>
      <c r="AN39" s="20">
        <v>0</v>
      </c>
      <c r="AO39" s="20">
        <v>0</v>
      </c>
      <c r="AP39" s="11">
        <v>0</v>
      </c>
      <c r="AQ39" s="11">
        <v>0</v>
      </c>
      <c r="AR39" s="11">
        <v>0</v>
      </c>
      <c r="AS39" s="11">
        <v>0</v>
      </c>
      <c r="AT39" s="11">
        <v>0</v>
      </c>
      <c r="AU39" s="11">
        <v>0</v>
      </c>
      <c r="AV39" s="11">
        <v>0</v>
      </c>
      <c r="AW39" s="11">
        <v>0</v>
      </c>
      <c r="AX39" s="11">
        <v>0</v>
      </c>
      <c r="AY39" s="11">
        <v>0</v>
      </c>
      <c r="AZ39" s="11">
        <v>0</v>
      </c>
      <c r="BA39" s="11">
        <v>0</v>
      </c>
      <c r="BB39" s="11">
        <v>0</v>
      </c>
      <c r="BC39" s="11">
        <v>0</v>
      </c>
      <c r="BD39" s="11">
        <v>0</v>
      </c>
      <c r="BE39" s="11">
        <v>0</v>
      </c>
      <c r="BF39" s="11">
        <v>0</v>
      </c>
      <c r="BG39" s="11">
        <v>0</v>
      </c>
      <c r="BH39" s="11">
        <v>0</v>
      </c>
      <c r="BI39" s="11">
        <v>0</v>
      </c>
      <c r="BJ39" s="11">
        <v>0</v>
      </c>
      <c r="BK39" s="11">
        <v>0</v>
      </c>
      <c r="BL39" s="11">
        <v>0</v>
      </c>
      <c r="BM39" s="11">
        <v>0</v>
      </c>
      <c r="BN39" s="11">
        <v>0</v>
      </c>
      <c r="BO39" s="11">
        <v>0</v>
      </c>
      <c r="BP39" s="11">
        <v>0</v>
      </c>
      <c r="BQ39" s="11">
        <v>0</v>
      </c>
      <c r="BR39" s="11">
        <v>0</v>
      </c>
      <c r="BS39" s="11">
        <v>0</v>
      </c>
      <c r="BT39" s="11">
        <v>0</v>
      </c>
      <c r="BU39" s="11">
        <v>0</v>
      </c>
      <c r="BV39" s="11">
        <v>0</v>
      </c>
      <c r="BW39" s="11">
        <v>0</v>
      </c>
      <c r="BX39" s="11">
        <v>0</v>
      </c>
      <c r="BY39" s="11">
        <v>0</v>
      </c>
      <c r="BZ39" s="11">
        <v>0</v>
      </c>
      <c r="CA39" s="11">
        <v>0</v>
      </c>
      <c r="CB39" s="11">
        <v>0</v>
      </c>
      <c r="CC39" s="11">
        <v>0</v>
      </c>
      <c r="CD39" s="11">
        <v>0</v>
      </c>
      <c r="CE39" s="11">
        <v>0</v>
      </c>
      <c r="CF39" s="11">
        <v>0</v>
      </c>
      <c r="CG39" s="11">
        <v>0</v>
      </c>
      <c r="CH39" s="11">
        <v>0</v>
      </c>
      <c r="CI39" s="11">
        <v>0</v>
      </c>
      <c r="CJ39" s="11">
        <v>0</v>
      </c>
      <c r="CK39" s="11">
        <v>0</v>
      </c>
      <c r="CL39" s="11">
        <v>0</v>
      </c>
      <c r="CM39" s="11">
        <v>0</v>
      </c>
      <c r="CN39" s="11">
        <v>0</v>
      </c>
      <c r="CO39" s="11">
        <v>0</v>
      </c>
      <c r="CP39" s="11">
        <v>0</v>
      </c>
      <c r="CQ39" s="11">
        <v>0</v>
      </c>
      <c r="CR39" s="11">
        <v>0</v>
      </c>
      <c r="CS39" s="11">
        <v>0</v>
      </c>
      <c r="CT39" s="11">
        <v>0</v>
      </c>
      <c r="CU39" s="11">
        <v>0</v>
      </c>
      <c r="CV39" s="11">
        <v>0</v>
      </c>
      <c r="CW39" s="11">
        <v>0</v>
      </c>
      <c r="CX39" s="11">
        <v>0</v>
      </c>
      <c r="CY39" s="11">
        <v>0</v>
      </c>
      <c r="CZ39" s="11">
        <v>0</v>
      </c>
      <c r="DA39" s="11">
        <v>0</v>
      </c>
      <c r="DB39" t="str">
        <f>IFERROR(INDEX('Initiative Summary'!$C$5:$C$25,MATCH($A39,'Initiative Summary'!$A$5:$A$25,0)),"")</f>
        <v>Northpeak Region</v>
      </c>
    </row>
    <row r="40" spans="1:106" ht="24" x14ac:dyDescent="0.25">
      <c r="A40" s="6" t="s">
        <v>681</v>
      </c>
      <c r="B40" s="7" t="s">
        <v>680</v>
      </c>
      <c r="C40" s="8" t="s">
        <v>248</v>
      </c>
      <c r="D40" s="8" t="s">
        <v>204</v>
      </c>
      <c r="E40" s="8" t="s">
        <v>256</v>
      </c>
      <c r="F40" s="8"/>
      <c r="G40" s="8"/>
      <c r="H40" s="8"/>
      <c r="I40" s="8"/>
      <c r="J40" s="8"/>
      <c r="K40" s="8"/>
      <c r="L40" s="21">
        <v>0</v>
      </c>
      <c r="M40" s="8"/>
      <c r="N40" s="8"/>
      <c r="O40" s="8"/>
      <c r="P40" s="8"/>
      <c r="Q40" s="8"/>
      <c r="R40" s="8" t="s">
        <v>250</v>
      </c>
      <c r="S40" s="7"/>
      <c r="T40" s="7"/>
      <c r="U40" s="8" t="s">
        <v>771</v>
      </c>
      <c r="V40" s="8" t="s">
        <v>218</v>
      </c>
      <c r="W40" s="21">
        <v>0</v>
      </c>
      <c r="X40" s="8" t="b">
        <v>0</v>
      </c>
      <c r="Y40" s="8" t="s">
        <v>253</v>
      </c>
      <c r="Z40" s="8" t="s">
        <v>254</v>
      </c>
      <c r="AA40" s="8" t="s">
        <v>255</v>
      </c>
      <c r="AB40" s="8">
        <v>0</v>
      </c>
      <c r="AC40" s="8">
        <v>0</v>
      </c>
      <c r="AD40" s="8">
        <v>0</v>
      </c>
      <c r="AE40" s="8">
        <v>0</v>
      </c>
      <c r="AF40" s="8">
        <v>0</v>
      </c>
      <c r="AG40" s="8">
        <v>0</v>
      </c>
      <c r="AH40" s="8">
        <v>0</v>
      </c>
      <c r="AI40" s="8">
        <v>0</v>
      </c>
      <c r="AJ40" s="8">
        <v>0</v>
      </c>
      <c r="AK40" s="8">
        <v>0</v>
      </c>
      <c r="AL40" s="8">
        <v>0</v>
      </c>
      <c r="AM40" s="8">
        <v>0</v>
      </c>
      <c r="AN40" s="8">
        <v>0</v>
      </c>
      <c r="AO40" s="8">
        <v>0</v>
      </c>
      <c r="AP40" s="8">
        <v>0</v>
      </c>
      <c r="AQ40" s="8">
        <v>0</v>
      </c>
      <c r="AR40" s="8">
        <v>0</v>
      </c>
      <c r="AS40" s="8">
        <v>0</v>
      </c>
      <c r="AT40" s="8">
        <v>0</v>
      </c>
      <c r="AU40" s="8">
        <v>0</v>
      </c>
      <c r="AV40" s="8">
        <v>0</v>
      </c>
      <c r="AW40" s="8">
        <v>0</v>
      </c>
      <c r="AX40" s="8">
        <v>0</v>
      </c>
      <c r="AY40" s="8">
        <v>0</v>
      </c>
      <c r="AZ40" s="8">
        <v>0</v>
      </c>
      <c r="BA40" s="8">
        <v>0</v>
      </c>
      <c r="BB40" s="8">
        <v>0</v>
      </c>
      <c r="BC40" s="8">
        <v>0</v>
      </c>
      <c r="BD40" s="8">
        <v>0</v>
      </c>
      <c r="BE40" s="8">
        <v>0</v>
      </c>
      <c r="BF40" s="8">
        <v>0</v>
      </c>
      <c r="BG40" s="8">
        <v>0</v>
      </c>
      <c r="BH40" s="8">
        <v>0</v>
      </c>
      <c r="BI40" s="8">
        <v>0</v>
      </c>
      <c r="BJ40" s="8">
        <v>0</v>
      </c>
      <c r="BK40" s="8">
        <v>0</v>
      </c>
      <c r="BL40" s="8">
        <v>0</v>
      </c>
      <c r="BM40" s="8">
        <v>0</v>
      </c>
      <c r="BN40" s="8">
        <v>0</v>
      </c>
      <c r="BO40" s="8">
        <v>0</v>
      </c>
      <c r="BP40" s="8">
        <v>0</v>
      </c>
      <c r="BQ40" s="8">
        <v>0</v>
      </c>
      <c r="BR40" s="8">
        <v>0</v>
      </c>
      <c r="BS40" s="8">
        <v>0</v>
      </c>
      <c r="BT40" s="8">
        <v>0</v>
      </c>
      <c r="BU40" s="8">
        <v>0</v>
      </c>
      <c r="BV40" s="8">
        <v>0</v>
      </c>
      <c r="BW40" s="8">
        <v>0</v>
      </c>
      <c r="BX40" s="8">
        <v>0</v>
      </c>
      <c r="BY40" s="8">
        <v>0</v>
      </c>
      <c r="BZ40" s="8">
        <v>0</v>
      </c>
      <c r="CA40" s="8">
        <v>0</v>
      </c>
      <c r="CB40" s="8">
        <v>0</v>
      </c>
      <c r="CC40" s="8">
        <v>0</v>
      </c>
      <c r="CD40" s="8">
        <v>0</v>
      </c>
      <c r="CE40" s="8">
        <v>0</v>
      </c>
      <c r="CF40" s="8">
        <v>0</v>
      </c>
      <c r="CG40" s="8">
        <v>0</v>
      </c>
      <c r="CH40" s="8">
        <v>0</v>
      </c>
      <c r="CI40" s="8">
        <v>0</v>
      </c>
      <c r="CJ40" s="8">
        <v>0</v>
      </c>
      <c r="CK40" s="8">
        <v>0</v>
      </c>
      <c r="CL40" s="8">
        <v>0</v>
      </c>
      <c r="CM40" s="8">
        <v>0</v>
      </c>
      <c r="CN40" s="8">
        <v>0</v>
      </c>
      <c r="CO40" s="8">
        <v>0</v>
      </c>
      <c r="CP40" s="8">
        <v>0</v>
      </c>
      <c r="CQ40" s="8">
        <v>0</v>
      </c>
      <c r="CR40" s="8">
        <v>0</v>
      </c>
      <c r="CS40" s="8">
        <v>0</v>
      </c>
      <c r="CT40" s="8">
        <v>0</v>
      </c>
      <c r="CU40" s="8">
        <v>0</v>
      </c>
      <c r="CV40" s="8">
        <v>0</v>
      </c>
      <c r="CW40" s="8">
        <v>0</v>
      </c>
      <c r="CX40" s="8">
        <v>0</v>
      </c>
      <c r="CY40" s="8">
        <v>0</v>
      </c>
      <c r="CZ40" s="8">
        <v>0</v>
      </c>
      <c r="DA40" s="8">
        <v>0</v>
      </c>
      <c r="DB40" t="str">
        <f>IFERROR(INDEX('Initiative Summary'!$C$5:$C$25,MATCH($A40,'Initiative Summary'!$A$5:$A$25,0)),"")</f>
        <v>Northpeak Region</v>
      </c>
    </row>
    <row r="41" spans="1:106" ht="24" x14ac:dyDescent="0.25">
      <c r="A41" s="6" t="s">
        <v>681</v>
      </c>
      <c r="B41" s="10" t="s">
        <v>680</v>
      </c>
      <c r="C41" s="11" t="s">
        <v>257</v>
      </c>
      <c r="D41" s="11" t="s">
        <v>249</v>
      </c>
      <c r="E41" s="11" t="s">
        <v>250</v>
      </c>
      <c r="F41" s="20">
        <v>0.2</v>
      </c>
      <c r="G41" s="20">
        <v>2026</v>
      </c>
      <c r="H41" s="11" t="s">
        <v>258</v>
      </c>
      <c r="I41" s="20">
        <v>2026</v>
      </c>
      <c r="J41" s="11" t="s">
        <v>258</v>
      </c>
      <c r="K41" s="11"/>
      <c r="L41" s="20">
        <v>0</v>
      </c>
      <c r="M41" s="11"/>
      <c r="N41" s="11"/>
      <c r="O41" s="11"/>
      <c r="P41" s="11"/>
      <c r="Q41" s="11"/>
      <c r="R41" s="11" t="s">
        <v>250</v>
      </c>
      <c r="S41" s="10"/>
      <c r="T41" s="10"/>
      <c r="U41" s="11" t="s">
        <v>772</v>
      </c>
      <c r="V41" s="11" t="s">
        <v>218</v>
      </c>
      <c r="W41" s="20">
        <v>0</v>
      </c>
      <c r="X41" s="11" t="b">
        <v>0</v>
      </c>
      <c r="Y41" s="11" t="s">
        <v>253</v>
      </c>
      <c r="Z41" s="11" t="s">
        <v>260</v>
      </c>
      <c r="AA41" s="11" t="s">
        <v>255</v>
      </c>
      <c r="AB41" s="20">
        <v>0</v>
      </c>
      <c r="AC41" s="11">
        <v>0</v>
      </c>
      <c r="AD41" s="11">
        <v>0</v>
      </c>
      <c r="AE41" s="11">
        <v>0</v>
      </c>
      <c r="AF41" s="11">
        <v>0</v>
      </c>
      <c r="AG41" s="11">
        <v>0</v>
      </c>
      <c r="AH41" s="11">
        <v>0</v>
      </c>
      <c r="AI41" s="11">
        <v>0</v>
      </c>
      <c r="AJ41" s="11">
        <v>0</v>
      </c>
      <c r="AK41" s="11">
        <v>0</v>
      </c>
      <c r="AL41" s="20">
        <v>0</v>
      </c>
      <c r="AM41" s="20">
        <v>0</v>
      </c>
      <c r="AN41" s="20">
        <v>0</v>
      </c>
      <c r="AO41" s="20">
        <v>0</v>
      </c>
      <c r="AP41" s="20">
        <v>0</v>
      </c>
      <c r="AQ41" s="20">
        <v>0</v>
      </c>
      <c r="AR41" s="11">
        <v>0</v>
      </c>
      <c r="AS41" s="11">
        <v>0</v>
      </c>
      <c r="AT41" s="11">
        <v>0</v>
      </c>
      <c r="AU41" s="11">
        <v>0</v>
      </c>
      <c r="AV41" s="11">
        <v>0</v>
      </c>
      <c r="AW41" s="11">
        <v>0</v>
      </c>
      <c r="AX41" s="11">
        <v>0</v>
      </c>
      <c r="AY41" s="11">
        <v>0</v>
      </c>
      <c r="AZ41" s="11">
        <v>0</v>
      </c>
      <c r="BA41" s="11">
        <v>0</v>
      </c>
      <c r="BB41" s="11">
        <v>0</v>
      </c>
      <c r="BC41" s="11">
        <v>0</v>
      </c>
      <c r="BD41" s="11">
        <v>0</v>
      </c>
      <c r="BE41" s="11">
        <v>0</v>
      </c>
      <c r="BF41" s="11">
        <v>0</v>
      </c>
      <c r="BG41" s="11">
        <v>0</v>
      </c>
      <c r="BH41" s="11">
        <v>0</v>
      </c>
      <c r="BI41" s="11">
        <v>0</v>
      </c>
      <c r="BJ41" s="11">
        <v>0</v>
      </c>
      <c r="BK41" s="11">
        <v>0</v>
      </c>
      <c r="BL41" s="11">
        <v>0</v>
      </c>
      <c r="BM41" s="11">
        <v>0</v>
      </c>
      <c r="BN41" s="11">
        <v>0</v>
      </c>
      <c r="BO41" s="11">
        <v>0</v>
      </c>
      <c r="BP41" s="11">
        <v>0</v>
      </c>
      <c r="BQ41" s="11">
        <v>0</v>
      </c>
      <c r="BR41" s="11">
        <v>0</v>
      </c>
      <c r="BS41" s="11">
        <v>0</v>
      </c>
      <c r="BT41" s="11">
        <v>0</v>
      </c>
      <c r="BU41" s="11">
        <v>0</v>
      </c>
      <c r="BV41" s="11">
        <v>0</v>
      </c>
      <c r="BW41" s="11">
        <v>0</v>
      </c>
      <c r="BX41" s="11">
        <v>0</v>
      </c>
      <c r="BY41" s="11">
        <v>0</v>
      </c>
      <c r="BZ41" s="11">
        <v>0</v>
      </c>
      <c r="CA41" s="11">
        <v>0</v>
      </c>
      <c r="CB41" s="11">
        <v>0</v>
      </c>
      <c r="CC41" s="11">
        <v>0</v>
      </c>
      <c r="CD41" s="11">
        <v>0</v>
      </c>
      <c r="CE41" s="11">
        <v>0</v>
      </c>
      <c r="CF41" s="11">
        <v>0</v>
      </c>
      <c r="CG41" s="11">
        <v>0</v>
      </c>
      <c r="CH41" s="11">
        <v>0</v>
      </c>
      <c r="CI41" s="11">
        <v>0</v>
      </c>
      <c r="CJ41" s="11">
        <v>0</v>
      </c>
      <c r="CK41" s="11">
        <v>0</v>
      </c>
      <c r="CL41" s="11">
        <v>0</v>
      </c>
      <c r="CM41" s="11">
        <v>0</v>
      </c>
      <c r="CN41" s="11">
        <v>0</v>
      </c>
      <c r="CO41" s="11">
        <v>0</v>
      </c>
      <c r="CP41" s="11">
        <v>0</v>
      </c>
      <c r="CQ41" s="11">
        <v>0</v>
      </c>
      <c r="CR41" s="11">
        <v>0</v>
      </c>
      <c r="CS41" s="11">
        <v>0</v>
      </c>
      <c r="CT41" s="11">
        <v>0</v>
      </c>
      <c r="CU41" s="11">
        <v>0</v>
      </c>
      <c r="CV41" s="11">
        <v>0</v>
      </c>
      <c r="CW41" s="11">
        <v>0</v>
      </c>
      <c r="CX41" s="11">
        <v>0</v>
      </c>
      <c r="CY41" s="11">
        <v>0</v>
      </c>
      <c r="CZ41" s="11">
        <v>0</v>
      </c>
      <c r="DA41" s="11">
        <v>0</v>
      </c>
      <c r="DB41" t="str">
        <f>IFERROR(INDEX('Initiative Summary'!$C$5:$C$25,MATCH($A41,'Initiative Summary'!$A$5:$A$25,0)),"")</f>
        <v>Northpeak Region</v>
      </c>
    </row>
    <row r="42" spans="1:106" ht="24" x14ac:dyDescent="0.25">
      <c r="A42" s="6" t="s">
        <v>681</v>
      </c>
      <c r="B42" s="7" t="s">
        <v>680</v>
      </c>
      <c r="C42" s="8" t="s">
        <v>257</v>
      </c>
      <c r="D42" s="8" t="s">
        <v>204</v>
      </c>
      <c r="E42" s="8" t="s">
        <v>256</v>
      </c>
      <c r="F42" s="8"/>
      <c r="G42" s="8"/>
      <c r="H42" s="8"/>
      <c r="I42" s="8"/>
      <c r="J42" s="8"/>
      <c r="K42" s="8"/>
      <c r="L42" s="21">
        <v>0</v>
      </c>
      <c r="M42" s="8"/>
      <c r="N42" s="8"/>
      <c r="O42" s="8"/>
      <c r="P42" s="8"/>
      <c r="Q42" s="8"/>
      <c r="R42" s="8" t="s">
        <v>250</v>
      </c>
      <c r="S42" s="7"/>
      <c r="T42" s="7"/>
      <c r="U42" s="8" t="s">
        <v>772</v>
      </c>
      <c r="V42" s="8" t="s">
        <v>218</v>
      </c>
      <c r="W42" s="21">
        <v>0</v>
      </c>
      <c r="X42" s="8" t="b">
        <v>0</v>
      </c>
      <c r="Y42" s="8" t="s">
        <v>253</v>
      </c>
      <c r="Z42" s="8" t="s">
        <v>260</v>
      </c>
      <c r="AA42" s="8" t="s">
        <v>255</v>
      </c>
      <c r="AB42" s="8">
        <v>0</v>
      </c>
      <c r="AC42" s="8">
        <v>0</v>
      </c>
      <c r="AD42" s="8">
        <v>0</v>
      </c>
      <c r="AE42" s="8">
        <v>0</v>
      </c>
      <c r="AF42" s="8">
        <v>0</v>
      </c>
      <c r="AG42" s="8">
        <v>0</v>
      </c>
      <c r="AH42" s="8">
        <v>0</v>
      </c>
      <c r="AI42" s="8">
        <v>0</v>
      </c>
      <c r="AJ42" s="8">
        <v>0</v>
      </c>
      <c r="AK42" s="8">
        <v>0</v>
      </c>
      <c r="AL42" s="8">
        <v>0</v>
      </c>
      <c r="AM42" s="8">
        <v>0</v>
      </c>
      <c r="AN42" s="8">
        <v>0</v>
      </c>
      <c r="AO42" s="8">
        <v>0</v>
      </c>
      <c r="AP42" s="8">
        <v>0</v>
      </c>
      <c r="AQ42" s="8">
        <v>0</v>
      </c>
      <c r="AR42" s="8">
        <v>0</v>
      </c>
      <c r="AS42" s="8">
        <v>0</v>
      </c>
      <c r="AT42" s="8">
        <v>0</v>
      </c>
      <c r="AU42" s="8">
        <v>0</v>
      </c>
      <c r="AV42" s="8">
        <v>0</v>
      </c>
      <c r="AW42" s="8">
        <v>0</v>
      </c>
      <c r="AX42" s="8">
        <v>0</v>
      </c>
      <c r="AY42" s="8">
        <v>0</v>
      </c>
      <c r="AZ42" s="8">
        <v>0</v>
      </c>
      <c r="BA42" s="8">
        <v>0</v>
      </c>
      <c r="BB42" s="8">
        <v>0</v>
      </c>
      <c r="BC42" s="8">
        <v>0</v>
      </c>
      <c r="BD42" s="8">
        <v>0</v>
      </c>
      <c r="BE42" s="8">
        <v>0</v>
      </c>
      <c r="BF42" s="8">
        <v>0</v>
      </c>
      <c r="BG42" s="8">
        <v>0</v>
      </c>
      <c r="BH42" s="8">
        <v>0</v>
      </c>
      <c r="BI42" s="8">
        <v>0</v>
      </c>
      <c r="BJ42" s="8">
        <v>0</v>
      </c>
      <c r="BK42" s="8">
        <v>0</v>
      </c>
      <c r="BL42" s="8">
        <v>0</v>
      </c>
      <c r="BM42" s="8">
        <v>0</v>
      </c>
      <c r="BN42" s="8">
        <v>0</v>
      </c>
      <c r="BO42" s="8">
        <v>0</v>
      </c>
      <c r="BP42" s="8">
        <v>0</v>
      </c>
      <c r="BQ42" s="8">
        <v>0</v>
      </c>
      <c r="BR42" s="8">
        <v>0</v>
      </c>
      <c r="BS42" s="8">
        <v>0</v>
      </c>
      <c r="BT42" s="8">
        <v>0</v>
      </c>
      <c r="BU42" s="8">
        <v>0</v>
      </c>
      <c r="BV42" s="8">
        <v>0</v>
      </c>
      <c r="BW42" s="8">
        <v>0</v>
      </c>
      <c r="BX42" s="8">
        <v>0</v>
      </c>
      <c r="BY42" s="8">
        <v>0</v>
      </c>
      <c r="BZ42" s="8">
        <v>0</v>
      </c>
      <c r="CA42" s="8">
        <v>0</v>
      </c>
      <c r="CB42" s="8">
        <v>0</v>
      </c>
      <c r="CC42" s="8">
        <v>0</v>
      </c>
      <c r="CD42" s="8">
        <v>0</v>
      </c>
      <c r="CE42" s="8">
        <v>0</v>
      </c>
      <c r="CF42" s="8">
        <v>0</v>
      </c>
      <c r="CG42" s="8">
        <v>0</v>
      </c>
      <c r="CH42" s="8">
        <v>0</v>
      </c>
      <c r="CI42" s="8">
        <v>0</v>
      </c>
      <c r="CJ42" s="8">
        <v>0</v>
      </c>
      <c r="CK42" s="8">
        <v>0</v>
      </c>
      <c r="CL42" s="8">
        <v>0</v>
      </c>
      <c r="CM42" s="8">
        <v>0</v>
      </c>
      <c r="CN42" s="8">
        <v>0</v>
      </c>
      <c r="CO42" s="8">
        <v>0</v>
      </c>
      <c r="CP42" s="8">
        <v>0</v>
      </c>
      <c r="CQ42" s="8">
        <v>0</v>
      </c>
      <c r="CR42" s="8">
        <v>0</v>
      </c>
      <c r="CS42" s="8">
        <v>0</v>
      </c>
      <c r="CT42" s="8">
        <v>0</v>
      </c>
      <c r="CU42" s="8">
        <v>0</v>
      </c>
      <c r="CV42" s="8">
        <v>0</v>
      </c>
      <c r="CW42" s="8">
        <v>0</v>
      </c>
      <c r="CX42" s="8">
        <v>0</v>
      </c>
      <c r="CY42" s="8">
        <v>0</v>
      </c>
      <c r="CZ42" s="8">
        <v>0</v>
      </c>
      <c r="DA42" s="8">
        <v>0</v>
      </c>
      <c r="DB42" t="str">
        <f>IFERROR(INDEX('Initiative Summary'!$C$5:$C$25,MATCH($A42,'Initiative Summary'!$A$5:$A$25,0)),"")</f>
        <v>Northpeak Region</v>
      </c>
    </row>
    <row r="43" spans="1:106" ht="24" x14ac:dyDescent="0.25">
      <c r="A43" s="6" t="s">
        <v>681</v>
      </c>
      <c r="B43" s="10" t="s">
        <v>680</v>
      </c>
      <c r="C43" s="11" t="s">
        <v>261</v>
      </c>
      <c r="D43" s="11" t="s">
        <v>249</v>
      </c>
      <c r="E43" s="11" t="s">
        <v>256</v>
      </c>
      <c r="F43" s="11"/>
      <c r="G43" s="11"/>
      <c r="H43" s="11"/>
      <c r="I43" s="11"/>
      <c r="J43" s="11"/>
      <c r="K43" s="11"/>
      <c r="L43" s="20">
        <v>0</v>
      </c>
      <c r="M43" s="11"/>
      <c r="N43" s="11"/>
      <c r="O43" s="11"/>
      <c r="P43" s="11"/>
      <c r="Q43" s="11"/>
      <c r="R43" s="11" t="s">
        <v>215</v>
      </c>
      <c r="S43" s="10"/>
      <c r="T43" s="10"/>
      <c r="U43" s="11" t="s">
        <v>773</v>
      </c>
      <c r="V43" s="11" t="s">
        <v>218</v>
      </c>
      <c r="W43" s="20">
        <v>0</v>
      </c>
      <c r="X43" s="11" t="b">
        <v>0</v>
      </c>
      <c r="Y43" s="11" t="s">
        <v>263</v>
      </c>
      <c r="Z43" s="11" t="s">
        <v>264</v>
      </c>
      <c r="AA43" s="11" t="s">
        <v>264</v>
      </c>
      <c r="AB43" s="20">
        <v>0</v>
      </c>
      <c r="AC43" s="20">
        <v>5.7000000000000002E-2</v>
      </c>
      <c r="AD43" s="20">
        <v>5.7000000000000002E-2</v>
      </c>
      <c r="AE43" s="20">
        <v>5.7000000000000002E-2</v>
      </c>
      <c r="AF43" s="20">
        <v>5.7000000000000002E-2</v>
      </c>
      <c r="AG43" s="11">
        <v>0</v>
      </c>
      <c r="AH43" s="11">
        <v>0</v>
      </c>
      <c r="AI43" s="11">
        <v>0</v>
      </c>
      <c r="AJ43" s="11">
        <v>0</v>
      </c>
      <c r="AK43" s="11">
        <v>0</v>
      </c>
      <c r="AL43" s="11">
        <v>0</v>
      </c>
      <c r="AM43" s="11">
        <v>0</v>
      </c>
      <c r="AN43" s="11">
        <v>0</v>
      </c>
      <c r="AO43" s="11">
        <v>0</v>
      </c>
      <c r="AP43" s="11">
        <v>0</v>
      </c>
      <c r="AQ43" s="11">
        <v>0</v>
      </c>
      <c r="AR43" s="20">
        <v>0</v>
      </c>
      <c r="AS43" s="20">
        <v>4.7499999999999999E-3</v>
      </c>
      <c r="AT43" s="20">
        <v>4.7499999999999999E-3</v>
      </c>
      <c r="AU43" s="20">
        <v>4.7499999999999999E-3</v>
      </c>
      <c r="AV43" s="20">
        <v>4.7499999999999999E-3</v>
      </c>
      <c r="AW43" s="20">
        <v>4.7499999999999999E-3</v>
      </c>
      <c r="AX43" s="20">
        <v>4.7499999999999999E-3</v>
      </c>
      <c r="AY43" s="20">
        <v>4.7499999999999999E-3</v>
      </c>
      <c r="AZ43" s="20">
        <v>4.7499999999999999E-3</v>
      </c>
      <c r="BA43" s="20">
        <v>4.7499999999999999E-3</v>
      </c>
      <c r="BB43" s="20">
        <v>4.7499999999999999E-3</v>
      </c>
      <c r="BC43" s="20">
        <v>4.7499999999999999E-3</v>
      </c>
      <c r="BD43" s="20">
        <v>4.7499999999999999E-3</v>
      </c>
      <c r="BE43" s="20">
        <v>4.7499999999999999E-3</v>
      </c>
      <c r="BF43" s="20">
        <v>4.7499999999999999E-3</v>
      </c>
      <c r="BG43" s="20">
        <v>4.7499999999999999E-3</v>
      </c>
      <c r="BH43" s="20">
        <v>4.7499999999999999E-3</v>
      </c>
      <c r="BI43" s="20">
        <v>4.7499999999999999E-3</v>
      </c>
      <c r="BJ43" s="20">
        <v>4.7499999999999999E-3</v>
      </c>
      <c r="BK43" s="20">
        <v>4.7499999999999999E-3</v>
      </c>
      <c r="BL43" s="20">
        <v>4.7499999999999999E-3</v>
      </c>
      <c r="BM43" s="20">
        <v>4.7499999999999999E-3</v>
      </c>
      <c r="BN43" s="20">
        <v>4.7499999999999999E-3</v>
      </c>
      <c r="BO43" s="20">
        <v>4.7499999999999999E-3</v>
      </c>
      <c r="BP43" s="20">
        <v>4.7499999999999999E-3</v>
      </c>
      <c r="BQ43" s="20">
        <v>4.7499999999999999E-3</v>
      </c>
      <c r="BR43" s="20">
        <v>4.7499999999999999E-3</v>
      </c>
      <c r="BS43" s="20">
        <v>4.7499999999999999E-3</v>
      </c>
      <c r="BT43" s="20">
        <v>4.7499999999999999E-3</v>
      </c>
      <c r="BU43" s="20">
        <v>4.7499999999999999E-3</v>
      </c>
      <c r="BV43" s="20">
        <v>4.7499999999999999E-3</v>
      </c>
      <c r="BW43" s="20">
        <v>4.7499999999999999E-3</v>
      </c>
      <c r="BX43" s="20">
        <v>4.7499999999999999E-3</v>
      </c>
      <c r="BY43" s="20">
        <v>4.7499999999999999E-3</v>
      </c>
      <c r="BZ43" s="20">
        <v>4.7499999999999999E-3</v>
      </c>
      <c r="CA43" s="20">
        <v>4.7499999999999999E-3</v>
      </c>
      <c r="CB43" s="20">
        <v>4.7499999999999999E-3</v>
      </c>
      <c r="CC43" s="20">
        <v>4.7499999999999999E-3</v>
      </c>
      <c r="CD43" s="20">
        <v>4.7499999999999999E-3</v>
      </c>
      <c r="CE43" s="20">
        <v>4.7499999999999999E-3</v>
      </c>
      <c r="CF43" s="20">
        <v>4.7499999999999999E-3</v>
      </c>
      <c r="CG43" s="20">
        <v>4.7499999999999999E-3</v>
      </c>
      <c r="CH43" s="20">
        <v>4.7499999999999999E-3</v>
      </c>
      <c r="CI43" s="20">
        <v>4.7499999999999999E-3</v>
      </c>
      <c r="CJ43" s="20">
        <v>4.7499999999999999E-3</v>
      </c>
      <c r="CK43" s="20">
        <v>4.7499999999999999E-3</v>
      </c>
      <c r="CL43" s="20">
        <v>4.7499999999999999E-3</v>
      </c>
      <c r="CM43" s="20">
        <v>4.7499999999999999E-3</v>
      </c>
      <c r="CN43" s="20">
        <v>4.7499999999999999E-3</v>
      </c>
      <c r="CO43" s="11">
        <v>5.7000000000000002E-2</v>
      </c>
      <c r="CP43" s="11">
        <v>4.7499999999999999E-3</v>
      </c>
      <c r="CQ43" s="11">
        <v>4.7499999999999999E-3</v>
      </c>
      <c r="CR43" s="11">
        <v>4.7499999999999999E-3</v>
      </c>
      <c r="CS43" s="11">
        <v>4.7499999999999999E-3</v>
      </c>
      <c r="CT43" s="11">
        <v>4.7499999999999999E-3</v>
      </c>
      <c r="CU43" s="11">
        <v>4.7499999999999999E-3</v>
      </c>
      <c r="CV43" s="11">
        <v>4.7499999999999999E-3</v>
      </c>
      <c r="CW43" s="11">
        <v>4.7499999999999999E-3</v>
      </c>
      <c r="CX43" s="11">
        <v>4.7499999999999999E-3</v>
      </c>
      <c r="CY43" s="11">
        <v>4.7499999999999999E-3</v>
      </c>
      <c r="CZ43" s="11">
        <v>4.7499999999999999E-3</v>
      </c>
      <c r="DA43" s="11">
        <v>4.7499999999999999E-3</v>
      </c>
      <c r="DB43" t="str">
        <f>IFERROR(INDEX('Initiative Summary'!$C$5:$C$25,MATCH($A43,'Initiative Summary'!$A$5:$A$25,0)),"")</f>
        <v>Northpeak Region</v>
      </c>
    </row>
    <row r="44" spans="1:106" ht="24" x14ac:dyDescent="0.25">
      <c r="A44" s="6" t="s">
        <v>681</v>
      </c>
      <c r="B44" s="7" t="s">
        <v>680</v>
      </c>
      <c r="C44" s="8" t="s">
        <v>261</v>
      </c>
      <c r="D44" s="8" t="s">
        <v>204</v>
      </c>
      <c r="E44" s="8" t="s">
        <v>256</v>
      </c>
      <c r="F44" s="8"/>
      <c r="G44" s="8"/>
      <c r="H44" s="8"/>
      <c r="I44" s="8"/>
      <c r="J44" s="8"/>
      <c r="K44" s="8"/>
      <c r="L44" s="21">
        <v>0</v>
      </c>
      <c r="M44" s="8"/>
      <c r="N44" s="8"/>
      <c r="O44" s="8"/>
      <c r="P44" s="8"/>
      <c r="Q44" s="8"/>
      <c r="R44" s="8" t="s">
        <v>215</v>
      </c>
      <c r="S44" s="7"/>
      <c r="T44" s="7"/>
      <c r="U44" s="8" t="s">
        <v>773</v>
      </c>
      <c r="V44" s="8" t="s">
        <v>218</v>
      </c>
      <c r="W44" s="21">
        <v>0</v>
      </c>
      <c r="X44" s="8" t="b">
        <v>0</v>
      </c>
      <c r="Y44" s="8" t="s">
        <v>263</v>
      </c>
      <c r="Z44" s="8" t="s">
        <v>264</v>
      </c>
      <c r="AA44" s="8" t="s">
        <v>264</v>
      </c>
      <c r="AB44" s="8">
        <v>0</v>
      </c>
      <c r="AC44" s="8">
        <v>0</v>
      </c>
      <c r="AD44" s="8">
        <v>0</v>
      </c>
      <c r="AE44" s="8">
        <v>0</v>
      </c>
      <c r="AF44" s="8">
        <v>0</v>
      </c>
      <c r="AG44" s="8">
        <v>0</v>
      </c>
      <c r="AH44" s="8">
        <v>0</v>
      </c>
      <c r="AI44" s="8">
        <v>0</v>
      </c>
      <c r="AJ44" s="8">
        <v>0</v>
      </c>
      <c r="AK44" s="8">
        <v>0</v>
      </c>
      <c r="AL44" s="8">
        <v>0</v>
      </c>
      <c r="AM44" s="8">
        <v>0</v>
      </c>
      <c r="AN44" s="8">
        <v>0</v>
      </c>
      <c r="AO44" s="8">
        <v>0</v>
      </c>
      <c r="AP44" s="8">
        <v>0</v>
      </c>
      <c r="AQ44" s="8">
        <v>0</v>
      </c>
      <c r="AR44" s="8">
        <v>0</v>
      </c>
      <c r="AS44" s="8">
        <v>0</v>
      </c>
      <c r="AT44" s="8">
        <v>0</v>
      </c>
      <c r="AU44" s="8">
        <v>0</v>
      </c>
      <c r="AV44" s="8">
        <v>0</v>
      </c>
      <c r="AW44" s="8">
        <v>0</v>
      </c>
      <c r="AX44" s="8">
        <v>0</v>
      </c>
      <c r="AY44" s="8">
        <v>0</v>
      </c>
      <c r="AZ44" s="8">
        <v>0</v>
      </c>
      <c r="BA44" s="8">
        <v>0</v>
      </c>
      <c r="BB44" s="8">
        <v>0</v>
      </c>
      <c r="BC44" s="8">
        <v>0</v>
      </c>
      <c r="BD44" s="8">
        <v>0</v>
      </c>
      <c r="BE44" s="8">
        <v>0</v>
      </c>
      <c r="BF44" s="8">
        <v>0</v>
      </c>
      <c r="BG44" s="8">
        <v>0</v>
      </c>
      <c r="BH44" s="8">
        <v>0</v>
      </c>
      <c r="BI44" s="8">
        <v>0</v>
      </c>
      <c r="BJ44" s="8">
        <v>0</v>
      </c>
      <c r="BK44" s="8">
        <v>0</v>
      </c>
      <c r="BL44" s="8">
        <v>0</v>
      </c>
      <c r="BM44" s="8">
        <v>0</v>
      </c>
      <c r="BN44" s="8">
        <v>0</v>
      </c>
      <c r="BO44" s="8">
        <v>0</v>
      </c>
      <c r="BP44" s="8">
        <v>0</v>
      </c>
      <c r="BQ44" s="8">
        <v>0</v>
      </c>
      <c r="BR44" s="8">
        <v>0</v>
      </c>
      <c r="BS44" s="8">
        <v>0</v>
      </c>
      <c r="BT44" s="8">
        <v>0</v>
      </c>
      <c r="BU44" s="8">
        <v>0</v>
      </c>
      <c r="BV44" s="8">
        <v>0</v>
      </c>
      <c r="BW44" s="8">
        <v>0</v>
      </c>
      <c r="BX44" s="8">
        <v>0</v>
      </c>
      <c r="BY44" s="8">
        <v>0</v>
      </c>
      <c r="BZ44" s="8">
        <v>0</v>
      </c>
      <c r="CA44" s="8">
        <v>0</v>
      </c>
      <c r="CB44" s="8">
        <v>0</v>
      </c>
      <c r="CC44" s="8">
        <v>0</v>
      </c>
      <c r="CD44" s="8">
        <v>0</v>
      </c>
      <c r="CE44" s="8">
        <v>0</v>
      </c>
      <c r="CF44" s="8">
        <v>0</v>
      </c>
      <c r="CG44" s="8">
        <v>0</v>
      </c>
      <c r="CH44" s="8">
        <v>0</v>
      </c>
      <c r="CI44" s="8">
        <v>0</v>
      </c>
      <c r="CJ44" s="8">
        <v>0</v>
      </c>
      <c r="CK44" s="8">
        <v>0</v>
      </c>
      <c r="CL44" s="8">
        <v>0</v>
      </c>
      <c r="CM44" s="8">
        <v>0</v>
      </c>
      <c r="CN44" s="8">
        <v>0</v>
      </c>
      <c r="CO44" s="8">
        <v>0</v>
      </c>
      <c r="CP44" s="8">
        <v>0</v>
      </c>
      <c r="CQ44" s="8">
        <v>0</v>
      </c>
      <c r="CR44" s="8">
        <v>0</v>
      </c>
      <c r="CS44" s="8">
        <v>0</v>
      </c>
      <c r="CT44" s="8">
        <v>0</v>
      </c>
      <c r="CU44" s="8">
        <v>0</v>
      </c>
      <c r="CV44" s="8">
        <v>0</v>
      </c>
      <c r="CW44" s="8">
        <v>0</v>
      </c>
      <c r="CX44" s="8">
        <v>0</v>
      </c>
      <c r="CY44" s="8">
        <v>0</v>
      </c>
      <c r="CZ44" s="8">
        <v>0</v>
      </c>
      <c r="DA44" s="8">
        <v>0</v>
      </c>
      <c r="DB44" t="str">
        <f>IFERROR(INDEX('Initiative Summary'!$C$5:$C$25,MATCH($A44,'Initiative Summary'!$A$5:$A$25,0)),"")</f>
        <v>Northpeak Region</v>
      </c>
    </row>
    <row r="45" spans="1:106" ht="24" x14ac:dyDescent="0.25">
      <c r="A45" s="6" t="s">
        <v>686</v>
      </c>
      <c r="B45" s="10" t="s">
        <v>685</v>
      </c>
      <c r="C45" s="11" t="s">
        <v>257</v>
      </c>
      <c r="D45" s="11" t="s">
        <v>249</v>
      </c>
      <c r="E45" s="11" t="s">
        <v>250</v>
      </c>
      <c r="F45" s="20">
        <v>0</v>
      </c>
      <c r="G45" s="11"/>
      <c r="H45" s="11"/>
      <c r="I45" s="11"/>
      <c r="J45" s="11"/>
      <c r="K45" s="11"/>
      <c r="L45" s="20">
        <v>0</v>
      </c>
      <c r="M45" s="11"/>
      <c r="N45" s="11"/>
      <c r="O45" s="11"/>
      <c r="P45" s="11"/>
      <c r="Q45" s="11"/>
      <c r="R45" s="11" t="s">
        <v>250</v>
      </c>
      <c r="S45" s="10"/>
      <c r="T45" s="10"/>
      <c r="U45" s="11" t="s">
        <v>774</v>
      </c>
      <c r="V45" s="11" t="s">
        <v>218</v>
      </c>
      <c r="W45" s="20">
        <v>0</v>
      </c>
      <c r="X45" s="11" t="b">
        <v>0</v>
      </c>
      <c r="Y45" s="11" t="s">
        <v>253</v>
      </c>
      <c r="Z45" s="11" t="s">
        <v>274</v>
      </c>
      <c r="AA45" s="11" t="s">
        <v>255</v>
      </c>
      <c r="AB45" s="20">
        <v>0</v>
      </c>
      <c r="AC45" s="20">
        <v>0</v>
      </c>
      <c r="AD45" s="11">
        <v>0</v>
      </c>
      <c r="AE45" s="11">
        <v>0</v>
      </c>
      <c r="AF45" s="11">
        <v>0</v>
      </c>
      <c r="AG45" s="11">
        <v>0</v>
      </c>
      <c r="AH45" s="11">
        <v>0</v>
      </c>
      <c r="AI45" s="11">
        <v>0</v>
      </c>
      <c r="AJ45" s="11">
        <v>0</v>
      </c>
      <c r="AK45" s="11">
        <v>0</v>
      </c>
      <c r="AL45" s="11">
        <v>0</v>
      </c>
      <c r="AM45" s="11">
        <v>0</v>
      </c>
      <c r="AN45" s="20">
        <v>0</v>
      </c>
      <c r="AO45" s="20">
        <v>0</v>
      </c>
      <c r="AP45" s="20">
        <v>0</v>
      </c>
      <c r="AQ45" s="20">
        <v>0</v>
      </c>
      <c r="AR45" s="20">
        <v>0</v>
      </c>
      <c r="AS45" s="20">
        <v>0</v>
      </c>
      <c r="AT45" s="20">
        <v>0</v>
      </c>
      <c r="AU45" s="20">
        <v>0</v>
      </c>
      <c r="AV45" s="20">
        <v>0</v>
      </c>
      <c r="AW45" s="20">
        <v>0</v>
      </c>
      <c r="AX45" s="20">
        <v>0</v>
      </c>
      <c r="AY45" s="20">
        <v>0</v>
      </c>
      <c r="AZ45" s="20">
        <v>0</v>
      </c>
      <c r="BA45" s="20">
        <v>0</v>
      </c>
      <c r="BB45" s="20">
        <v>0</v>
      </c>
      <c r="BC45" s="20">
        <v>0</v>
      </c>
      <c r="BD45" s="20">
        <v>0</v>
      </c>
      <c r="BE45" s="11">
        <v>0</v>
      </c>
      <c r="BF45" s="11">
        <v>0</v>
      </c>
      <c r="BG45" s="11">
        <v>0</v>
      </c>
      <c r="BH45" s="11">
        <v>0</v>
      </c>
      <c r="BI45" s="11">
        <v>0</v>
      </c>
      <c r="BJ45" s="11">
        <v>0</v>
      </c>
      <c r="BK45" s="11">
        <v>0</v>
      </c>
      <c r="BL45" s="11">
        <v>0</v>
      </c>
      <c r="BM45" s="11">
        <v>0</v>
      </c>
      <c r="BN45" s="11">
        <v>0</v>
      </c>
      <c r="BO45" s="11">
        <v>0</v>
      </c>
      <c r="BP45" s="11">
        <v>0</v>
      </c>
      <c r="BQ45" s="11">
        <v>0</v>
      </c>
      <c r="BR45" s="11">
        <v>0</v>
      </c>
      <c r="BS45" s="11">
        <v>0</v>
      </c>
      <c r="BT45" s="11">
        <v>0</v>
      </c>
      <c r="BU45" s="11">
        <v>0</v>
      </c>
      <c r="BV45" s="11">
        <v>0</v>
      </c>
      <c r="BW45" s="11">
        <v>0</v>
      </c>
      <c r="BX45" s="11">
        <v>0</v>
      </c>
      <c r="BY45" s="11">
        <v>0</v>
      </c>
      <c r="BZ45" s="11">
        <v>0</v>
      </c>
      <c r="CA45" s="11">
        <v>0</v>
      </c>
      <c r="CB45" s="11">
        <v>0</v>
      </c>
      <c r="CC45" s="11">
        <v>0</v>
      </c>
      <c r="CD45" s="11">
        <v>0</v>
      </c>
      <c r="CE45" s="11">
        <v>0</v>
      </c>
      <c r="CF45" s="11">
        <v>0</v>
      </c>
      <c r="CG45" s="11">
        <v>0</v>
      </c>
      <c r="CH45" s="11">
        <v>0</v>
      </c>
      <c r="CI45" s="11">
        <v>0</v>
      </c>
      <c r="CJ45" s="11">
        <v>0</v>
      </c>
      <c r="CK45" s="11">
        <v>0</v>
      </c>
      <c r="CL45" s="11">
        <v>0</v>
      </c>
      <c r="CM45" s="11">
        <v>0</v>
      </c>
      <c r="CN45" s="11">
        <v>0</v>
      </c>
      <c r="CO45" s="11">
        <v>0</v>
      </c>
      <c r="CP45" s="11">
        <v>0</v>
      </c>
      <c r="CQ45" s="11">
        <v>0</v>
      </c>
      <c r="CR45" s="11">
        <v>0</v>
      </c>
      <c r="CS45" s="11">
        <v>0</v>
      </c>
      <c r="CT45" s="11">
        <v>0</v>
      </c>
      <c r="CU45" s="11">
        <v>0</v>
      </c>
      <c r="CV45" s="11">
        <v>0</v>
      </c>
      <c r="CW45" s="11">
        <v>0</v>
      </c>
      <c r="CX45" s="11">
        <v>0</v>
      </c>
      <c r="CY45" s="11">
        <v>0</v>
      </c>
      <c r="CZ45" s="11">
        <v>0</v>
      </c>
      <c r="DA45" s="11">
        <v>0</v>
      </c>
      <c r="DB45" t="str">
        <f>IFERROR(INDEX('Initiative Summary'!$C$5:$C$25,MATCH($A45,'Initiative Summary'!$A$5:$A$25,0)),"")</f>
        <v>Northpeak Region</v>
      </c>
    </row>
    <row r="46" spans="1:106" ht="24" x14ac:dyDescent="0.25">
      <c r="A46" s="6" t="s">
        <v>686</v>
      </c>
      <c r="B46" s="7" t="s">
        <v>685</v>
      </c>
      <c r="C46" s="8" t="s">
        <v>257</v>
      </c>
      <c r="D46" s="8" t="s">
        <v>204</v>
      </c>
      <c r="E46" s="8" t="s">
        <v>256</v>
      </c>
      <c r="F46" s="8"/>
      <c r="G46" s="8"/>
      <c r="H46" s="8"/>
      <c r="I46" s="8"/>
      <c r="J46" s="8"/>
      <c r="K46" s="8"/>
      <c r="L46" s="21">
        <v>0</v>
      </c>
      <c r="M46" s="8"/>
      <c r="N46" s="8"/>
      <c r="O46" s="8"/>
      <c r="P46" s="8"/>
      <c r="Q46" s="8"/>
      <c r="R46" s="8" t="s">
        <v>250</v>
      </c>
      <c r="S46" s="7"/>
      <c r="T46" s="7"/>
      <c r="U46" s="8" t="s">
        <v>774</v>
      </c>
      <c r="V46" s="8" t="s">
        <v>218</v>
      </c>
      <c r="W46" s="21">
        <v>0</v>
      </c>
      <c r="X46" s="8" t="b">
        <v>0</v>
      </c>
      <c r="Y46" s="8" t="s">
        <v>253</v>
      </c>
      <c r="Z46" s="8" t="s">
        <v>274</v>
      </c>
      <c r="AA46" s="8" t="s">
        <v>255</v>
      </c>
      <c r="AB46" s="8">
        <v>0</v>
      </c>
      <c r="AC46" s="8">
        <v>0</v>
      </c>
      <c r="AD46" s="8">
        <v>0</v>
      </c>
      <c r="AE46" s="8">
        <v>0</v>
      </c>
      <c r="AF46" s="8">
        <v>0</v>
      </c>
      <c r="AG46" s="8">
        <v>0</v>
      </c>
      <c r="AH46" s="8">
        <v>0</v>
      </c>
      <c r="AI46" s="8">
        <v>0</v>
      </c>
      <c r="AJ46" s="8">
        <v>0</v>
      </c>
      <c r="AK46" s="8">
        <v>0</v>
      </c>
      <c r="AL46" s="8">
        <v>0</v>
      </c>
      <c r="AM46" s="8">
        <v>0</v>
      </c>
      <c r="AN46" s="8">
        <v>0</v>
      </c>
      <c r="AO46" s="8">
        <v>0</v>
      </c>
      <c r="AP46" s="8">
        <v>0</v>
      </c>
      <c r="AQ46" s="8">
        <v>0</v>
      </c>
      <c r="AR46" s="8">
        <v>0</v>
      </c>
      <c r="AS46" s="8">
        <v>0</v>
      </c>
      <c r="AT46" s="8">
        <v>0</v>
      </c>
      <c r="AU46" s="8">
        <v>0</v>
      </c>
      <c r="AV46" s="8">
        <v>0</v>
      </c>
      <c r="AW46" s="8">
        <v>0</v>
      </c>
      <c r="AX46" s="8">
        <v>0</v>
      </c>
      <c r="AY46" s="8">
        <v>0</v>
      </c>
      <c r="AZ46" s="8">
        <v>0</v>
      </c>
      <c r="BA46" s="8">
        <v>0</v>
      </c>
      <c r="BB46" s="8">
        <v>0</v>
      </c>
      <c r="BC46" s="8">
        <v>0</v>
      </c>
      <c r="BD46" s="8">
        <v>0</v>
      </c>
      <c r="BE46" s="8">
        <v>0</v>
      </c>
      <c r="BF46" s="8">
        <v>0</v>
      </c>
      <c r="BG46" s="8">
        <v>0</v>
      </c>
      <c r="BH46" s="8">
        <v>0</v>
      </c>
      <c r="BI46" s="8">
        <v>0</v>
      </c>
      <c r="BJ46" s="8">
        <v>0</v>
      </c>
      <c r="BK46" s="8">
        <v>0</v>
      </c>
      <c r="BL46" s="8">
        <v>0</v>
      </c>
      <c r="BM46" s="8">
        <v>0</v>
      </c>
      <c r="BN46" s="8">
        <v>0</v>
      </c>
      <c r="BO46" s="8">
        <v>0</v>
      </c>
      <c r="BP46" s="8">
        <v>0</v>
      </c>
      <c r="BQ46" s="8">
        <v>0</v>
      </c>
      <c r="BR46" s="8">
        <v>0</v>
      </c>
      <c r="BS46" s="8">
        <v>0</v>
      </c>
      <c r="BT46" s="8">
        <v>0</v>
      </c>
      <c r="BU46" s="8">
        <v>0</v>
      </c>
      <c r="BV46" s="8">
        <v>0</v>
      </c>
      <c r="BW46" s="8">
        <v>0</v>
      </c>
      <c r="BX46" s="8">
        <v>0</v>
      </c>
      <c r="BY46" s="8">
        <v>0</v>
      </c>
      <c r="BZ46" s="8">
        <v>0</v>
      </c>
      <c r="CA46" s="8">
        <v>0</v>
      </c>
      <c r="CB46" s="8">
        <v>0</v>
      </c>
      <c r="CC46" s="8">
        <v>0</v>
      </c>
      <c r="CD46" s="8">
        <v>0</v>
      </c>
      <c r="CE46" s="8">
        <v>0</v>
      </c>
      <c r="CF46" s="8">
        <v>0</v>
      </c>
      <c r="CG46" s="8">
        <v>0</v>
      </c>
      <c r="CH46" s="8">
        <v>0</v>
      </c>
      <c r="CI46" s="8">
        <v>0</v>
      </c>
      <c r="CJ46" s="8">
        <v>0</v>
      </c>
      <c r="CK46" s="8">
        <v>0</v>
      </c>
      <c r="CL46" s="8">
        <v>0</v>
      </c>
      <c r="CM46" s="8">
        <v>0</v>
      </c>
      <c r="CN46" s="8">
        <v>0</v>
      </c>
      <c r="CO46" s="8">
        <v>0</v>
      </c>
      <c r="CP46" s="8">
        <v>0</v>
      </c>
      <c r="CQ46" s="8">
        <v>0</v>
      </c>
      <c r="CR46" s="8">
        <v>0</v>
      </c>
      <c r="CS46" s="8">
        <v>0</v>
      </c>
      <c r="CT46" s="8">
        <v>0</v>
      </c>
      <c r="CU46" s="8">
        <v>0</v>
      </c>
      <c r="CV46" s="8">
        <v>0</v>
      </c>
      <c r="CW46" s="8">
        <v>0</v>
      </c>
      <c r="CX46" s="8">
        <v>0</v>
      </c>
      <c r="CY46" s="8">
        <v>0</v>
      </c>
      <c r="CZ46" s="8">
        <v>0</v>
      </c>
      <c r="DA46" s="8">
        <v>0</v>
      </c>
      <c r="DB46" t="str">
        <f>IFERROR(INDEX('Initiative Summary'!$C$5:$C$25,MATCH($A46,'Initiative Summary'!$A$5:$A$25,0)),"")</f>
        <v>Northpeak Region</v>
      </c>
    </row>
    <row r="47" spans="1:106" ht="24" x14ac:dyDescent="0.25">
      <c r="A47" s="6" t="s">
        <v>686</v>
      </c>
      <c r="B47" s="10" t="s">
        <v>685</v>
      </c>
      <c r="C47" s="11" t="s">
        <v>261</v>
      </c>
      <c r="D47" s="11" t="s">
        <v>249</v>
      </c>
      <c r="E47" s="11" t="s">
        <v>267</v>
      </c>
      <c r="F47" s="20">
        <v>0</v>
      </c>
      <c r="G47" s="11"/>
      <c r="H47" s="11"/>
      <c r="I47" s="11"/>
      <c r="J47" s="11"/>
      <c r="K47" s="11"/>
      <c r="L47" s="20">
        <v>0</v>
      </c>
      <c r="M47" s="11"/>
      <c r="N47" s="11"/>
      <c r="O47" s="11"/>
      <c r="P47" s="11"/>
      <c r="Q47" s="11"/>
      <c r="R47" s="11" t="s">
        <v>215</v>
      </c>
      <c r="S47" s="10"/>
      <c r="T47" s="10"/>
      <c r="U47" s="11" t="s">
        <v>775</v>
      </c>
      <c r="V47" s="11" t="s">
        <v>218</v>
      </c>
      <c r="W47" s="20">
        <v>0</v>
      </c>
      <c r="X47" s="11" t="b">
        <v>0</v>
      </c>
      <c r="Y47" s="11" t="s">
        <v>263</v>
      </c>
      <c r="Z47" s="11" t="s">
        <v>276</v>
      </c>
      <c r="AA47" s="11" t="s">
        <v>255</v>
      </c>
      <c r="AB47" s="11">
        <v>0</v>
      </c>
      <c r="AC47" s="20">
        <v>0.12</v>
      </c>
      <c r="AD47" s="20">
        <v>0.12</v>
      </c>
      <c r="AE47" s="20">
        <v>0.12</v>
      </c>
      <c r="AF47" s="20">
        <v>0.12</v>
      </c>
      <c r="AG47" s="11">
        <v>0</v>
      </c>
      <c r="AH47" s="11">
        <v>0</v>
      </c>
      <c r="AI47" s="11">
        <v>0</v>
      </c>
      <c r="AJ47" s="11">
        <v>0</v>
      </c>
      <c r="AK47" s="11">
        <v>0</v>
      </c>
      <c r="AL47" s="11">
        <v>0</v>
      </c>
      <c r="AM47" s="11">
        <v>0</v>
      </c>
      <c r="AN47" s="11">
        <v>0</v>
      </c>
      <c r="AO47" s="11">
        <v>0</v>
      </c>
      <c r="AP47" s="11">
        <v>0</v>
      </c>
      <c r="AQ47" s="11">
        <v>0</v>
      </c>
      <c r="AR47" s="11">
        <v>0</v>
      </c>
      <c r="AS47" s="20">
        <v>0</v>
      </c>
      <c r="AT47" s="20">
        <v>0</v>
      </c>
      <c r="AU47" s="20">
        <v>0</v>
      </c>
      <c r="AV47" s="20">
        <v>0</v>
      </c>
      <c r="AW47" s="20">
        <v>1.4999999999999999E-2</v>
      </c>
      <c r="AX47" s="20">
        <v>1.4999999999999999E-2</v>
      </c>
      <c r="AY47" s="20">
        <v>1.4999999999999999E-2</v>
      </c>
      <c r="AZ47" s="20">
        <v>1.4999999999999999E-2</v>
      </c>
      <c r="BA47" s="20">
        <v>1.4999999999999999E-2</v>
      </c>
      <c r="BB47" s="20">
        <v>1.4999999999999999E-2</v>
      </c>
      <c r="BC47" s="20">
        <v>1.4999999999999999E-2</v>
      </c>
      <c r="BD47" s="20">
        <v>1.4999999999999999E-2</v>
      </c>
      <c r="BE47" s="20">
        <v>0.01</v>
      </c>
      <c r="BF47" s="20">
        <v>0.01</v>
      </c>
      <c r="BG47" s="20">
        <v>0.01</v>
      </c>
      <c r="BH47" s="20">
        <v>0.01</v>
      </c>
      <c r="BI47" s="20">
        <v>0.01</v>
      </c>
      <c r="BJ47" s="20">
        <v>0.01</v>
      </c>
      <c r="BK47" s="20">
        <v>0.01</v>
      </c>
      <c r="BL47" s="20">
        <v>0.01</v>
      </c>
      <c r="BM47" s="20">
        <v>0.01</v>
      </c>
      <c r="BN47" s="20">
        <v>0.01</v>
      </c>
      <c r="BO47" s="20">
        <v>0.01</v>
      </c>
      <c r="BP47" s="20">
        <v>0.01</v>
      </c>
      <c r="BQ47" s="20">
        <v>0.01</v>
      </c>
      <c r="BR47" s="20">
        <v>0.01</v>
      </c>
      <c r="BS47" s="20">
        <v>0.01</v>
      </c>
      <c r="BT47" s="20">
        <v>0.01</v>
      </c>
      <c r="BU47" s="20">
        <v>0.01</v>
      </c>
      <c r="BV47" s="20">
        <v>0.01</v>
      </c>
      <c r="BW47" s="20">
        <v>0.01</v>
      </c>
      <c r="BX47" s="20">
        <v>0.01</v>
      </c>
      <c r="BY47" s="20">
        <v>0.01</v>
      </c>
      <c r="BZ47" s="20">
        <v>0.01</v>
      </c>
      <c r="CA47" s="20">
        <v>0.01</v>
      </c>
      <c r="CB47" s="20">
        <v>0.01</v>
      </c>
      <c r="CC47" s="20">
        <v>0.01</v>
      </c>
      <c r="CD47" s="20">
        <v>0.01</v>
      </c>
      <c r="CE47" s="20">
        <v>0.01</v>
      </c>
      <c r="CF47" s="20">
        <v>0.01</v>
      </c>
      <c r="CG47" s="20">
        <v>0.01</v>
      </c>
      <c r="CH47" s="20">
        <v>0.01</v>
      </c>
      <c r="CI47" s="20">
        <v>0.01</v>
      </c>
      <c r="CJ47" s="20">
        <v>0.01</v>
      </c>
      <c r="CK47" s="20">
        <v>0.01</v>
      </c>
      <c r="CL47" s="20">
        <v>0.01</v>
      </c>
      <c r="CM47" s="20">
        <v>0.01</v>
      </c>
      <c r="CN47" s="20">
        <v>0.01</v>
      </c>
      <c r="CO47" s="11">
        <v>0.12</v>
      </c>
      <c r="CP47" s="11">
        <v>0.01</v>
      </c>
      <c r="CQ47" s="11">
        <v>0.01</v>
      </c>
      <c r="CR47" s="11">
        <v>0.01</v>
      </c>
      <c r="CS47" s="11">
        <v>0.01</v>
      </c>
      <c r="CT47" s="11">
        <v>0.01</v>
      </c>
      <c r="CU47" s="11">
        <v>0.01</v>
      </c>
      <c r="CV47" s="11">
        <v>0.01</v>
      </c>
      <c r="CW47" s="11">
        <v>0.01</v>
      </c>
      <c r="CX47" s="11">
        <v>0.01</v>
      </c>
      <c r="CY47" s="11">
        <v>0.01</v>
      </c>
      <c r="CZ47" s="11">
        <v>0.01</v>
      </c>
      <c r="DA47" s="11">
        <v>0.01</v>
      </c>
      <c r="DB47" t="str">
        <f>IFERROR(INDEX('Initiative Summary'!$C$5:$C$25,MATCH($A47,'Initiative Summary'!$A$5:$A$25,0)),"")</f>
        <v>Northpeak Region</v>
      </c>
    </row>
    <row r="48" spans="1:106" ht="24" x14ac:dyDescent="0.25">
      <c r="A48" s="6" t="s">
        <v>686</v>
      </c>
      <c r="B48" s="7" t="s">
        <v>685</v>
      </c>
      <c r="C48" s="8" t="s">
        <v>261</v>
      </c>
      <c r="D48" s="8" t="s">
        <v>204</v>
      </c>
      <c r="E48" s="8" t="s">
        <v>256</v>
      </c>
      <c r="F48" s="8"/>
      <c r="G48" s="8"/>
      <c r="H48" s="8"/>
      <c r="I48" s="8"/>
      <c r="J48" s="8"/>
      <c r="K48" s="8"/>
      <c r="L48" s="21">
        <v>0</v>
      </c>
      <c r="M48" s="8"/>
      <c r="N48" s="8"/>
      <c r="O48" s="8"/>
      <c r="P48" s="8"/>
      <c r="Q48" s="8"/>
      <c r="R48" s="8" t="s">
        <v>215</v>
      </c>
      <c r="S48" s="7"/>
      <c r="T48" s="7"/>
      <c r="U48" s="8" t="s">
        <v>775</v>
      </c>
      <c r="V48" s="8" t="s">
        <v>218</v>
      </c>
      <c r="W48" s="21">
        <v>0</v>
      </c>
      <c r="X48" s="8" t="b">
        <v>0</v>
      </c>
      <c r="Y48" s="8" t="s">
        <v>263</v>
      </c>
      <c r="Z48" s="8" t="s">
        <v>276</v>
      </c>
      <c r="AA48" s="8" t="s">
        <v>255</v>
      </c>
      <c r="AB48" s="8">
        <v>0</v>
      </c>
      <c r="AC48" s="8">
        <v>0</v>
      </c>
      <c r="AD48" s="8">
        <v>0</v>
      </c>
      <c r="AE48" s="8">
        <v>0</v>
      </c>
      <c r="AF48" s="8">
        <v>0</v>
      </c>
      <c r="AG48" s="8">
        <v>0</v>
      </c>
      <c r="AH48" s="8">
        <v>0</v>
      </c>
      <c r="AI48" s="8">
        <v>0</v>
      </c>
      <c r="AJ48" s="8">
        <v>0</v>
      </c>
      <c r="AK48" s="8">
        <v>0</v>
      </c>
      <c r="AL48" s="8">
        <v>0</v>
      </c>
      <c r="AM48" s="8">
        <v>0</v>
      </c>
      <c r="AN48" s="8">
        <v>0</v>
      </c>
      <c r="AO48" s="8">
        <v>0</v>
      </c>
      <c r="AP48" s="8">
        <v>0</v>
      </c>
      <c r="AQ48" s="8">
        <v>0</v>
      </c>
      <c r="AR48" s="8">
        <v>0</v>
      </c>
      <c r="AS48" s="8">
        <v>0</v>
      </c>
      <c r="AT48" s="8">
        <v>0</v>
      </c>
      <c r="AU48" s="8">
        <v>0</v>
      </c>
      <c r="AV48" s="8">
        <v>0</v>
      </c>
      <c r="AW48" s="8">
        <v>0</v>
      </c>
      <c r="AX48" s="8">
        <v>0</v>
      </c>
      <c r="AY48" s="8">
        <v>0</v>
      </c>
      <c r="AZ48" s="8">
        <v>0</v>
      </c>
      <c r="BA48" s="8">
        <v>0</v>
      </c>
      <c r="BB48" s="8">
        <v>0</v>
      </c>
      <c r="BC48" s="8">
        <v>0</v>
      </c>
      <c r="BD48" s="8">
        <v>0</v>
      </c>
      <c r="BE48" s="8">
        <v>0</v>
      </c>
      <c r="BF48" s="8">
        <v>0</v>
      </c>
      <c r="BG48" s="8">
        <v>0</v>
      </c>
      <c r="BH48" s="8">
        <v>0</v>
      </c>
      <c r="BI48" s="8">
        <v>0</v>
      </c>
      <c r="BJ48" s="8">
        <v>0</v>
      </c>
      <c r="BK48" s="8">
        <v>0</v>
      </c>
      <c r="BL48" s="8">
        <v>0</v>
      </c>
      <c r="BM48" s="8">
        <v>0</v>
      </c>
      <c r="BN48" s="8">
        <v>0</v>
      </c>
      <c r="BO48" s="8">
        <v>0</v>
      </c>
      <c r="BP48" s="8">
        <v>0</v>
      </c>
      <c r="BQ48" s="8">
        <v>0</v>
      </c>
      <c r="BR48" s="8">
        <v>0</v>
      </c>
      <c r="BS48" s="8">
        <v>0</v>
      </c>
      <c r="BT48" s="8">
        <v>0</v>
      </c>
      <c r="BU48" s="8">
        <v>0</v>
      </c>
      <c r="BV48" s="8">
        <v>0</v>
      </c>
      <c r="BW48" s="8">
        <v>0</v>
      </c>
      <c r="BX48" s="8">
        <v>0</v>
      </c>
      <c r="BY48" s="8">
        <v>0</v>
      </c>
      <c r="BZ48" s="8">
        <v>0</v>
      </c>
      <c r="CA48" s="8">
        <v>0</v>
      </c>
      <c r="CB48" s="8">
        <v>0</v>
      </c>
      <c r="CC48" s="8">
        <v>0</v>
      </c>
      <c r="CD48" s="8">
        <v>0</v>
      </c>
      <c r="CE48" s="8">
        <v>0</v>
      </c>
      <c r="CF48" s="8">
        <v>0</v>
      </c>
      <c r="CG48" s="8">
        <v>0</v>
      </c>
      <c r="CH48" s="8">
        <v>0</v>
      </c>
      <c r="CI48" s="8">
        <v>0</v>
      </c>
      <c r="CJ48" s="8">
        <v>0</v>
      </c>
      <c r="CK48" s="8">
        <v>0</v>
      </c>
      <c r="CL48" s="8">
        <v>0</v>
      </c>
      <c r="CM48" s="8">
        <v>0</v>
      </c>
      <c r="CN48" s="8">
        <v>0</v>
      </c>
      <c r="CO48" s="8">
        <v>0</v>
      </c>
      <c r="CP48" s="8">
        <v>0</v>
      </c>
      <c r="CQ48" s="8">
        <v>0</v>
      </c>
      <c r="CR48" s="8">
        <v>0</v>
      </c>
      <c r="CS48" s="8">
        <v>0</v>
      </c>
      <c r="CT48" s="8">
        <v>0</v>
      </c>
      <c r="CU48" s="8">
        <v>0</v>
      </c>
      <c r="CV48" s="8">
        <v>0</v>
      </c>
      <c r="CW48" s="8">
        <v>0</v>
      </c>
      <c r="CX48" s="8">
        <v>0</v>
      </c>
      <c r="CY48" s="8">
        <v>0</v>
      </c>
      <c r="CZ48" s="8">
        <v>0</v>
      </c>
      <c r="DA48" s="8">
        <v>0</v>
      </c>
      <c r="DB48" t="str">
        <f>IFERROR(INDEX('Initiative Summary'!$C$5:$C$25,MATCH($A48,'Initiative Summary'!$A$5:$A$25,0)),"")</f>
        <v>Northpeak Region</v>
      </c>
    </row>
    <row r="49" spans="1:106" ht="60" x14ac:dyDescent="0.25">
      <c r="A49" s="6" t="s">
        <v>693</v>
      </c>
      <c r="B49" s="10" t="s">
        <v>692</v>
      </c>
      <c r="C49" s="11" t="s">
        <v>277</v>
      </c>
      <c r="D49" s="11" t="s">
        <v>249</v>
      </c>
      <c r="E49" s="11" t="s">
        <v>267</v>
      </c>
      <c r="F49" s="20">
        <v>960000</v>
      </c>
      <c r="G49" s="11"/>
      <c r="H49" s="11"/>
      <c r="I49" s="11"/>
      <c r="J49" s="11"/>
      <c r="K49" s="11"/>
      <c r="L49" s="20">
        <v>0</v>
      </c>
      <c r="M49" s="11"/>
      <c r="N49" s="11"/>
      <c r="O49" s="11"/>
      <c r="P49" s="11"/>
      <c r="Q49" s="11"/>
      <c r="R49" s="11" t="s">
        <v>215</v>
      </c>
      <c r="S49" s="10" t="s">
        <v>278</v>
      </c>
      <c r="T49" s="10"/>
      <c r="U49" s="11" t="s">
        <v>776</v>
      </c>
      <c r="V49" s="11" t="s">
        <v>218</v>
      </c>
      <c r="W49" s="20">
        <v>0</v>
      </c>
      <c r="X49" s="11" t="b">
        <v>0</v>
      </c>
      <c r="Y49" s="11" t="s">
        <v>263</v>
      </c>
      <c r="Z49" s="11" t="s">
        <v>280</v>
      </c>
      <c r="AA49" s="11" t="s">
        <v>255</v>
      </c>
      <c r="AB49" s="20">
        <v>0.68200000000000005</v>
      </c>
      <c r="AC49" s="20">
        <v>0.70399999999999996</v>
      </c>
      <c r="AD49" s="20">
        <v>0.70399999999999996</v>
      </c>
      <c r="AE49" s="20">
        <v>0.70399999999999996</v>
      </c>
      <c r="AF49" s="20">
        <v>0.70399999999999996</v>
      </c>
      <c r="AG49" s="11">
        <v>0</v>
      </c>
      <c r="AH49" s="11">
        <v>0</v>
      </c>
      <c r="AI49" s="11">
        <v>0</v>
      </c>
      <c r="AJ49" s="11">
        <v>0</v>
      </c>
      <c r="AK49" s="11">
        <v>0</v>
      </c>
      <c r="AL49" s="11">
        <v>0</v>
      </c>
      <c r="AM49" s="11">
        <v>0</v>
      </c>
      <c r="AN49" s="11">
        <v>0</v>
      </c>
      <c r="AO49" s="11">
        <v>0</v>
      </c>
      <c r="AP49" s="20">
        <v>0</v>
      </c>
      <c r="AQ49" s="20">
        <v>0</v>
      </c>
      <c r="AR49" s="20">
        <v>0.68200000000000005</v>
      </c>
      <c r="AS49" s="20">
        <v>5.8666666666666666E-2</v>
      </c>
      <c r="AT49" s="20">
        <v>5.8666666666666666E-2</v>
      </c>
      <c r="AU49" s="20">
        <v>5.8666666666666666E-2</v>
      </c>
      <c r="AV49" s="20">
        <v>5.8666666666666666E-2</v>
      </c>
      <c r="AW49" s="20">
        <v>5.8666666666666666E-2</v>
      </c>
      <c r="AX49" s="20">
        <v>5.8666666666666666E-2</v>
      </c>
      <c r="AY49" s="20">
        <v>5.8666666666666666E-2</v>
      </c>
      <c r="AZ49" s="20">
        <v>5.8666666666666666E-2</v>
      </c>
      <c r="BA49" s="20">
        <v>5.8666666666666666E-2</v>
      </c>
      <c r="BB49" s="20">
        <v>5.8666666666666666E-2</v>
      </c>
      <c r="BC49" s="20">
        <v>5.8666666666666666E-2</v>
      </c>
      <c r="BD49" s="20">
        <v>5.8666666666666666E-2</v>
      </c>
      <c r="BE49" s="20">
        <v>5.8666666666666666E-2</v>
      </c>
      <c r="BF49" s="20">
        <v>5.8666666666666666E-2</v>
      </c>
      <c r="BG49" s="20">
        <v>5.8666666666666666E-2</v>
      </c>
      <c r="BH49" s="20">
        <v>5.8666666666666666E-2</v>
      </c>
      <c r="BI49" s="20">
        <v>5.8666666666666666E-2</v>
      </c>
      <c r="BJ49" s="20">
        <v>5.8666666666666666E-2</v>
      </c>
      <c r="BK49" s="20">
        <v>5.8666666666666666E-2</v>
      </c>
      <c r="BL49" s="20">
        <v>5.8666666666666666E-2</v>
      </c>
      <c r="BM49" s="20">
        <v>5.8666666666666666E-2</v>
      </c>
      <c r="BN49" s="20">
        <v>5.8666666666666666E-2</v>
      </c>
      <c r="BO49" s="20">
        <v>5.8666666666666666E-2</v>
      </c>
      <c r="BP49" s="20">
        <v>5.8666666666666666E-2</v>
      </c>
      <c r="BQ49" s="20">
        <v>5.8666666666666666E-2</v>
      </c>
      <c r="BR49" s="20">
        <v>5.8666666666666666E-2</v>
      </c>
      <c r="BS49" s="20">
        <v>5.8666666666666666E-2</v>
      </c>
      <c r="BT49" s="20">
        <v>5.8666666666666666E-2</v>
      </c>
      <c r="BU49" s="20">
        <v>5.8666666666666666E-2</v>
      </c>
      <c r="BV49" s="20">
        <v>5.8666666666666666E-2</v>
      </c>
      <c r="BW49" s="20">
        <v>5.8666666666666666E-2</v>
      </c>
      <c r="BX49" s="20">
        <v>5.8666666666666666E-2</v>
      </c>
      <c r="BY49" s="20">
        <v>5.8666666666666666E-2</v>
      </c>
      <c r="BZ49" s="20">
        <v>5.8666666666666666E-2</v>
      </c>
      <c r="CA49" s="20">
        <v>5.8666666666666666E-2</v>
      </c>
      <c r="CB49" s="20">
        <v>5.8666666666666666E-2</v>
      </c>
      <c r="CC49" s="20">
        <v>5.8666666666666666E-2</v>
      </c>
      <c r="CD49" s="20">
        <v>5.8666666666666666E-2</v>
      </c>
      <c r="CE49" s="20">
        <v>5.8666666666666666E-2</v>
      </c>
      <c r="CF49" s="20">
        <v>5.8666666666666666E-2</v>
      </c>
      <c r="CG49" s="20">
        <v>5.8666666666666666E-2</v>
      </c>
      <c r="CH49" s="20">
        <v>5.8666666666666666E-2</v>
      </c>
      <c r="CI49" s="20">
        <v>5.8666666666666666E-2</v>
      </c>
      <c r="CJ49" s="20">
        <v>5.8666666666666666E-2</v>
      </c>
      <c r="CK49" s="20">
        <v>5.8666666666666666E-2</v>
      </c>
      <c r="CL49" s="20">
        <v>5.8666666666666666E-2</v>
      </c>
      <c r="CM49" s="20">
        <v>5.8666666666666666E-2</v>
      </c>
      <c r="CN49" s="20">
        <v>5.8666666666666666E-2</v>
      </c>
      <c r="CO49" s="11">
        <v>0.70399999999999996</v>
      </c>
      <c r="CP49" s="11">
        <v>5.8666666666666666E-2</v>
      </c>
      <c r="CQ49" s="11">
        <v>5.8666666666666666E-2</v>
      </c>
      <c r="CR49" s="11">
        <v>5.8666666666666666E-2</v>
      </c>
      <c r="CS49" s="11">
        <v>5.8666666666666666E-2</v>
      </c>
      <c r="CT49" s="11">
        <v>5.8666666666666666E-2</v>
      </c>
      <c r="CU49" s="11">
        <v>5.8666666666666666E-2</v>
      </c>
      <c r="CV49" s="11">
        <v>5.8666666666666666E-2</v>
      </c>
      <c r="CW49" s="11">
        <v>5.8666666666666666E-2</v>
      </c>
      <c r="CX49" s="11">
        <v>5.8666666666666666E-2</v>
      </c>
      <c r="CY49" s="11">
        <v>5.8666666666666666E-2</v>
      </c>
      <c r="CZ49" s="11">
        <v>5.8666666666666666E-2</v>
      </c>
      <c r="DA49" s="11">
        <v>5.8666666666666666E-2</v>
      </c>
      <c r="DB49" t="str">
        <f>IFERROR(INDEX('Initiative Summary'!$C$5:$C$25,MATCH($A49,'Initiative Summary'!$A$5:$A$25,0)),"")</f>
        <v>Northpeak Region</v>
      </c>
    </row>
    <row r="50" spans="1:106" ht="60" x14ac:dyDescent="0.25">
      <c r="A50" s="6" t="s">
        <v>693</v>
      </c>
      <c r="B50" s="7" t="s">
        <v>692</v>
      </c>
      <c r="C50" s="8" t="s">
        <v>277</v>
      </c>
      <c r="D50" s="8" t="s">
        <v>204</v>
      </c>
      <c r="E50" s="8" t="s">
        <v>256</v>
      </c>
      <c r="F50" s="8"/>
      <c r="G50" s="8"/>
      <c r="H50" s="8"/>
      <c r="I50" s="8"/>
      <c r="J50" s="8"/>
      <c r="K50" s="8"/>
      <c r="L50" s="21">
        <v>0</v>
      </c>
      <c r="M50" s="8"/>
      <c r="N50" s="8"/>
      <c r="O50" s="8"/>
      <c r="P50" s="8"/>
      <c r="Q50" s="8"/>
      <c r="R50" s="8" t="s">
        <v>215</v>
      </c>
      <c r="S50" s="7" t="s">
        <v>278</v>
      </c>
      <c r="T50" s="7"/>
      <c r="U50" s="8" t="s">
        <v>776</v>
      </c>
      <c r="V50" s="8" t="s">
        <v>218</v>
      </c>
      <c r="W50" s="21">
        <v>0</v>
      </c>
      <c r="X50" s="8" t="b">
        <v>0</v>
      </c>
      <c r="Y50" s="8" t="s">
        <v>263</v>
      </c>
      <c r="Z50" s="8" t="s">
        <v>280</v>
      </c>
      <c r="AA50" s="8" t="s">
        <v>255</v>
      </c>
      <c r="AB50" s="8">
        <v>0</v>
      </c>
      <c r="AC50" s="8">
        <v>0</v>
      </c>
      <c r="AD50" s="8">
        <v>0</v>
      </c>
      <c r="AE50" s="8">
        <v>0</v>
      </c>
      <c r="AF50" s="8">
        <v>0</v>
      </c>
      <c r="AG50" s="8">
        <v>0</v>
      </c>
      <c r="AH50" s="8">
        <v>0</v>
      </c>
      <c r="AI50" s="8">
        <v>0</v>
      </c>
      <c r="AJ50" s="8">
        <v>0</v>
      </c>
      <c r="AK50" s="8">
        <v>0</v>
      </c>
      <c r="AL50" s="8">
        <v>0</v>
      </c>
      <c r="AM50" s="8">
        <v>0</v>
      </c>
      <c r="AN50" s="8">
        <v>0</v>
      </c>
      <c r="AO50" s="8">
        <v>0</v>
      </c>
      <c r="AP50" s="8">
        <v>0</v>
      </c>
      <c r="AQ50" s="8">
        <v>0</v>
      </c>
      <c r="AR50" s="8">
        <v>0</v>
      </c>
      <c r="AS50" s="8">
        <v>0</v>
      </c>
      <c r="AT50" s="8">
        <v>0</v>
      </c>
      <c r="AU50" s="8">
        <v>0</v>
      </c>
      <c r="AV50" s="8">
        <v>0</v>
      </c>
      <c r="AW50" s="8">
        <v>0</v>
      </c>
      <c r="AX50" s="8">
        <v>0</v>
      </c>
      <c r="AY50" s="8">
        <v>0</v>
      </c>
      <c r="AZ50" s="8">
        <v>0</v>
      </c>
      <c r="BA50" s="8">
        <v>0</v>
      </c>
      <c r="BB50" s="8">
        <v>0</v>
      </c>
      <c r="BC50" s="8">
        <v>0</v>
      </c>
      <c r="BD50" s="8">
        <v>0</v>
      </c>
      <c r="BE50" s="8">
        <v>0</v>
      </c>
      <c r="BF50" s="8">
        <v>0</v>
      </c>
      <c r="BG50" s="8">
        <v>0</v>
      </c>
      <c r="BH50" s="8">
        <v>0</v>
      </c>
      <c r="BI50" s="8">
        <v>0</v>
      </c>
      <c r="BJ50" s="8">
        <v>0</v>
      </c>
      <c r="BK50" s="8">
        <v>0</v>
      </c>
      <c r="BL50" s="8">
        <v>0</v>
      </c>
      <c r="BM50" s="8">
        <v>0</v>
      </c>
      <c r="BN50" s="8">
        <v>0</v>
      </c>
      <c r="BO50" s="8">
        <v>0</v>
      </c>
      <c r="BP50" s="8">
        <v>0</v>
      </c>
      <c r="BQ50" s="8">
        <v>0</v>
      </c>
      <c r="BR50" s="8">
        <v>0</v>
      </c>
      <c r="BS50" s="8">
        <v>0</v>
      </c>
      <c r="BT50" s="8">
        <v>0</v>
      </c>
      <c r="BU50" s="8">
        <v>0</v>
      </c>
      <c r="BV50" s="8">
        <v>0</v>
      </c>
      <c r="BW50" s="8">
        <v>0</v>
      </c>
      <c r="BX50" s="8">
        <v>0</v>
      </c>
      <c r="BY50" s="8">
        <v>0</v>
      </c>
      <c r="BZ50" s="8">
        <v>0</v>
      </c>
      <c r="CA50" s="8">
        <v>0</v>
      </c>
      <c r="CB50" s="8">
        <v>0</v>
      </c>
      <c r="CC50" s="8">
        <v>0</v>
      </c>
      <c r="CD50" s="8">
        <v>0</v>
      </c>
      <c r="CE50" s="8">
        <v>0</v>
      </c>
      <c r="CF50" s="8">
        <v>0</v>
      </c>
      <c r="CG50" s="8">
        <v>0</v>
      </c>
      <c r="CH50" s="8">
        <v>0</v>
      </c>
      <c r="CI50" s="8">
        <v>0</v>
      </c>
      <c r="CJ50" s="8">
        <v>0</v>
      </c>
      <c r="CK50" s="8">
        <v>0</v>
      </c>
      <c r="CL50" s="8">
        <v>0</v>
      </c>
      <c r="CM50" s="8">
        <v>0</v>
      </c>
      <c r="CN50" s="8">
        <v>0</v>
      </c>
      <c r="CO50" s="8">
        <v>0</v>
      </c>
      <c r="CP50" s="8">
        <v>0</v>
      </c>
      <c r="CQ50" s="8">
        <v>0</v>
      </c>
      <c r="CR50" s="8">
        <v>0</v>
      </c>
      <c r="CS50" s="8">
        <v>0</v>
      </c>
      <c r="CT50" s="8">
        <v>0</v>
      </c>
      <c r="CU50" s="8">
        <v>0</v>
      </c>
      <c r="CV50" s="8">
        <v>0</v>
      </c>
      <c r="CW50" s="8">
        <v>0</v>
      </c>
      <c r="CX50" s="8">
        <v>0</v>
      </c>
      <c r="CY50" s="8">
        <v>0</v>
      </c>
      <c r="CZ50" s="8">
        <v>0</v>
      </c>
      <c r="DA50" s="8">
        <v>0</v>
      </c>
      <c r="DB50" t="str">
        <f>IFERROR(INDEX('Initiative Summary'!$C$5:$C$25,MATCH($A50,'Initiative Summary'!$A$5:$A$25,0)),"")</f>
        <v>Northpeak Region</v>
      </c>
    </row>
    <row r="51" spans="1:106" x14ac:dyDescent="0.25">
      <c r="A51" s="6" t="s">
        <v>696</v>
      </c>
      <c r="B51" s="10" t="s">
        <v>695</v>
      </c>
      <c r="C51" s="11" t="s">
        <v>257</v>
      </c>
      <c r="D51" s="11" t="s">
        <v>249</v>
      </c>
      <c r="E51" s="11" t="s">
        <v>250</v>
      </c>
      <c r="F51" s="20">
        <v>0.4</v>
      </c>
      <c r="G51" s="20">
        <v>2026</v>
      </c>
      <c r="H51" s="11" t="s">
        <v>258</v>
      </c>
      <c r="I51" s="20">
        <v>2026</v>
      </c>
      <c r="J51" s="11" t="s">
        <v>258</v>
      </c>
      <c r="K51" s="11"/>
      <c r="L51" s="20">
        <v>0</v>
      </c>
      <c r="M51" s="11"/>
      <c r="N51" s="11"/>
      <c r="O51" s="11"/>
      <c r="P51" s="11"/>
      <c r="Q51" s="11"/>
      <c r="R51" s="11" t="s">
        <v>250</v>
      </c>
      <c r="S51" s="10"/>
      <c r="T51" s="10"/>
      <c r="U51" s="11" t="s">
        <v>777</v>
      </c>
      <c r="V51" s="11" t="s">
        <v>218</v>
      </c>
      <c r="W51" s="20">
        <v>0</v>
      </c>
      <c r="X51" s="11" t="b">
        <v>0</v>
      </c>
      <c r="Y51" s="11" t="s">
        <v>253</v>
      </c>
      <c r="Z51" s="11" t="s">
        <v>266</v>
      </c>
      <c r="AA51" s="11" t="s">
        <v>255</v>
      </c>
      <c r="AB51" s="20">
        <v>0</v>
      </c>
      <c r="AC51" s="11">
        <v>0</v>
      </c>
      <c r="AD51" s="11">
        <v>0</v>
      </c>
      <c r="AE51" s="11">
        <v>0</v>
      </c>
      <c r="AF51" s="11">
        <v>0</v>
      </c>
      <c r="AG51" s="11">
        <v>0</v>
      </c>
      <c r="AH51" s="11">
        <v>0</v>
      </c>
      <c r="AI51" s="11">
        <v>0</v>
      </c>
      <c r="AJ51" s="11">
        <v>0</v>
      </c>
      <c r="AK51" s="11">
        <v>0</v>
      </c>
      <c r="AL51" s="20">
        <v>0</v>
      </c>
      <c r="AM51" s="20">
        <v>0</v>
      </c>
      <c r="AN51" s="20">
        <v>0</v>
      </c>
      <c r="AO51" s="20">
        <v>0</v>
      </c>
      <c r="AP51" s="20">
        <v>0</v>
      </c>
      <c r="AQ51" s="20">
        <v>0</v>
      </c>
      <c r="AR51" s="11">
        <v>0</v>
      </c>
      <c r="AS51" s="11">
        <v>0</v>
      </c>
      <c r="AT51" s="11">
        <v>0</v>
      </c>
      <c r="AU51" s="11">
        <v>0</v>
      </c>
      <c r="AV51" s="11">
        <v>0</v>
      </c>
      <c r="AW51" s="11">
        <v>0</v>
      </c>
      <c r="AX51" s="11">
        <v>0</v>
      </c>
      <c r="AY51" s="11">
        <v>0</v>
      </c>
      <c r="AZ51" s="11">
        <v>0</v>
      </c>
      <c r="BA51" s="11">
        <v>0</v>
      </c>
      <c r="BB51" s="11">
        <v>0</v>
      </c>
      <c r="BC51" s="11">
        <v>0</v>
      </c>
      <c r="BD51" s="11">
        <v>0</v>
      </c>
      <c r="BE51" s="11">
        <v>0</v>
      </c>
      <c r="BF51" s="11">
        <v>0</v>
      </c>
      <c r="BG51" s="11">
        <v>0</v>
      </c>
      <c r="BH51" s="11">
        <v>0</v>
      </c>
      <c r="BI51" s="11">
        <v>0</v>
      </c>
      <c r="BJ51" s="11">
        <v>0</v>
      </c>
      <c r="BK51" s="11">
        <v>0</v>
      </c>
      <c r="BL51" s="11">
        <v>0</v>
      </c>
      <c r="BM51" s="11">
        <v>0</v>
      </c>
      <c r="BN51" s="11">
        <v>0</v>
      </c>
      <c r="BO51" s="11">
        <v>0</v>
      </c>
      <c r="BP51" s="11">
        <v>0</v>
      </c>
      <c r="BQ51" s="11">
        <v>0</v>
      </c>
      <c r="BR51" s="11">
        <v>0</v>
      </c>
      <c r="BS51" s="11">
        <v>0</v>
      </c>
      <c r="BT51" s="11">
        <v>0</v>
      </c>
      <c r="BU51" s="11">
        <v>0</v>
      </c>
      <c r="BV51" s="11">
        <v>0</v>
      </c>
      <c r="BW51" s="11">
        <v>0</v>
      </c>
      <c r="BX51" s="11">
        <v>0</v>
      </c>
      <c r="BY51" s="11">
        <v>0</v>
      </c>
      <c r="BZ51" s="11">
        <v>0</v>
      </c>
      <c r="CA51" s="11">
        <v>0</v>
      </c>
      <c r="CB51" s="11">
        <v>0</v>
      </c>
      <c r="CC51" s="11">
        <v>0</v>
      </c>
      <c r="CD51" s="11">
        <v>0</v>
      </c>
      <c r="CE51" s="11">
        <v>0</v>
      </c>
      <c r="CF51" s="11">
        <v>0</v>
      </c>
      <c r="CG51" s="11">
        <v>0</v>
      </c>
      <c r="CH51" s="11">
        <v>0</v>
      </c>
      <c r="CI51" s="11">
        <v>0</v>
      </c>
      <c r="CJ51" s="11">
        <v>0</v>
      </c>
      <c r="CK51" s="11">
        <v>0</v>
      </c>
      <c r="CL51" s="11">
        <v>0</v>
      </c>
      <c r="CM51" s="11">
        <v>0</v>
      </c>
      <c r="CN51" s="11">
        <v>0</v>
      </c>
      <c r="CO51" s="11">
        <v>0</v>
      </c>
      <c r="CP51" s="11">
        <v>0</v>
      </c>
      <c r="CQ51" s="11">
        <v>0</v>
      </c>
      <c r="CR51" s="11">
        <v>0</v>
      </c>
      <c r="CS51" s="11">
        <v>0</v>
      </c>
      <c r="CT51" s="11">
        <v>0</v>
      </c>
      <c r="CU51" s="11">
        <v>0</v>
      </c>
      <c r="CV51" s="11">
        <v>0</v>
      </c>
      <c r="CW51" s="11">
        <v>0</v>
      </c>
      <c r="CX51" s="11">
        <v>0</v>
      </c>
      <c r="CY51" s="11">
        <v>0</v>
      </c>
      <c r="CZ51" s="11">
        <v>0</v>
      </c>
      <c r="DA51" s="11">
        <v>0</v>
      </c>
      <c r="DB51" t="str">
        <f>IFERROR(INDEX('Initiative Summary'!$C$5:$C$25,MATCH($A51,'Initiative Summary'!$A$5:$A$25,0)),"")</f>
        <v>Northpeak Region</v>
      </c>
    </row>
    <row r="52" spans="1:106" x14ac:dyDescent="0.25">
      <c r="A52" s="6" t="s">
        <v>696</v>
      </c>
      <c r="B52" s="7" t="s">
        <v>695</v>
      </c>
      <c r="C52" s="8" t="s">
        <v>257</v>
      </c>
      <c r="D52" s="8" t="s">
        <v>204</v>
      </c>
      <c r="E52" s="8" t="s">
        <v>256</v>
      </c>
      <c r="F52" s="8"/>
      <c r="G52" s="8"/>
      <c r="H52" s="8"/>
      <c r="I52" s="8"/>
      <c r="J52" s="8"/>
      <c r="K52" s="8"/>
      <c r="L52" s="21">
        <v>0</v>
      </c>
      <c r="M52" s="8"/>
      <c r="N52" s="8"/>
      <c r="O52" s="8"/>
      <c r="P52" s="8"/>
      <c r="Q52" s="8"/>
      <c r="R52" s="8" t="s">
        <v>250</v>
      </c>
      <c r="S52" s="7"/>
      <c r="T52" s="7"/>
      <c r="U52" s="8" t="s">
        <v>777</v>
      </c>
      <c r="V52" s="8" t="s">
        <v>218</v>
      </c>
      <c r="W52" s="21">
        <v>0</v>
      </c>
      <c r="X52" s="8" t="b">
        <v>0</v>
      </c>
      <c r="Y52" s="8" t="s">
        <v>253</v>
      </c>
      <c r="Z52" s="8" t="s">
        <v>266</v>
      </c>
      <c r="AA52" s="8" t="s">
        <v>255</v>
      </c>
      <c r="AB52" s="8">
        <v>0</v>
      </c>
      <c r="AC52" s="8">
        <v>0</v>
      </c>
      <c r="AD52" s="8">
        <v>0</v>
      </c>
      <c r="AE52" s="8">
        <v>0</v>
      </c>
      <c r="AF52" s="8">
        <v>0</v>
      </c>
      <c r="AG52" s="8">
        <v>0</v>
      </c>
      <c r="AH52" s="8">
        <v>0</v>
      </c>
      <c r="AI52" s="8">
        <v>0</v>
      </c>
      <c r="AJ52" s="8">
        <v>0</v>
      </c>
      <c r="AK52" s="8">
        <v>0</v>
      </c>
      <c r="AL52" s="8">
        <v>0</v>
      </c>
      <c r="AM52" s="8">
        <v>0</v>
      </c>
      <c r="AN52" s="8">
        <v>0</v>
      </c>
      <c r="AO52" s="8">
        <v>0</v>
      </c>
      <c r="AP52" s="8">
        <v>0</v>
      </c>
      <c r="AQ52" s="8">
        <v>0</v>
      </c>
      <c r="AR52" s="8">
        <v>0</v>
      </c>
      <c r="AS52" s="8">
        <v>0</v>
      </c>
      <c r="AT52" s="8">
        <v>0</v>
      </c>
      <c r="AU52" s="8">
        <v>0</v>
      </c>
      <c r="AV52" s="8">
        <v>0</v>
      </c>
      <c r="AW52" s="8">
        <v>0</v>
      </c>
      <c r="AX52" s="8">
        <v>0</v>
      </c>
      <c r="AY52" s="8">
        <v>0</v>
      </c>
      <c r="AZ52" s="8">
        <v>0</v>
      </c>
      <c r="BA52" s="8">
        <v>0</v>
      </c>
      <c r="BB52" s="8">
        <v>0</v>
      </c>
      <c r="BC52" s="8">
        <v>0</v>
      </c>
      <c r="BD52" s="8">
        <v>0</v>
      </c>
      <c r="BE52" s="8">
        <v>0</v>
      </c>
      <c r="BF52" s="8">
        <v>0</v>
      </c>
      <c r="BG52" s="8">
        <v>0</v>
      </c>
      <c r="BH52" s="8">
        <v>0</v>
      </c>
      <c r="BI52" s="8">
        <v>0</v>
      </c>
      <c r="BJ52" s="8">
        <v>0</v>
      </c>
      <c r="BK52" s="8">
        <v>0</v>
      </c>
      <c r="BL52" s="8">
        <v>0</v>
      </c>
      <c r="BM52" s="8">
        <v>0</v>
      </c>
      <c r="BN52" s="8">
        <v>0</v>
      </c>
      <c r="BO52" s="8">
        <v>0</v>
      </c>
      <c r="BP52" s="8">
        <v>0</v>
      </c>
      <c r="BQ52" s="8">
        <v>0</v>
      </c>
      <c r="BR52" s="8">
        <v>0</v>
      </c>
      <c r="BS52" s="8">
        <v>0</v>
      </c>
      <c r="BT52" s="8">
        <v>0</v>
      </c>
      <c r="BU52" s="8">
        <v>0</v>
      </c>
      <c r="BV52" s="8">
        <v>0</v>
      </c>
      <c r="BW52" s="8">
        <v>0</v>
      </c>
      <c r="BX52" s="8">
        <v>0</v>
      </c>
      <c r="BY52" s="8">
        <v>0</v>
      </c>
      <c r="BZ52" s="8">
        <v>0</v>
      </c>
      <c r="CA52" s="8">
        <v>0</v>
      </c>
      <c r="CB52" s="8">
        <v>0</v>
      </c>
      <c r="CC52" s="8">
        <v>0</v>
      </c>
      <c r="CD52" s="8">
        <v>0</v>
      </c>
      <c r="CE52" s="8">
        <v>0</v>
      </c>
      <c r="CF52" s="8">
        <v>0</v>
      </c>
      <c r="CG52" s="8">
        <v>0</v>
      </c>
      <c r="CH52" s="8">
        <v>0</v>
      </c>
      <c r="CI52" s="8">
        <v>0</v>
      </c>
      <c r="CJ52" s="8">
        <v>0</v>
      </c>
      <c r="CK52" s="8">
        <v>0</v>
      </c>
      <c r="CL52" s="8">
        <v>0</v>
      </c>
      <c r="CM52" s="8">
        <v>0</v>
      </c>
      <c r="CN52" s="8">
        <v>0</v>
      </c>
      <c r="CO52" s="8">
        <v>0</v>
      </c>
      <c r="CP52" s="8">
        <v>0</v>
      </c>
      <c r="CQ52" s="8">
        <v>0</v>
      </c>
      <c r="CR52" s="8">
        <v>0</v>
      </c>
      <c r="CS52" s="8">
        <v>0</v>
      </c>
      <c r="CT52" s="8">
        <v>0</v>
      </c>
      <c r="CU52" s="8">
        <v>0</v>
      </c>
      <c r="CV52" s="8">
        <v>0</v>
      </c>
      <c r="CW52" s="8">
        <v>0</v>
      </c>
      <c r="CX52" s="8">
        <v>0</v>
      </c>
      <c r="CY52" s="8">
        <v>0</v>
      </c>
      <c r="CZ52" s="8">
        <v>0</v>
      </c>
      <c r="DA52" s="8">
        <v>0</v>
      </c>
      <c r="DB52" t="str">
        <f>IFERROR(INDEX('Initiative Summary'!$C$5:$C$25,MATCH($A52,'Initiative Summary'!$A$5:$A$25,0)),"")</f>
        <v>Northpeak Region</v>
      </c>
    </row>
    <row r="53" spans="1:106" x14ac:dyDescent="0.25">
      <c r="A53" s="6" t="s">
        <v>696</v>
      </c>
      <c r="B53" s="10" t="s">
        <v>695</v>
      </c>
      <c r="C53" s="11" t="s">
        <v>261</v>
      </c>
      <c r="D53" s="11" t="s">
        <v>249</v>
      </c>
      <c r="E53" s="11" t="s">
        <v>267</v>
      </c>
      <c r="F53" s="20">
        <v>0</v>
      </c>
      <c r="G53" s="11"/>
      <c r="H53" s="11"/>
      <c r="I53" s="11"/>
      <c r="J53" s="11"/>
      <c r="K53" s="11"/>
      <c r="L53" s="20">
        <v>0</v>
      </c>
      <c r="M53" s="11"/>
      <c r="N53" s="11"/>
      <c r="O53" s="11"/>
      <c r="P53" s="11"/>
      <c r="Q53" s="11"/>
      <c r="R53" s="11" t="s">
        <v>215</v>
      </c>
      <c r="S53" s="10"/>
      <c r="T53" s="10"/>
      <c r="U53" s="11" t="s">
        <v>778</v>
      </c>
      <c r="V53" s="11" t="s">
        <v>218</v>
      </c>
      <c r="W53" s="20">
        <v>0</v>
      </c>
      <c r="X53" s="11" t="b">
        <v>0</v>
      </c>
      <c r="Y53" s="11" t="s">
        <v>263</v>
      </c>
      <c r="Z53" s="11" t="s">
        <v>269</v>
      </c>
      <c r="AA53" s="11" t="s">
        <v>255</v>
      </c>
      <c r="AB53" s="20">
        <v>0</v>
      </c>
      <c r="AC53" s="20">
        <v>0.09</v>
      </c>
      <c r="AD53" s="20">
        <v>0.09</v>
      </c>
      <c r="AE53" s="20">
        <v>0.09</v>
      </c>
      <c r="AF53" s="20">
        <v>0.09</v>
      </c>
      <c r="AG53" s="11">
        <v>0</v>
      </c>
      <c r="AH53" s="11">
        <v>0</v>
      </c>
      <c r="AI53" s="11">
        <v>0</v>
      </c>
      <c r="AJ53" s="11">
        <v>0</v>
      </c>
      <c r="AK53" s="11">
        <v>0</v>
      </c>
      <c r="AL53" s="11">
        <v>0</v>
      </c>
      <c r="AM53" s="11">
        <v>0</v>
      </c>
      <c r="AN53" s="11">
        <v>0</v>
      </c>
      <c r="AO53" s="11">
        <v>0</v>
      </c>
      <c r="AP53" s="11">
        <v>0</v>
      </c>
      <c r="AQ53" s="11">
        <v>0</v>
      </c>
      <c r="AR53" s="20">
        <v>0</v>
      </c>
      <c r="AS53" s="20">
        <v>0</v>
      </c>
      <c r="AT53" s="20">
        <v>0</v>
      </c>
      <c r="AU53" s="20">
        <v>0</v>
      </c>
      <c r="AV53" s="20">
        <v>0</v>
      </c>
      <c r="AW53" s="20">
        <v>0</v>
      </c>
      <c r="AX53" s="20">
        <v>1.2857142857142857E-2</v>
      </c>
      <c r="AY53" s="20">
        <v>1.2857142857142857E-2</v>
      </c>
      <c r="AZ53" s="20">
        <v>1.2857142857142857E-2</v>
      </c>
      <c r="BA53" s="20">
        <v>1.2857142857142857E-2</v>
      </c>
      <c r="BB53" s="20">
        <v>1.2857142857142857E-2</v>
      </c>
      <c r="BC53" s="20">
        <v>1.2857142857142857E-2</v>
      </c>
      <c r="BD53" s="20">
        <v>1.2857142857142857E-2</v>
      </c>
      <c r="BE53" s="20">
        <v>7.4999999999999997E-3</v>
      </c>
      <c r="BF53" s="20">
        <v>7.4999999999999997E-3</v>
      </c>
      <c r="BG53" s="20">
        <v>7.4999999999999997E-3</v>
      </c>
      <c r="BH53" s="20">
        <v>7.4999999999999997E-3</v>
      </c>
      <c r="BI53" s="20">
        <v>7.4999999999999997E-3</v>
      </c>
      <c r="BJ53" s="20">
        <v>7.4999999999999997E-3</v>
      </c>
      <c r="BK53" s="20">
        <v>7.4999999999999997E-3</v>
      </c>
      <c r="BL53" s="20">
        <v>7.4999999999999997E-3</v>
      </c>
      <c r="BM53" s="20">
        <v>7.4999999999999997E-3</v>
      </c>
      <c r="BN53" s="20">
        <v>7.4999999999999997E-3</v>
      </c>
      <c r="BO53" s="20">
        <v>7.4999999999999997E-3</v>
      </c>
      <c r="BP53" s="20">
        <v>7.4999999999999997E-3</v>
      </c>
      <c r="BQ53" s="20">
        <v>7.4999999999999997E-3</v>
      </c>
      <c r="BR53" s="20">
        <v>7.4999999999999997E-3</v>
      </c>
      <c r="BS53" s="20">
        <v>7.4999999999999997E-3</v>
      </c>
      <c r="BT53" s="20">
        <v>7.4999999999999997E-3</v>
      </c>
      <c r="BU53" s="20">
        <v>7.4999999999999997E-3</v>
      </c>
      <c r="BV53" s="20">
        <v>7.4999999999999997E-3</v>
      </c>
      <c r="BW53" s="20">
        <v>7.4999999999999997E-3</v>
      </c>
      <c r="BX53" s="20">
        <v>7.4999999999999997E-3</v>
      </c>
      <c r="BY53" s="20">
        <v>7.4999999999999997E-3</v>
      </c>
      <c r="BZ53" s="20">
        <v>7.4999999999999997E-3</v>
      </c>
      <c r="CA53" s="20">
        <v>7.4999999999999997E-3</v>
      </c>
      <c r="CB53" s="20">
        <v>7.4999999999999997E-3</v>
      </c>
      <c r="CC53" s="20">
        <v>7.4999999999999997E-3</v>
      </c>
      <c r="CD53" s="20">
        <v>7.4999999999999997E-3</v>
      </c>
      <c r="CE53" s="20">
        <v>7.4999999999999997E-3</v>
      </c>
      <c r="CF53" s="20">
        <v>7.4999999999999997E-3</v>
      </c>
      <c r="CG53" s="20">
        <v>7.4999999999999997E-3</v>
      </c>
      <c r="CH53" s="20">
        <v>7.4999999999999997E-3</v>
      </c>
      <c r="CI53" s="20">
        <v>7.4999999999999997E-3</v>
      </c>
      <c r="CJ53" s="20">
        <v>7.4999999999999997E-3</v>
      </c>
      <c r="CK53" s="20">
        <v>7.4999999999999997E-3</v>
      </c>
      <c r="CL53" s="20">
        <v>7.4999999999999997E-3</v>
      </c>
      <c r="CM53" s="20">
        <v>7.4999999999999997E-3</v>
      </c>
      <c r="CN53" s="20">
        <v>7.4999999999999997E-3</v>
      </c>
      <c r="CO53" s="11">
        <v>0.09</v>
      </c>
      <c r="CP53" s="11">
        <v>7.4999999999999997E-3</v>
      </c>
      <c r="CQ53" s="11">
        <v>7.4999999999999997E-3</v>
      </c>
      <c r="CR53" s="11">
        <v>7.4999999999999997E-3</v>
      </c>
      <c r="CS53" s="11">
        <v>7.4999999999999997E-3</v>
      </c>
      <c r="CT53" s="11">
        <v>7.4999999999999997E-3</v>
      </c>
      <c r="CU53" s="11">
        <v>7.4999999999999997E-3</v>
      </c>
      <c r="CV53" s="11">
        <v>7.4999999999999997E-3</v>
      </c>
      <c r="CW53" s="11">
        <v>7.4999999999999997E-3</v>
      </c>
      <c r="CX53" s="11">
        <v>7.4999999999999997E-3</v>
      </c>
      <c r="CY53" s="11">
        <v>7.4999999999999997E-3</v>
      </c>
      <c r="CZ53" s="11">
        <v>7.4999999999999997E-3</v>
      </c>
      <c r="DA53" s="11">
        <v>7.4999999999999997E-3</v>
      </c>
      <c r="DB53" t="str">
        <f>IFERROR(INDEX('Initiative Summary'!$C$5:$C$25,MATCH($A53,'Initiative Summary'!$A$5:$A$25,0)),"")</f>
        <v>Northpeak Region</v>
      </c>
    </row>
    <row r="54" spans="1:106" x14ac:dyDescent="0.25">
      <c r="A54" s="6" t="s">
        <v>696</v>
      </c>
      <c r="B54" s="7" t="s">
        <v>695</v>
      </c>
      <c r="C54" s="8" t="s">
        <v>261</v>
      </c>
      <c r="D54" s="8" t="s">
        <v>204</v>
      </c>
      <c r="E54" s="8" t="s">
        <v>256</v>
      </c>
      <c r="F54" s="8"/>
      <c r="G54" s="8"/>
      <c r="H54" s="8"/>
      <c r="I54" s="8"/>
      <c r="J54" s="8"/>
      <c r="K54" s="8"/>
      <c r="L54" s="21">
        <v>0</v>
      </c>
      <c r="M54" s="8"/>
      <c r="N54" s="8"/>
      <c r="O54" s="8"/>
      <c r="P54" s="8"/>
      <c r="Q54" s="8"/>
      <c r="R54" s="8" t="s">
        <v>215</v>
      </c>
      <c r="S54" s="7"/>
      <c r="T54" s="7"/>
      <c r="U54" s="8" t="s">
        <v>778</v>
      </c>
      <c r="V54" s="8" t="s">
        <v>218</v>
      </c>
      <c r="W54" s="21">
        <v>0</v>
      </c>
      <c r="X54" s="8" t="b">
        <v>0</v>
      </c>
      <c r="Y54" s="8" t="s">
        <v>263</v>
      </c>
      <c r="Z54" s="8" t="s">
        <v>269</v>
      </c>
      <c r="AA54" s="8" t="s">
        <v>255</v>
      </c>
      <c r="AB54" s="8">
        <v>0</v>
      </c>
      <c r="AC54" s="8">
        <v>0</v>
      </c>
      <c r="AD54" s="8">
        <v>0</v>
      </c>
      <c r="AE54" s="8">
        <v>0</v>
      </c>
      <c r="AF54" s="8">
        <v>0</v>
      </c>
      <c r="AG54" s="8">
        <v>0</v>
      </c>
      <c r="AH54" s="8">
        <v>0</v>
      </c>
      <c r="AI54" s="8">
        <v>0</v>
      </c>
      <c r="AJ54" s="8">
        <v>0</v>
      </c>
      <c r="AK54" s="8">
        <v>0</v>
      </c>
      <c r="AL54" s="8">
        <v>0</v>
      </c>
      <c r="AM54" s="8">
        <v>0</v>
      </c>
      <c r="AN54" s="8">
        <v>0</v>
      </c>
      <c r="AO54" s="8">
        <v>0</v>
      </c>
      <c r="AP54" s="8">
        <v>0</v>
      </c>
      <c r="AQ54" s="8">
        <v>0</v>
      </c>
      <c r="AR54" s="8">
        <v>0</v>
      </c>
      <c r="AS54" s="8">
        <v>0</v>
      </c>
      <c r="AT54" s="8">
        <v>0</v>
      </c>
      <c r="AU54" s="8">
        <v>0</v>
      </c>
      <c r="AV54" s="8">
        <v>0</v>
      </c>
      <c r="AW54" s="8">
        <v>0</v>
      </c>
      <c r="AX54" s="8">
        <v>0</v>
      </c>
      <c r="AY54" s="8">
        <v>0</v>
      </c>
      <c r="AZ54" s="8">
        <v>0</v>
      </c>
      <c r="BA54" s="8">
        <v>0</v>
      </c>
      <c r="BB54" s="8">
        <v>0</v>
      </c>
      <c r="BC54" s="8">
        <v>0</v>
      </c>
      <c r="BD54" s="8">
        <v>0</v>
      </c>
      <c r="BE54" s="8">
        <v>0</v>
      </c>
      <c r="BF54" s="8">
        <v>0</v>
      </c>
      <c r="BG54" s="8">
        <v>0</v>
      </c>
      <c r="BH54" s="8">
        <v>0</v>
      </c>
      <c r="BI54" s="8">
        <v>0</v>
      </c>
      <c r="BJ54" s="8">
        <v>0</v>
      </c>
      <c r="BK54" s="8">
        <v>0</v>
      </c>
      <c r="BL54" s="8">
        <v>0</v>
      </c>
      <c r="BM54" s="8">
        <v>0</v>
      </c>
      <c r="BN54" s="8">
        <v>0</v>
      </c>
      <c r="BO54" s="8">
        <v>0</v>
      </c>
      <c r="BP54" s="8">
        <v>0</v>
      </c>
      <c r="BQ54" s="8">
        <v>0</v>
      </c>
      <c r="BR54" s="8">
        <v>0</v>
      </c>
      <c r="BS54" s="8">
        <v>0</v>
      </c>
      <c r="BT54" s="8">
        <v>0</v>
      </c>
      <c r="BU54" s="8">
        <v>0</v>
      </c>
      <c r="BV54" s="8">
        <v>0</v>
      </c>
      <c r="BW54" s="8">
        <v>0</v>
      </c>
      <c r="BX54" s="8">
        <v>0</v>
      </c>
      <c r="BY54" s="8">
        <v>0</v>
      </c>
      <c r="BZ54" s="8">
        <v>0</v>
      </c>
      <c r="CA54" s="8">
        <v>0</v>
      </c>
      <c r="CB54" s="8">
        <v>0</v>
      </c>
      <c r="CC54" s="8">
        <v>0</v>
      </c>
      <c r="CD54" s="8">
        <v>0</v>
      </c>
      <c r="CE54" s="8">
        <v>0</v>
      </c>
      <c r="CF54" s="8">
        <v>0</v>
      </c>
      <c r="CG54" s="8">
        <v>0</v>
      </c>
      <c r="CH54" s="8">
        <v>0</v>
      </c>
      <c r="CI54" s="8">
        <v>0</v>
      </c>
      <c r="CJ54" s="8">
        <v>0</v>
      </c>
      <c r="CK54" s="8">
        <v>0</v>
      </c>
      <c r="CL54" s="8">
        <v>0</v>
      </c>
      <c r="CM54" s="8">
        <v>0</v>
      </c>
      <c r="CN54" s="8">
        <v>0</v>
      </c>
      <c r="CO54" s="8">
        <v>0</v>
      </c>
      <c r="CP54" s="8">
        <v>0</v>
      </c>
      <c r="CQ54" s="8">
        <v>0</v>
      </c>
      <c r="CR54" s="8">
        <v>0</v>
      </c>
      <c r="CS54" s="8">
        <v>0</v>
      </c>
      <c r="CT54" s="8">
        <v>0</v>
      </c>
      <c r="CU54" s="8">
        <v>0</v>
      </c>
      <c r="CV54" s="8">
        <v>0</v>
      </c>
      <c r="CW54" s="8">
        <v>0</v>
      </c>
      <c r="CX54" s="8">
        <v>0</v>
      </c>
      <c r="CY54" s="8">
        <v>0</v>
      </c>
      <c r="CZ54" s="8">
        <v>0</v>
      </c>
      <c r="DA54" s="8">
        <v>0</v>
      </c>
      <c r="DB54" t="str">
        <f>IFERROR(INDEX('Initiative Summary'!$C$5:$C$25,MATCH($A54,'Initiative Summary'!$A$5:$A$25,0)),"")</f>
        <v>Northpeak Region</v>
      </c>
    </row>
    <row r="55" spans="1:106" x14ac:dyDescent="0.25">
      <c r="A55" s="6" t="s">
        <v>696</v>
      </c>
      <c r="B55" s="10" t="s">
        <v>695</v>
      </c>
      <c r="C55" s="11" t="s">
        <v>270</v>
      </c>
      <c r="D55" s="11" t="s">
        <v>249</v>
      </c>
      <c r="E55" s="11" t="s">
        <v>250</v>
      </c>
      <c r="F55" s="20">
        <v>0.2</v>
      </c>
      <c r="G55" s="20">
        <v>2026</v>
      </c>
      <c r="H55" s="11" t="s">
        <v>251</v>
      </c>
      <c r="I55" s="20">
        <v>2026</v>
      </c>
      <c r="J55" s="11" t="s">
        <v>251</v>
      </c>
      <c r="K55" s="11"/>
      <c r="L55" s="20">
        <v>0</v>
      </c>
      <c r="M55" s="11"/>
      <c r="N55" s="11"/>
      <c r="O55" s="11"/>
      <c r="P55" s="11"/>
      <c r="Q55" s="11"/>
      <c r="R55" s="11" t="s">
        <v>250</v>
      </c>
      <c r="S55" s="10"/>
      <c r="T55" s="10"/>
      <c r="U55" s="11" t="s">
        <v>779</v>
      </c>
      <c r="V55" s="11" t="s">
        <v>218</v>
      </c>
      <c r="W55" s="20">
        <v>0</v>
      </c>
      <c r="X55" s="11" t="b">
        <v>0</v>
      </c>
      <c r="Y55" s="11" t="s">
        <v>253</v>
      </c>
      <c r="Z55" s="11" t="s">
        <v>272</v>
      </c>
      <c r="AA55" s="11" t="s">
        <v>255</v>
      </c>
      <c r="AB55" s="20">
        <v>0</v>
      </c>
      <c r="AC55" s="11">
        <v>0</v>
      </c>
      <c r="AD55" s="11">
        <v>0</v>
      </c>
      <c r="AE55" s="11">
        <v>0</v>
      </c>
      <c r="AF55" s="11">
        <v>0</v>
      </c>
      <c r="AG55" s="11">
        <v>0</v>
      </c>
      <c r="AH55" s="11">
        <v>0</v>
      </c>
      <c r="AI55" s="11">
        <v>0</v>
      </c>
      <c r="AJ55" s="11">
        <v>0</v>
      </c>
      <c r="AK55" s="11">
        <v>0</v>
      </c>
      <c r="AL55" s="20">
        <v>0</v>
      </c>
      <c r="AM55" s="20">
        <v>0</v>
      </c>
      <c r="AN55" s="20">
        <v>0</v>
      </c>
      <c r="AO55" s="20">
        <v>0</v>
      </c>
      <c r="AP55" s="11">
        <v>0</v>
      </c>
      <c r="AQ55" s="11">
        <v>0</v>
      </c>
      <c r="AR55" s="11">
        <v>0</v>
      </c>
      <c r="AS55" s="11">
        <v>0</v>
      </c>
      <c r="AT55" s="11">
        <v>0</v>
      </c>
      <c r="AU55" s="11">
        <v>0</v>
      </c>
      <c r="AV55" s="11">
        <v>0</v>
      </c>
      <c r="AW55" s="11">
        <v>0</v>
      </c>
      <c r="AX55" s="11">
        <v>0</v>
      </c>
      <c r="AY55" s="11">
        <v>0</v>
      </c>
      <c r="AZ55" s="11">
        <v>0</v>
      </c>
      <c r="BA55" s="11">
        <v>0</v>
      </c>
      <c r="BB55" s="11">
        <v>0</v>
      </c>
      <c r="BC55" s="11">
        <v>0</v>
      </c>
      <c r="BD55" s="11">
        <v>0</v>
      </c>
      <c r="BE55" s="11">
        <v>0</v>
      </c>
      <c r="BF55" s="11">
        <v>0</v>
      </c>
      <c r="BG55" s="11">
        <v>0</v>
      </c>
      <c r="BH55" s="11">
        <v>0</v>
      </c>
      <c r="BI55" s="11">
        <v>0</v>
      </c>
      <c r="BJ55" s="11">
        <v>0</v>
      </c>
      <c r="BK55" s="11">
        <v>0</v>
      </c>
      <c r="BL55" s="11">
        <v>0</v>
      </c>
      <c r="BM55" s="11">
        <v>0</v>
      </c>
      <c r="BN55" s="11">
        <v>0</v>
      </c>
      <c r="BO55" s="11">
        <v>0</v>
      </c>
      <c r="BP55" s="11">
        <v>0</v>
      </c>
      <c r="BQ55" s="11">
        <v>0</v>
      </c>
      <c r="BR55" s="11">
        <v>0</v>
      </c>
      <c r="BS55" s="11">
        <v>0</v>
      </c>
      <c r="BT55" s="11">
        <v>0</v>
      </c>
      <c r="BU55" s="11">
        <v>0</v>
      </c>
      <c r="BV55" s="11">
        <v>0</v>
      </c>
      <c r="BW55" s="11">
        <v>0</v>
      </c>
      <c r="BX55" s="11">
        <v>0</v>
      </c>
      <c r="BY55" s="11">
        <v>0</v>
      </c>
      <c r="BZ55" s="11">
        <v>0</v>
      </c>
      <c r="CA55" s="11">
        <v>0</v>
      </c>
      <c r="CB55" s="11">
        <v>0</v>
      </c>
      <c r="CC55" s="11">
        <v>0</v>
      </c>
      <c r="CD55" s="11">
        <v>0</v>
      </c>
      <c r="CE55" s="11">
        <v>0</v>
      </c>
      <c r="CF55" s="11">
        <v>0</v>
      </c>
      <c r="CG55" s="11">
        <v>0</v>
      </c>
      <c r="CH55" s="11">
        <v>0</v>
      </c>
      <c r="CI55" s="11">
        <v>0</v>
      </c>
      <c r="CJ55" s="11">
        <v>0</v>
      </c>
      <c r="CK55" s="11">
        <v>0</v>
      </c>
      <c r="CL55" s="11">
        <v>0</v>
      </c>
      <c r="CM55" s="11">
        <v>0</v>
      </c>
      <c r="CN55" s="11">
        <v>0</v>
      </c>
      <c r="CO55" s="11">
        <v>0</v>
      </c>
      <c r="CP55" s="11">
        <v>0</v>
      </c>
      <c r="CQ55" s="11">
        <v>0</v>
      </c>
      <c r="CR55" s="11">
        <v>0</v>
      </c>
      <c r="CS55" s="11">
        <v>0</v>
      </c>
      <c r="CT55" s="11">
        <v>0</v>
      </c>
      <c r="CU55" s="11">
        <v>0</v>
      </c>
      <c r="CV55" s="11">
        <v>0</v>
      </c>
      <c r="CW55" s="11">
        <v>0</v>
      </c>
      <c r="CX55" s="11">
        <v>0</v>
      </c>
      <c r="CY55" s="11">
        <v>0</v>
      </c>
      <c r="CZ55" s="11">
        <v>0</v>
      </c>
      <c r="DA55" s="11">
        <v>0</v>
      </c>
      <c r="DB55" t="str">
        <f>IFERROR(INDEX('Initiative Summary'!$C$5:$C$25,MATCH($A55,'Initiative Summary'!$A$5:$A$25,0)),"")</f>
        <v>Northpeak Region</v>
      </c>
    </row>
    <row r="56" spans="1:106" x14ac:dyDescent="0.25">
      <c r="A56" s="6" t="s">
        <v>696</v>
      </c>
      <c r="B56" s="7" t="s">
        <v>695</v>
      </c>
      <c r="C56" s="8" t="s">
        <v>270</v>
      </c>
      <c r="D56" s="8" t="s">
        <v>204</v>
      </c>
      <c r="E56" s="8" t="s">
        <v>256</v>
      </c>
      <c r="F56" s="8"/>
      <c r="G56" s="8"/>
      <c r="H56" s="8"/>
      <c r="I56" s="8"/>
      <c r="J56" s="8"/>
      <c r="K56" s="8"/>
      <c r="L56" s="21">
        <v>0</v>
      </c>
      <c r="M56" s="8"/>
      <c r="N56" s="8"/>
      <c r="O56" s="8"/>
      <c r="P56" s="8"/>
      <c r="Q56" s="8"/>
      <c r="R56" s="8" t="s">
        <v>250</v>
      </c>
      <c r="S56" s="7"/>
      <c r="T56" s="7"/>
      <c r="U56" s="8" t="s">
        <v>779</v>
      </c>
      <c r="V56" s="8" t="s">
        <v>218</v>
      </c>
      <c r="W56" s="21">
        <v>0</v>
      </c>
      <c r="X56" s="8" t="b">
        <v>0</v>
      </c>
      <c r="Y56" s="8" t="s">
        <v>253</v>
      </c>
      <c r="Z56" s="8" t="s">
        <v>272</v>
      </c>
      <c r="AA56" s="8" t="s">
        <v>255</v>
      </c>
      <c r="AB56" s="8">
        <v>0</v>
      </c>
      <c r="AC56" s="8">
        <v>0</v>
      </c>
      <c r="AD56" s="8">
        <v>0</v>
      </c>
      <c r="AE56" s="8">
        <v>0</v>
      </c>
      <c r="AF56" s="8">
        <v>0</v>
      </c>
      <c r="AG56" s="8">
        <v>0</v>
      </c>
      <c r="AH56" s="8">
        <v>0</v>
      </c>
      <c r="AI56" s="8">
        <v>0</v>
      </c>
      <c r="AJ56" s="8">
        <v>0</v>
      </c>
      <c r="AK56" s="8">
        <v>0</v>
      </c>
      <c r="AL56" s="8">
        <v>0</v>
      </c>
      <c r="AM56" s="8">
        <v>0</v>
      </c>
      <c r="AN56" s="8">
        <v>0</v>
      </c>
      <c r="AO56" s="8">
        <v>0</v>
      </c>
      <c r="AP56" s="8">
        <v>0</v>
      </c>
      <c r="AQ56" s="8">
        <v>0</v>
      </c>
      <c r="AR56" s="8">
        <v>0</v>
      </c>
      <c r="AS56" s="8">
        <v>0</v>
      </c>
      <c r="AT56" s="8">
        <v>0</v>
      </c>
      <c r="AU56" s="8">
        <v>0</v>
      </c>
      <c r="AV56" s="8">
        <v>0</v>
      </c>
      <c r="AW56" s="8">
        <v>0</v>
      </c>
      <c r="AX56" s="8">
        <v>0</v>
      </c>
      <c r="AY56" s="8">
        <v>0</v>
      </c>
      <c r="AZ56" s="8">
        <v>0</v>
      </c>
      <c r="BA56" s="8">
        <v>0</v>
      </c>
      <c r="BB56" s="8">
        <v>0</v>
      </c>
      <c r="BC56" s="8">
        <v>0</v>
      </c>
      <c r="BD56" s="8">
        <v>0</v>
      </c>
      <c r="BE56" s="8">
        <v>0</v>
      </c>
      <c r="BF56" s="8">
        <v>0</v>
      </c>
      <c r="BG56" s="8">
        <v>0</v>
      </c>
      <c r="BH56" s="8">
        <v>0</v>
      </c>
      <c r="BI56" s="8">
        <v>0</v>
      </c>
      <c r="BJ56" s="8">
        <v>0</v>
      </c>
      <c r="BK56" s="8">
        <v>0</v>
      </c>
      <c r="BL56" s="8">
        <v>0</v>
      </c>
      <c r="BM56" s="8">
        <v>0</v>
      </c>
      <c r="BN56" s="8">
        <v>0</v>
      </c>
      <c r="BO56" s="8">
        <v>0</v>
      </c>
      <c r="BP56" s="8">
        <v>0</v>
      </c>
      <c r="BQ56" s="8">
        <v>0</v>
      </c>
      <c r="BR56" s="8">
        <v>0</v>
      </c>
      <c r="BS56" s="8">
        <v>0</v>
      </c>
      <c r="BT56" s="8">
        <v>0</v>
      </c>
      <c r="BU56" s="8">
        <v>0</v>
      </c>
      <c r="BV56" s="8">
        <v>0</v>
      </c>
      <c r="BW56" s="8">
        <v>0</v>
      </c>
      <c r="BX56" s="8">
        <v>0</v>
      </c>
      <c r="BY56" s="8">
        <v>0</v>
      </c>
      <c r="BZ56" s="8">
        <v>0</v>
      </c>
      <c r="CA56" s="8">
        <v>0</v>
      </c>
      <c r="CB56" s="8">
        <v>0</v>
      </c>
      <c r="CC56" s="8">
        <v>0</v>
      </c>
      <c r="CD56" s="8">
        <v>0</v>
      </c>
      <c r="CE56" s="8">
        <v>0</v>
      </c>
      <c r="CF56" s="8">
        <v>0</v>
      </c>
      <c r="CG56" s="8">
        <v>0</v>
      </c>
      <c r="CH56" s="8">
        <v>0</v>
      </c>
      <c r="CI56" s="8">
        <v>0</v>
      </c>
      <c r="CJ56" s="8">
        <v>0</v>
      </c>
      <c r="CK56" s="8">
        <v>0</v>
      </c>
      <c r="CL56" s="8">
        <v>0</v>
      </c>
      <c r="CM56" s="8">
        <v>0</v>
      </c>
      <c r="CN56" s="8">
        <v>0</v>
      </c>
      <c r="CO56" s="8">
        <v>0</v>
      </c>
      <c r="CP56" s="8">
        <v>0</v>
      </c>
      <c r="CQ56" s="8">
        <v>0</v>
      </c>
      <c r="CR56" s="8">
        <v>0</v>
      </c>
      <c r="CS56" s="8">
        <v>0</v>
      </c>
      <c r="CT56" s="8">
        <v>0</v>
      </c>
      <c r="CU56" s="8">
        <v>0</v>
      </c>
      <c r="CV56" s="8">
        <v>0</v>
      </c>
      <c r="CW56" s="8">
        <v>0</v>
      </c>
      <c r="CX56" s="8">
        <v>0</v>
      </c>
      <c r="CY56" s="8">
        <v>0</v>
      </c>
      <c r="CZ56" s="8">
        <v>0</v>
      </c>
      <c r="DA56" s="8">
        <v>0</v>
      </c>
      <c r="DB56" t="str">
        <f>IFERROR(INDEX('Initiative Summary'!$C$5:$C$25,MATCH($A56,'Initiative Summary'!$A$5:$A$25,0)),"")</f>
        <v>Northpeak Region</v>
      </c>
    </row>
    <row r="57" spans="1:106" x14ac:dyDescent="0.25">
      <c r="A57" s="6" t="s">
        <v>703</v>
      </c>
      <c r="B57" s="10" t="s">
        <v>702</v>
      </c>
      <c r="C57" s="11" t="s">
        <v>248</v>
      </c>
      <c r="D57" s="11" t="s">
        <v>249</v>
      </c>
      <c r="E57" s="11" t="s">
        <v>250</v>
      </c>
      <c r="F57" s="20">
        <v>0.4</v>
      </c>
      <c r="G57" s="20">
        <v>2026</v>
      </c>
      <c r="H57" s="11" t="s">
        <v>251</v>
      </c>
      <c r="I57" s="20">
        <v>2026</v>
      </c>
      <c r="J57" s="11" t="s">
        <v>251</v>
      </c>
      <c r="K57" s="11"/>
      <c r="L57" s="20">
        <v>0</v>
      </c>
      <c r="M57" s="11"/>
      <c r="N57" s="11"/>
      <c r="O57" s="11"/>
      <c r="P57" s="11"/>
      <c r="Q57" s="11"/>
      <c r="R57" s="11" t="s">
        <v>250</v>
      </c>
      <c r="S57" s="10"/>
      <c r="T57" s="10"/>
      <c r="U57" s="11" t="s">
        <v>780</v>
      </c>
      <c r="V57" s="11" t="s">
        <v>218</v>
      </c>
      <c r="W57" s="20">
        <v>0</v>
      </c>
      <c r="X57" s="11" t="b">
        <v>0</v>
      </c>
      <c r="Y57" s="11" t="s">
        <v>253</v>
      </c>
      <c r="Z57" s="11" t="s">
        <v>254</v>
      </c>
      <c r="AA57" s="11" t="s">
        <v>255</v>
      </c>
      <c r="AB57" s="20">
        <v>0</v>
      </c>
      <c r="AC57" s="11">
        <v>0</v>
      </c>
      <c r="AD57" s="11">
        <v>0</v>
      </c>
      <c r="AE57" s="11">
        <v>0</v>
      </c>
      <c r="AF57" s="11">
        <v>0</v>
      </c>
      <c r="AG57" s="11">
        <v>0</v>
      </c>
      <c r="AH57" s="11">
        <v>0</v>
      </c>
      <c r="AI57" s="11">
        <v>0</v>
      </c>
      <c r="AJ57" s="11">
        <v>0</v>
      </c>
      <c r="AK57" s="11">
        <v>0</v>
      </c>
      <c r="AL57" s="20">
        <v>0</v>
      </c>
      <c r="AM57" s="20">
        <v>0</v>
      </c>
      <c r="AN57" s="20">
        <v>0</v>
      </c>
      <c r="AO57" s="20">
        <v>0</v>
      </c>
      <c r="AP57" s="11">
        <v>0</v>
      </c>
      <c r="AQ57" s="11">
        <v>0</v>
      </c>
      <c r="AR57" s="11">
        <v>0</v>
      </c>
      <c r="AS57" s="11">
        <v>0</v>
      </c>
      <c r="AT57" s="11">
        <v>0</v>
      </c>
      <c r="AU57" s="11">
        <v>0</v>
      </c>
      <c r="AV57" s="11">
        <v>0</v>
      </c>
      <c r="AW57" s="11">
        <v>0</v>
      </c>
      <c r="AX57" s="11">
        <v>0</v>
      </c>
      <c r="AY57" s="11">
        <v>0</v>
      </c>
      <c r="AZ57" s="11">
        <v>0</v>
      </c>
      <c r="BA57" s="11">
        <v>0</v>
      </c>
      <c r="BB57" s="11">
        <v>0</v>
      </c>
      <c r="BC57" s="11">
        <v>0</v>
      </c>
      <c r="BD57" s="11">
        <v>0</v>
      </c>
      <c r="BE57" s="11">
        <v>0</v>
      </c>
      <c r="BF57" s="11">
        <v>0</v>
      </c>
      <c r="BG57" s="11">
        <v>0</v>
      </c>
      <c r="BH57" s="11">
        <v>0</v>
      </c>
      <c r="BI57" s="11">
        <v>0</v>
      </c>
      <c r="BJ57" s="11">
        <v>0</v>
      </c>
      <c r="BK57" s="11">
        <v>0</v>
      </c>
      <c r="BL57" s="11">
        <v>0</v>
      </c>
      <c r="BM57" s="11">
        <v>0</v>
      </c>
      <c r="BN57" s="11">
        <v>0</v>
      </c>
      <c r="BO57" s="11">
        <v>0</v>
      </c>
      <c r="BP57" s="11">
        <v>0</v>
      </c>
      <c r="BQ57" s="11">
        <v>0</v>
      </c>
      <c r="BR57" s="11">
        <v>0</v>
      </c>
      <c r="BS57" s="11">
        <v>0</v>
      </c>
      <c r="BT57" s="11">
        <v>0</v>
      </c>
      <c r="BU57" s="11">
        <v>0</v>
      </c>
      <c r="BV57" s="11">
        <v>0</v>
      </c>
      <c r="BW57" s="11">
        <v>0</v>
      </c>
      <c r="BX57" s="11">
        <v>0</v>
      </c>
      <c r="BY57" s="11">
        <v>0</v>
      </c>
      <c r="BZ57" s="11">
        <v>0</v>
      </c>
      <c r="CA57" s="11">
        <v>0</v>
      </c>
      <c r="CB57" s="11">
        <v>0</v>
      </c>
      <c r="CC57" s="11">
        <v>0</v>
      </c>
      <c r="CD57" s="11">
        <v>0</v>
      </c>
      <c r="CE57" s="11">
        <v>0</v>
      </c>
      <c r="CF57" s="11">
        <v>0</v>
      </c>
      <c r="CG57" s="11">
        <v>0</v>
      </c>
      <c r="CH57" s="11">
        <v>0</v>
      </c>
      <c r="CI57" s="11">
        <v>0</v>
      </c>
      <c r="CJ57" s="11">
        <v>0</v>
      </c>
      <c r="CK57" s="11">
        <v>0</v>
      </c>
      <c r="CL57" s="11">
        <v>0</v>
      </c>
      <c r="CM57" s="11">
        <v>0</v>
      </c>
      <c r="CN57" s="11">
        <v>0</v>
      </c>
      <c r="CO57" s="11">
        <v>0</v>
      </c>
      <c r="CP57" s="11">
        <v>0</v>
      </c>
      <c r="CQ57" s="11">
        <v>0</v>
      </c>
      <c r="CR57" s="11">
        <v>0</v>
      </c>
      <c r="CS57" s="11">
        <v>0</v>
      </c>
      <c r="CT57" s="11">
        <v>0</v>
      </c>
      <c r="CU57" s="11">
        <v>0</v>
      </c>
      <c r="CV57" s="11">
        <v>0</v>
      </c>
      <c r="CW57" s="11">
        <v>0</v>
      </c>
      <c r="CX57" s="11">
        <v>0</v>
      </c>
      <c r="CY57" s="11">
        <v>0</v>
      </c>
      <c r="CZ57" s="11">
        <v>0</v>
      </c>
      <c r="DA57" s="11">
        <v>0</v>
      </c>
      <c r="DB57" t="str">
        <f>IFERROR(INDEX('Initiative Summary'!$C$5:$C$25,MATCH($A57,'Initiative Summary'!$A$5:$A$25,0)),"")</f>
        <v>Southgate Region</v>
      </c>
    </row>
    <row r="58" spans="1:106" x14ac:dyDescent="0.25">
      <c r="A58" s="6" t="s">
        <v>703</v>
      </c>
      <c r="B58" s="7" t="s">
        <v>702</v>
      </c>
      <c r="C58" s="8" t="s">
        <v>248</v>
      </c>
      <c r="D58" s="8" t="s">
        <v>204</v>
      </c>
      <c r="E58" s="8" t="s">
        <v>256</v>
      </c>
      <c r="F58" s="8"/>
      <c r="G58" s="8"/>
      <c r="H58" s="8"/>
      <c r="I58" s="8"/>
      <c r="J58" s="8"/>
      <c r="K58" s="8"/>
      <c r="L58" s="21">
        <v>0</v>
      </c>
      <c r="M58" s="8"/>
      <c r="N58" s="8"/>
      <c r="O58" s="8"/>
      <c r="P58" s="8"/>
      <c r="Q58" s="8"/>
      <c r="R58" s="8" t="s">
        <v>250</v>
      </c>
      <c r="S58" s="7"/>
      <c r="T58" s="7"/>
      <c r="U58" s="8" t="s">
        <v>780</v>
      </c>
      <c r="V58" s="8" t="s">
        <v>218</v>
      </c>
      <c r="W58" s="21">
        <v>0</v>
      </c>
      <c r="X58" s="8" t="b">
        <v>0</v>
      </c>
      <c r="Y58" s="8" t="s">
        <v>253</v>
      </c>
      <c r="Z58" s="8" t="s">
        <v>254</v>
      </c>
      <c r="AA58" s="8" t="s">
        <v>255</v>
      </c>
      <c r="AB58" s="8">
        <v>0</v>
      </c>
      <c r="AC58" s="8">
        <v>0</v>
      </c>
      <c r="AD58" s="8">
        <v>0</v>
      </c>
      <c r="AE58" s="8">
        <v>0</v>
      </c>
      <c r="AF58" s="8">
        <v>0</v>
      </c>
      <c r="AG58" s="8">
        <v>0</v>
      </c>
      <c r="AH58" s="8">
        <v>0</v>
      </c>
      <c r="AI58" s="8">
        <v>0</v>
      </c>
      <c r="AJ58" s="8">
        <v>0</v>
      </c>
      <c r="AK58" s="8">
        <v>0</v>
      </c>
      <c r="AL58" s="8">
        <v>0</v>
      </c>
      <c r="AM58" s="8">
        <v>0</v>
      </c>
      <c r="AN58" s="8">
        <v>0</v>
      </c>
      <c r="AO58" s="8">
        <v>0</v>
      </c>
      <c r="AP58" s="8">
        <v>0</v>
      </c>
      <c r="AQ58" s="8">
        <v>0</v>
      </c>
      <c r="AR58" s="8">
        <v>0</v>
      </c>
      <c r="AS58" s="8">
        <v>0</v>
      </c>
      <c r="AT58" s="8">
        <v>0</v>
      </c>
      <c r="AU58" s="8">
        <v>0</v>
      </c>
      <c r="AV58" s="8">
        <v>0</v>
      </c>
      <c r="AW58" s="8">
        <v>0</v>
      </c>
      <c r="AX58" s="8">
        <v>0</v>
      </c>
      <c r="AY58" s="8">
        <v>0</v>
      </c>
      <c r="AZ58" s="8">
        <v>0</v>
      </c>
      <c r="BA58" s="8">
        <v>0</v>
      </c>
      <c r="BB58" s="8">
        <v>0</v>
      </c>
      <c r="BC58" s="8">
        <v>0</v>
      </c>
      <c r="BD58" s="8">
        <v>0</v>
      </c>
      <c r="BE58" s="8">
        <v>0</v>
      </c>
      <c r="BF58" s="8">
        <v>0</v>
      </c>
      <c r="BG58" s="8">
        <v>0</v>
      </c>
      <c r="BH58" s="8">
        <v>0</v>
      </c>
      <c r="BI58" s="8">
        <v>0</v>
      </c>
      <c r="BJ58" s="8">
        <v>0</v>
      </c>
      <c r="BK58" s="8">
        <v>0</v>
      </c>
      <c r="BL58" s="8">
        <v>0</v>
      </c>
      <c r="BM58" s="8">
        <v>0</v>
      </c>
      <c r="BN58" s="8">
        <v>0</v>
      </c>
      <c r="BO58" s="8">
        <v>0</v>
      </c>
      <c r="BP58" s="8">
        <v>0</v>
      </c>
      <c r="BQ58" s="8">
        <v>0</v>
      </c>
      <c r="BR58" s="8">
        <v>0</v>
      </c>
      <c r="BS58" s="8">
        <v>0</v>
      </c>
      <c r="BT58" s="8">
        <v>0</v>
      </c>
      <c r="BU58" s="8">
        <v>0</v>
      </c>
      <c r="BV58" s="8">
        <v>0</v>
      </c>
      <c r="BW58" s="8">
        <v>0</v>
      </c>
      <c r="BX58" s="8">
        <v>0</v>
      </c>
      <c r="BY58" s="8">
        <v>0</v>
      </c>
      <c r="BZ58" s="8">
        <v>0</v>
      </c>
      <c r="CA58" s="8">
        <v>0</v>
      </c>
      <c r="CB58" s="8">
        <v>0</v>
      </c>
      <c r="CC58" s="8">
        <v>0</v>
      </c>
      <c r="CD58" s="8">
        <v>0</v>
      </c>
      <c r="CE58" s="8">
        <v>0</v>
      </c>
      <c r="CF58" s="8">
        <v>0</v>
      </c>
      <c r="CG58" s="8">
        <v>0</v>
      </c>
      <c r="CH58" s="8">
        <v>0</v>
      </c>
      <c r="CI58" s="8">
        <v>0</v>
      </c>
      <c r="CJ58" s="8">
        <v>0</v>
      </c>
      <c r="CK58" s="8">
        <v>0</v>
      </c>
      <c r="CL58" s="8">
        <v>0</v>
      </c>
      <c r="CM58" s="8">
        <v>0</v>
      </c>
      <c r="CN58" s="8">
        <v>0</v>
      </c>
      <c r="CO58" s="8">
        <v>0</v>
      </c>
      <c r="CP58" s="8">
        <v>0</v>
      </c>
      <c r="CQ58" s="8">
        <v>0</v>
      </c>
      <c r="CR58" s="8">
        <v>0</v>
      </c>
      <c r="CS58" s="8">
        <v>0</v>
      </c>
      <c r="CT58" s="8">
        <v>0</v>
      </c>
      <c r="CU58" s="8">
        <v>0</v>
      </c>
      <c r="CV58" s="8">
        <v>0</v>
      </c>
      <c r="CW58" s="8">
        <v>0</v>
      </c>
      <c r="CX58" s="8">
        <v>0</v>
      </c>
      <c r="CY58" s="8">
        <v>0</v>
      </c>
      <c r="CZ58" s="8">
        <v>0</v>
      </c>
      <c r="DA58" s="8">
        <v>0</v>
      </c>
      <c r="DB58" t="str">
        <f>IFERROR(INDEX('Initiative Summary'!$C$5:$C$25,MATCH($A58,'Initiative Summary'!$A$5:$A$25,0)),"")</f>
        <v>Southgate Region</v>
      </c>
    </row>
    <row r="59" spans="1:106" x14ac:dyDescent="0.25">
      <c r="A59" s="6" t="s">
        <v>703</v>
      </c>
      <c r="B59" s="10" t="s">
        <v>702</v>
      </c>
      <c r="C59" s="11" t="s">
        <v>257</v>
      </c>
      <c r="D59" s="11" t="s">
        <v>249</v>
      </c>
      <c r="E59" s="11" t="s">
        <v>250</v>
      </c>
      <c r="F59" s="20">
        <v>0.2</v>
      </c>
      <c r="G59" s="20">
        <v>2026</v>
      </c>
      <c r="H59" s="11" t="s">
        <v>258</v>
      </c>
      <c r="I59" s="20">
        <v>2026</v>
      </c>
      <c r="J59" s="11" t="s">
        <v>258</v>
      </c>
      <c r="K59" s="11"/>
      <c r="L59" s="20">
        <v>0</v>
      </c>
      <c r="M59" s="11"/>
      <c r="N59" s="11"/>
      <c r="O59" s="11"/>
      <c r="P59" s="11"/>
      <c r="Q59" s="11"/>
      <c r="R59" s="11" t="s">
        <v>250</v>
      </c>
      <c r="S59" s="10"/>
      <c r="T59" s="10"/>
      <c r="U59" s="11" t="s">
        <v>781</v>
      </c>
      <c r="V59" s="11" t="s">
        <v>218</v>
      </c>
      <c r="W59" s="20">
        <v>0</v>
      </c>
      <c r="X59" s="11" t="b">
        <v>0</v>
      </c>
      <c r="Y59" s="11" t="s">
        <v>253</v>
      </c>
      <c r="Z59" s="11" t="s">
        <v>260</v>
      </c>
      <c r="AA59" s="11" t="s">
        <v>255</v>
      </c>
      <c r="AB59" s="20">
        <v>0</v>
      </c>
      <c r="AC59" s="11">
        <v>0</v>
      </c>
      <c r="AD59" s="11">
        <v>0</v>
      </c>
      <c r="AE59" s="11">
        <v>0</v>
      </c>
      <c r="AF59" s="11">
        <v>0</v>
      </c>
      <c r="AG59" s="11">
        <v>0</v>
      </c>
      <c r="AH59" s="11">
        <v>0</v>
      </c>
      <c r="AI59" s="11">
        <v>0</v>
      </c>
      <c r="AJ59" s="11">
        <v>0</v>
      </c>
      <c r="AK59" s="11">
        <v>0</v>
      </c>
      <c r="AL59" s="20">
        <v>0</v>
      </c>
      <c r="AM59" s="20">
        <v>0</v>
      </c>
      <c r="AN59" s="20">
        <v>0</v>
      </c>
      <c r="AO59" s="20">
        <v>0</v>
      </c>
      <c r="AP59" s="20">
        <v>0</v>
      </c>
      <c r="AQ59" s="20">
        <v>0</v>
      </c>
      <c r="AR59" s="11">
        <v>0</v>
      </c>
      <c r="AS59" s="11">
        <v>0</v>
      </c>
      <c r="AT59" s="11">
        <v>0</v>
      </c>
      <c r="AU59" s="11">
        <v>0</v>
      </c>
      <c r="AV59" s="11">
        <v>0</v>
      </c>
      <c r="AW59" s="11">
        <v>0</v>
      </c>
      <c r="AX59" s="11">
        <v>0</v>
      </c>
      <c r="AY59" s="11">
        <v>0</v>
      </c>
      <c r="AZ59" s="11">
        <v>0</v>
      </c>
      <c r="BA59" s="11">
        <v>0</v>
      </c>
      <c r="BB59" s="11">
        <v>0</v>
      </c>
      <c r="BC59" s="11">
        <v>0</v>
      </c>
      <c r="BD59" s="11">
        <v>0</v>
      </c>
      <c r="BE59" s="11">
        <v>0</v>
      </c>
      <c r="BF59" s="11">
        <v>0</v>
      </c>
      <c r="BG59" s="11">
        <v>0</v>
      </c>
      <c r="BH59" s="11">
        <v>0</v>
      </c>
      <c r="BI59" s="11">
        <v>0</v>
      </c>
      <c r="BJ59" s="11">
        <v>0</v>
      </c>
      <c r="BK59" s="11">
        <v>0</v>
      </c>
      <c r="BL59" s="11">
        <v>0</v>
      </c>
      <c r="BM59" s="11">
        <v>0</v>
      </c>
      <c r="BN59" s="11">
        <v>0</v>
      </c>
      <c r="BO59" s="11">
        <v>0</v>
      </c>
      <c r="BP59" s="11">
        <v>0</v>
      </c>
      <c r="BQ59" s="11">
        <v>0</v>
      </c>
      <c r="BR59" s="11">
        <v>0</v>
      </c>
      <c r="BS59" s="11">
        <v>0</v>
      </c>
      <c r="BT59" s="11">
        <v>0</v>
      </c>
      <c r="BU59" s="11">
        <v>0</v>
      </c>
      <c r="BV59" s="11">
        <v>0</v>
      </c>
      <c r="BW59" s="11">
        <v>0</v>
      </c>
      <c r="BX59" s="11">
        <v>0</v>
      </c>
      <c r="BY59" s="11">
        <v>0</v>
      </c>
      <c r="BZ59" s="11">
        <v>0</v>
      </c>
      <c r="CA59" s="11">
        <v>0</v>
      </c>
      <c r="CB59" s="11">
        <v>0</v>
      </c>
      <c r="CC59" s="11">
        <v>0</v>
      </c>
      <c r="CD59" s="11">
        <v>0</v>
      </c>
      <c r="CE59" s="11">
        <v>0</v>
      </c>
      <c r="CF59" s="11">
        <v>0</v>
      </c>
      <c r="CG59" s="11">
        <v>0</v>
      </c>
      <c r="CH59" s="11">
        <v>0</v>
      </c>
      <c r="CI59" s="11">
        <v>0</v>
      </c>
      <c r="CJ59" s="11">
        <v>0</v>
      </c>
      <c r="CK59" s="11">
        <v>0</v>
      </c>
      <c r="CL59" s="11">
        <v>0</v>
      </c>
      <c r="CM59" s="11">
        <v>0</v>
      </c>
      <c r="CN59" s="11">
        <v>0</v>
      </c>
      <c r="CO59" s="11">
        <v>0</v>
      </c>
      <c r="CP59" s="11">
        <v>0</v>
      </c>
      <c r="CQ59" s="11">
        <v>0</v>
      </c>
      <c r="CR59" s="11">
        <v>0</v>
      </c>
      <c r="CS59" s="11">
        <v>0</v>
      </c>
      <c r="CT59" s="11">
        <v>0</v>
      </c>
      <c r="CU59" s="11">
        <v>0</v>
      </c>
      <c r="CV59" s="11">
        <v>0</v>
      </c>
      <c r="CW59" s="11">
        <v>0</v>
      </c>
      <c r="CX59" s="11">
        <v>0</v>
      </c>
      <c r="CY59" s="11">
        <v>0</v>
      </c>
      <c r="CZ59" s="11">
        <v>0</v>
      </c>
      <c r="DA59" s="11">
        <v>0</v>
      </c>
      <c r="DB59" t="str">
        <f>IFERROR(INDEX('Initiative Summary'!$C$5:$C$25,MATCH($A59,'Initiative Summary'!$A$5:$A$25,0)),"")</f>
        <v>Southgate Region</v>
      </c>
    </row>
    <row r="60" spans="1:106" x14ac:dyDescent="0.25">
      <c r="A60" s="6" t="s">
        <v>703</v>
      </c>
      <c r="B60" s="7" t="s">
        <v>702</v>
      </c>
      <c r="C60" s="8" t="s">
        <v>257</v>
      </c>
      <c r="D60" s="8" t="s">
        <v>204</v>
      </c>
      <c r="E60" s="8" t="s">
        <v>256</v>
      </c>
      <c r="F60" s="8"/>
      <c r="G60" s="8"/>
      <c r="H60" s="8"/>
      <c r="I60" s="8"/>
      <c r="J60" s="8"/>
      <c r="K60" s="8"/>
      <c r="L60" s="21">
        <v>0</v>
      </c>
      <c r="M60" s="8"/>
      <c r="N60" s="8"/>
      <c r="O60" s="8"/>
      <c r="P60" s="8"/>
      <c r="Q60" s="8"/>
      <c r="R60" s="8" t="s">
        <v>250</v>
      </c>
      <c r="S60" s="7"/>
      <c r="T60" s="7"/>
      <c r="U60" s="8" t="s">
        <v>781</v>
      </c>
      <c r="V60" s="8" t="s">
        <v>218</v>
      </c>
      <c r="W60" s="21">
        <v>0</v>
      </c>
      <c r="X60" s="8" t="b">
        <v>0</v>
      </c>
      <c r="Y60" s="8" t="s">
        <v>253</v>
      </c>
      <c r="Z60" s="8" t="s">
        <v>260</v>
      </c>
      <c r="AA60" s="8" t="s">
        <v>255</v>
      </c>
      <c r="AB60" s="8">
        <v>0</v>
      </c>
      <c r="AC60" s="8">
        <v>0</v>
      </c>
      <c r="AD60" s="8">
        <v>0</v>
      </c>
      <c r="AE60" s="8">
        <v>0</v>
      </c>
      <c r="AF60" s="8">
        <v>0</v>
      </c>
      <c r="AG60" s="8">
        <v>0</v>
      </c>
      <c r="AH60" s="8">
        <v>0</v>
      </c>
      <c r="AI60" s="8">
        <v>0</v>
      </c>
      <c r="AJ60" s="8">
        <v>0</v>
      </c>
      <c r="AK60" s="8">
        <v>0</v>
      </c>
      <c r="AL60" s="8">
        <v>0</v>
      </c>
      <c r="AM60" s="8">
        <v>0</v>
      </c>
      <c r="AN60" s="8">
        <v>0</v>
      </c>
      <c r="AO60" s="8">
        <v>0</v>
      </c>
      <c r="AP60" s="8">
        <v>0</v>
      </c>
      <c r="AQ60" s="8">
        <v>0</v>
      </c>
      <c r="AR60" s="8">
        <v>0</v>
      </c>
      <c r="AS60" s="8">
        <v>0</v>
      </c>
      <c r="AT60" s="8">
        <v>0</v>
      </c>
      <c r="AU60" s="8">
        <v>0</v>
      </c>
      <c r="AV60" s="8">
        <v>0</v>
      </c>
      <c r="AW60" s="8">
        <v>0</v>
      </c>
      <c r="AX60" s="8">
        <v>0</v>
      </c>
      <c r="AY60" s="8">
        <v>0</v>
      </c>
      <c r="AZ60" s="8">
        <v>0</v>
      </c>
      <c r="BA60" s="8">
        <v>0</v>
      </c>
      <c r="BB60" s="8">
        <v>0</v>
      </c>
      <c r="BC60" s="8">
        <v>0</v>
      </c>
      <c r="BD60" s="8">
        <v>0</v>
      </c>
      <c r="BE60" s="8">
        <v>0</v>
      </c>
      <c r="BF60" s="8">
        <v>0</v>
      </c>
      <c r="BG60" s="8">
        <v>0</v>
      </c>
      <c r="BH60" s="8">
        <v>0</v>
      </c>
      <c r="BI60" s="8">
        <v>0</v>
      </c>
      <c r="BJ60" s="8">
        <v>0</v>
      </c>
      <c r="BK60" s="8">
        <v>0</v>
      </c>
      <c r="BL60" s="8">
        <v>0</v>
      </c>
      <c r="BM60" s="8">
        <v>0</v>
      </c>
      <c r="BN60" s="8">
        <v>0</v>
      </c>
      <c r="BO60" s="8">
        <v>0</v>
      </c>
      <c r="BP60" s="8">
        <v>0</v>
      </c>
      <c r="BQ60" s="8">
        <v>0</v>
      </c>
      <c r="BR60" s="8">
        <v>0</v>
      </c>
      <c r="BS60" s="8">
        <v>0</v>
      </c>
      <c r="BT60" s="8">
        <v>0</v>
      </c>
      <c r="BU60" s="8">
        <v>0</v>
      </c>
      <c r="BV60" s="8">
        <v>0</v>
      </c>
      <c r="BW60" s="8">
        <v>0</v>
      </c>
      <c r="BX60" s="8">
        <v>0</v>
      </c>
      <c r="BY60" s="8">
        <v>0</v>
      </c>
      <c r="BZ60" s="8">
        <v>0</v>
      </c>
      <c r="CA60" s="8">
        <v>0</v>
      </c>
      <c r="CB60" s="8">
        <v>0</v>
      </c>
      <c r="CC60" s="8">
        <v>0</v>
      </c>
      <c r="CD60" s="8">
        <v>0</v>
      </c>
      <c r="CE60" s="8">
        <v>0</v>
      </c>
      <c r="CF60" s="8">
        <v>0</v>
      </c>
      <c r="CG60" s="8">
        <v>0</v>
      </c>
      <c r="CH60" s="8">
        <v>0</v>
      </c>
      <c r="CI60" s="8">
        <v>0</v>
      </c>
      <c r="CJ60" s="8">
        <v>0</v>
      </c>
      <c r="CK60" s="8">
        <v>0</v>
      </c>
      <c r="CL60" s="8">
        <v>0</v>
      </c>
      <c r="CM60" s="8">
        <v>0</v>
      </c>
      <c r="CN60" s="8">
        <v>0</v>
      </c>
      <c r="CO60" s="8">
        <v>0</v>
      </c>
      <c r="CP60" s="8">
        <v>0</v>
      </c>
      <c r="CQ60" s="8">
        <v>0</v>
      </c>
      <c r="CR60" s="8">
        <v>0</v>
      </c>
      <c r="CS60" s="8">
        <v>0</v>
      </c>
      <c r="CT60" s="8">
        <v>0</v>
      </c>
      <c r="CU60" s="8">
        <v>0</v>
      </c>
      <c r="CV60" s="8">
        <v>0</v>
      </c>
      <c r="CW60" s="8">
        <v>0</v>
      </c>
      <c r="CX60" s="8">
        <v>0</v>
      </c>
      <c r="CY60" s="8">
        <v>0</v>
      </c>
      <c r="CZ60" s="8">
        <v>0</v>
      </c>
      <c r="DA60" s="8">
        <v>0</v>
      </c>
      <c r="DB60" t="str">
        <f>IFERROR(INDEX('Initiative Summary'!$C$5:$C$25,MATCH($A60,'Initiative Summary'!$A$5:$A$25,0)),"")</f>
        <v>Southgate Region</v>
      </c>
    </row>
    <row r="61" spans="1:106" x14ac:dyDescent="0.25">
      <c r="A61" s="6" t="s">
        <v>703</v>
      </c>
      <c r="B61" s="10" t="s">
        <v>702</v>
      </c>
      <c r="C61" s="11" t="s">
        <v>261</v>
      </c>
      <c r="D61" s="11" t="s">
        <v>249</v>
      </c>
      <c r="E61" s="11" t="s">
        <v>256</v>
      </c>
      <c r="F61" s="11"/>
      <c r="G61" s="11"/>
      <c r="H61" s="11"/>
      <c r="I61" s="11"/>
      <c r="J61" s="11"/>
      <c r="K61" s="11"/>
      <c r="L61" s="20">
        <v>0</v>
      </c>
      <c r="M61" s="11"/>
      <c r="N61" s="11"/>
      <c r="O61" s="11"/>
      <c r="P61" s="11"/>
      <c r="Q61" s="11"/>
      <c r="R61" s="11" t="s">
        <v>215</v>
      </c>
      <c r="S61" s="10"/>
      <c r="T61" s="10"/>
      <c r="U61" s="11" t="s">
        <v>782</v>
      </c>
      <c r="V61" s="11" t="s">
        <v>218</v>
      </c>
      <c r="W61" s="20">
        <v>0</v>
      </c>
      <c r="X61" s="11" t="b">
        <v>0</v>
      </c>
      <c r="Y61" s="11" t="s">
        <v>263</v>
      </c>
      <c r="Z61" s="11" t="s">
        <v>264</v>
      </c>
      <c r="AA61" s="11" t="s">
        <v>264</v>
      </c>
      <c r="AB61" s="20">
        <v>0</v>
      </c>
      <c r="AC61" s="20">
        <v>6.3E-2</v>
      </c>
      <c r="AD61" s="20">
        <v>6.3E-2</v>
      </c>
      <c r="AE61" s="20">
        <v>6.3E-2</v>
      </c>
      <c r="AF61" s="20">
        <v>6.3E-2</v>
      </c>
      <c r="AG61" s="11">
        <v>0</v>
      </c>
      <c r="AH61" s="11">
        <v>0</v>
      </c>
      <c r="AI61" s="11">
        <v>0</v>
      </c>
      <c r="AJ61" s="11">
        <v>0</v>
      </c>
      <c r="AK61" s="11">
        <v>0</v>
      </c>
      <c r="AL61" s="11">
        <v>0</v>
      </c>
      <c r="AM61" s="11">
        <v>0</v>
      </c>
      <c r="AN61" s="11">
        <v>0</v>
      </c>
      <c r="AO61" s="11">
        <v>0</v>
      </c>
      <c r="AP61" s="11">
        <v>0</v>
      </c>
      <c r="AQ61" s="11">
        <v>0</v>
      </c>
      <c r="AR61" s="20">
        <v>0</v>
      </c>
      <c r="AS61" s="20">
        <v>0</v>
      </c>
      <c r="AT61" s="20">
        <v>0</v>
      </c>
      <c r="AU61" s="20">
        <v>0</v>
      </c>
      <c r="AV61" s="20">
        <v>0</v>
      </c>
      <c r="AW61" s="20">
        <v>0</v>
      </c>
      <c r="AX61" s="20">
        <v>0</v>
      </c>
      <c r="AY61" s="20">
        <v>0</v>
      </c>
      <c r="AZ61" s="20">
        <v>0</v>
      </c>
      <c r="BA61" s="20">
        <v>0</v>
      </c>
      <c r="BB61" s="20">
        <v>0</v>
      </c>
      <c r="BC61" s="20">
        <v>3.15E-2</v>
      </c>
      <c r="BD61" s="20">
        <v>3.15E-2</v>
      </c>
      <c r="BE61" s="20">
        <v>5.2500000000000003E-3</v>
      </c>
      <c r="BF61" s="20">
        <v>5.2500000000000003E-3</v>
      </c>
      <c r="BG61" s="20">
        <v>5.2500000000000003E-3</v>
      </c>
      <c r="BH61" s="20">
        <v>5.2500000000000003E-3</v>
      </c>
      <c r="BI61" s="20">
        <v>5.2500000000000003E-3</v>
      </c>
      <c r="BJ61" s="20">
        <v>5.2500000000000003E-3</v>
      </c>
      <c r="BK61" s="20">
        <v>5.2500000000000003E-3</v>
      </c>
      <c r="BL61" s="20">
        <v>5.2500000000000003E-3</v>
      </c>
      <c r="BM61" s="20">
        <v>5.2500000000000003E-3</v>
      </c>
      <c r="BN61" s="20">
        <v>5.2500000000000003E-3</v>
      </c>
      <c r="BO61" s="20">
        <v>5.2500000000000003E-3</v>
      </c>
      <c r="BP61" s="20">
        <v>5.2500000000000003E-3</v>
      </c>
      <c r="BQ61" s="20">
        <v>5.2500000000000003E-3</v>
      </c>
      <c r="BR61" s="20">
        <v>5.2500000000000003E-3</v>
      </c>
      <c r="BS61" s="20">
        <v>5.2500000000000003E-3</v>
      </c>
      <c r="BT61" s="20">
        <v>5.2500000000000003E-3</v>
      </c>
      <c r="BU61" s="20">
        <v>5.2500000000000003E-3</v>
      </c>
      <c r="BV61" s="20">
        <v>5.2500000000000003E-3</v>
      </c>
      <c r="BW61" s="20">
        <v>5.2500000000000003E-3</v>
      </c>
      <c r="BX61" s="20">
        <v>5.2500000000000003E-3</v>
      </c>
      <c r="BY61" s="20">
        <v>5.2500000000000003E-3</v>
      </c>
      <c r="BZ61" s="20">
        <v>5.2500000000000003E-3</v>
      </c>
      <c r="CA61" s="20">
        <v>5.2500000000000003E-3</v>
      </c>
      <c r="CB61" s="20">
        <v>5.2500000000000003E-3</v>
      </c>
      <c r="CC61" s="20">
        <v>5.2500000000000003E-3</v>
      </c>
      <c r="CD61" s="20">
        <v>5.2500000000000003E-3</v>
      </c>
      <c r="CE61" s="20">
        <v>5.2500000000000003E-3</v>
      </c>
      <c r="CF61" s="20">
        <v>5.2500000000000003E-3</v>
      </c>
      <c r="CG61" s="20">
        <v>5.2500000000000003E-3</v>
      </c>
      <c r="CH61" s="20">
        <v>5.2500000000000003E-3</v>
      </c>
      <c r="CI61" s="20">
        <v>5.2500000000000003E-3</v>
      </c>
      <c r="CJ61" s="20">
        <v>5.2500000000000003E-3</v>
      </c>
      <c r="CK61" s="20">
        <v>5.2500000000000003E-3</v>
      </c>
      <c r="CL61" s="20">
        <v>5.2500000000000003E-3</v>
      </c>
      <c r="CM61" s="20">
        <v>5.2500000000000003E-3</v>
      </c>
      <c r="CN61" s="20">
        <v>5.2500000000000003E-3</v>
      </c>
      <c r="CO61" s="11">
        <v>6.3E-2</v>
      </c>
      <c r="CP61" s="11">
        <v>5.2500000000000003E-3</v>
      </c>
      <c r="CQ61" s="11">
        <v>5.2500000000000003E-3</v>
      </c>
      <c r="CR61" s="11">
        <v>5.2500000000000003E-3</v>
      </c>
      <c r="CS61" s="11">
        <v>5.2500000000000003E-3</v>
      </c>
      <c r="CT61" s="11">
        <v>5.2500000000000003E-3</v>
      </c>
      <c r="CU61" s="11">
        <v>5.2500000000000003E-3</v>
      </c>
      <c r="CV61" s="11">
        <v>5.2500000000000003E-3</v>
      </c>
      <c r="CW61" s="11">
        <v>5.2500000000000003E-3</v>
      </c>
      <c r="CX61" s="11">
        <v>5.2500000000000003E-3</v>
      </c>
      <c r="CY61" s="11">
        <v>5.2500000000000003E-3</v>
      </c>
      <c r="CZ61" s="11">
        <v>5.2500000000000003E-3</v>
      </c>
      <c r="DA61" s="11">
        <v>5.2500000000000003E-3</v>
      </c>
      <c r="DB61" t="str">
        <f>IFERROR(INDEX('Initiative Summary'!$C$5:$C$25,MATCH($A61,'Initiative Summary'!$A$5:$A$25,0)),"")</f>
        <v>Southgate Region</v>
      </c>
    </row>
    <row r="62" spans="1:106" x14ac:dyDescent="0.25">
      <c r="A62" s="6" t="s">
        <v>703</v>
      </c>
      <c r="B62" s="7" t="s">
        <v>702</v>
      </c>
      <c r="C62" s="8" t="s">
        <v>261</v>
      </c>
      <c r="D62" s="8" t="s">
        <v>204</v>
      </c>
      <c r="E62" s="8" t="s">
        <v>256</v>
      </c>
      <c r="F62" s="8"/>
      <c r="G62" s="8"/>
      <c r="H62" s="8"/>
      <c r="I62" s="8"/>
      <c r="J62" s="8"/>
      <c r="K62" s="8"/>
      <c r="L62" s="21">
        <v>0</v>
      </c>
      <c r="M62" s="8"/>
      <c r="N62" s="8"/>
      <c r="O62" s="8"/>
      <c r="P62" s="8"/>
      <c r="Q62" s="8"/>
      <c r="R62" s="8" t="s">
        <v>215</v>
      </c>
      <c r="S62" s="7"/>
      <c r="T62" s="7"/>
      <c r="U62" s="8" t="s">
        <v>782</v>
      </c>
      <c r="V62" s="8" t="s">
        <v>218</v>
      </c>
      <c r="W62" s="21">
        <v>0</v>
      </c>
      <c r="X62" s="8" t="b">
        <v>0</v>
      </c>
      <c r="Y62" s="8" t="s">
        <v>263</v>
      </c>
      <c r="Z62" s="8" t="s">
        <v>264</v>
      </c>
      <c r="AA62" s="8" t="s">
        <v>264</v>
      </c>
      <c r="AB62" s="8">
        <v>0</v>
      </c>
      <c r="AC62" s="8">
        <v>0</v>
      </c>
      <c r="AD62" s="8">
        <v>0</v>
      </c>
      <c r="AE62" s="8">
        <v>0</v>
      </c>
      <c r="AF62" s="8">
        <v>0</v>
      </c>
      <c r="AG62" s="8">
        <v>0</v>
      </c>
      <c r="AH62" s="8">
        <v>0</v>
      </c>
      <c r="AI62" s="8">
        <v>0</v>
      </c>
      <c r="AJ62" s="8">
        <v>0</v>
      </c>
      <c r="AK62" s="8">
        <v>0</v>
      </c>
      <c r="AL62" s="8">
        <v>0</v>
      </c>
      <c r="AM62" s="8">
        <v>0</v>
      </c>
      <c r="AN62" s="8">
        <v>0</v>
      </c>
      <c r="AO62" s="8">
        <v>0</v>
      </c>
      <c r="AP62" s="8">
        <v>0</v>
      </c>
      <c r="AQ62" s="8">
        <v>0</v>
      </c>
      <c r="AR62" s="8">
        <v>0</v>
      </c>
      <c r="AS62" s="8">
        <v>0</v>
      </c>
      <c r="AT62" s="8">
        <v>0</v>
      </c>
      <c r="AU62" s="8">
        <v>0</v>
      </c>
      <c r="AV62" s="8">
        <v>0</v>
      </c>
      <c r="AW62" s="8">
        <v>0</v>
      </c>
      <c r="AX62" s="8">
        <v>0</v>
      </c>
      <c r="AY62" s="8">
        <v>0</v>
      </c>
      <c r="AZ62" s="8">
        <v>0</v>
      </c>
      <c r="BA62" s="8">
        <v>0</v>
      </c>
      <c r="BB62" s="8">
        <v>0</v>
      </c>
      <c r="BC62" s="8">
        <v>0</v>
      </c>
      <c r="BD62" s="8">
        <v>0</v>
      </c>
      <c r="BE62" s="8">
        <v>0</v>
      </c>
      <c r="BF62" s="8">
        <v>0</v>
      </c>
      <c r="BG62" s="8">
        <v>0</v>
      </c>
      <c r="BH62" s="8">
        <v>0</v>
      </c>
      <c r="BI62" s="8">
        <v>0</v>
      </c>
      <c r="BJ62" s="8">
        <v>0</v>
      </c>
      <c r="BK62" s="8">
        <v>0</v>
      </c>
      <c r="BL62" s="8">
        <v>0</v>
      </c>
      <c r="BM62" s="8">
        <v>0</v>
      </c>
      <c r="BN62" s="8">
        <v>0</v>
      </c>
      <c r="BO62" s="8">
        <v>0</v>
      </c>
      <c r="BP62" s="8">
        <v>0</v>
      </c>
      <c r="BQ62" s="8">
        <v>0</v>
      </c>
      <c r="BR62" s="8">
        <v>0</v>
      </c>
      <c r="BS62" s="8">
        <v>0</v>
      </c>
      <c r="BT62" s="8">
        <v>0</v>
      </c>
      <c r="BU62" s="8">
        <v>0</v>
      </c>
      <c r="BV62" s="8">
        <v>0</v>
      </c>
      <c r="BW62" s="8">
        <v>0</v>
      </c>
      <c r="BX62" s="8">
        <v>0</v>
      </c>
      <c r="BY62" s="8">
        <v>0</v>
      </c>
      <c r="BZ62" s="8">
        <v>0</v>
      </c>
      <c r="CA62" s="8">
        <v>0</v>
      </c>
      <c r="CB62" s="8">
        <v>0</v>
      </c>
      <c r="CC62" s="8">
        <v>0</v>
      </c>
      <c r="CD62" s="8">
        <v>0</v>
      </c>
      <c r="CE62" s="8">
        <v>0</v>
      </c>
      <c r="CF62" s="8">
        <v>0</v>
      </c>
      <c r="CG62" s="8">
        <v>0</v>
      </c>
      <c r="CH62" s="8">
        <v>0</v>
      </c>
      <c r="CI62" s="8">
        <v>0</v>
      </c>
      <c r="CJ62" s="8">
        <v>0</v>
      </c>
      <c r="CK62" s="8">
        <v>0</v>
      </c>
      <c r="CL62" s="8">
        <v>0</v>
      </c>
      <c r="CM62" s="8">
        <v>0</v>
      </c>
      <c r="CN62" s="8">
        <v>0</v>
      </c>
      <c r="CO62" s="8">
        <v>0</v>
      </c>
      <c r="CP62" s="8">
        <v>0</v>
      </c>
      <c r="CQ62" s="8">
        <v>0</v>
      </c>
      <c r="CR62" s="8">
        <v>0</v>
      </c>
      <c r="CS62" s="8">
        <v>0</v>
      </c>
      <c r="CT62" s="8">
        <v>0</v>
      </c>
      <c r="CU62" s="8">
        <v>0</v>
      </c>
      <c r="CV62" s="8">
        <v>0</v>
      </c>
      <c r="CW62" s="8">
        <v>0</v>
      </c>
      <c r="CX62" s="8">
        <v>0</v>
      </c>
      <c r="CY62" s="8">
        <v>0</v>
      </c>
      <c r="CZ62" s="8">
        <v>0</v>
      </c>
      <c r="DA62" s="8">
        <v>0</v>
      </c>
      <c r="DB62" t="str">
        <f>IFERROR(INDEX('Initiative Summary'!$C$5:$C$25,MATCH($A62,'Initiative Summary'!$A$5:$A$25,0)),"")</f>
        <v>Southgate Region</v>
      </c>
    </row>
    <row r="63" spans="1:106" ht="24" x14ac:dyDescent="0.25">
      <c r="A63" s="6" t="s">
        <v>708</v>
      </c>
      <c r="B63" s="10" t="s">
        <v>707</v>
      </c>
      <c r="C63" s="11" t="s">
        <v>257</v>
      </c>
      <c r="D63" s="11" t="s">
        <v>249</v>
      </c>
      <c r="E63" s="11" t="s">
        <v>250</v>
      </c>
      <c r="F63" s="20">
        <v>0</v>
      </c>
      <c r="G63" s="11"/>
      <c r="H63" s="11"/>
      <c r="I63" s="11"/>
      <c r="J63" s="11"/>
      <c r="K63" s="11"/>
      <c r="L63" s="20">
        <v>0</v>
      </c>
      <c r="M63" s="11"/>
      <c r="N63" s="11"/>
      <c r="O63" s="11"/>
      <c r="P63" s="11"/>
      <c r="Q63" s="11"/>
      <c r="R63" s="11" t="s">
        <v>250</v>
      </c>
      <c r="S63" s="10"/>
      <c r="T63" s="10"/>
      <c r="U63" s="11" t="s">
        <v>783</v>
      </c>
      <c r="V63" s="11" t="s">
        <v>218</v>
      </c>
      <c r="W63" s="20">
        <v>0</v>
      </c>
      <c r="X63" s="11" t="b">
        <v>0</v>
      </c>
      <c r="Y63" s="11" t="s">
        <v>253</v>
      </c>
      <c r="Z63" s="11" t="s">
        <v>274</v>
      </c>
      <c r="AA63" s="11" t="s">
        <v>255</v>
      </c>
      <c r="AB63" s="20">
        <v>0</v>
      </c>
      <c r="AC63" s="20">
        <v>0</v>
      </c>
      <c r="AD63" s="11">
        <v>0</v>
      </c>
      <c r="AE63" s="11">
        <v>0</v>
      </c>
      <c r="AF63" s="11">
        <v>0</v>
      </c>
      <c r="AG63" s="11">
        <v>0</v>
      </c>
      <c r="AH63" s="11">
        <v>0</v>
      </c>
      <c r="AI63" s="11">
        <v>0</v>
      </c>
      <c r="AJ63" s="11">
        <v>0</v>
      </c>
      <c r="AK63" s="11">
        <v>0</v>
      </c>
      <c r="AL63" s="11">
        <v>0</v>
      </c>
      <c r="AM63" s="11">
        <v>0</v>
      </c>
      <c r="AN63" s="20">
        <v>0</v>
      </c>
      <c r="AO63" s="20">
        <v>0</v>
      </c>
      <c r="AP63" s="20">
        <v>0</v>
      </c>
      <c r="AQ63" s="20">
        <v>0</v>
      </c>
      <c r="AR63" s="20">
        <v>0</v>
      </c>
      <c r="AS63" s="20">
        <v>0</v>
      </c>
      <c r="AT63" s="20">
        <v>0</v>
      </c>
      <c r="AU63" s="20">
        <v>0</v>
      </c>
      <c r="AV63" s="20">
        <v>0</v>
      </c>
      <c r="AW63" s="20">
        <v>0</v>
      </c>
      <c r="AX63" s="20">
        <v>0</v>
      </c>
      <c r="AY63" s="20">
        <v>0</v>
      </c>
      <c r="AZ63" s="20">
        <v>0</v>
      </c>
      <c r="BA63" s="20">
        <v>0</v>
      </c>
      <c r="BB63" s="20">
        <v>0</v>
      </c>
      <c r="BC63" s="20">
        <v>0</v>
      </c>
      <c r="BD63" s="20">
        <v>0</v>
      </c>
      <c r="BE63" s="11">
        <v>0</v>
      </c>
      <c r="BF63" s="11">
        <v>0</v>
      </c>
      <c r="BG63" s="11">
        <v>0</v>
      </c>
      <c r="BH63" s="11">
        <v>0</v>
      </c>
      <c r="BI63" s="11">
        <v>0</v>
      </c>
      <c r="BJ63" s="11">
        <v>0</v>
      </c>
      <c r="BK63" s="11">
        <v>0</v>
      </c>
      <c r="BL63" s="11">
        <v>0</v>
      </c>
      <c r="BM63" s="11">
        <v>0</v>
      </c>
      <c r="BN63" s="11">
        <v>0</v>
      </c>
      <c r="BO63" s="11">
        <v>0</v>
      </c>
      <c r="BP63" s="11">
        <v>0</v>
      </c>
      <c r="BQ63" s="11">
        <v>0</v>
      </c>
      <c r="BR63" s="11">
        <v>0</v>
      </c>
      <c r="BS63" s="11">
        <v>0</v>
      </c>
      <c r="BT63" s="11">
        <v>0</v>
      </c>
      <c r="BU63" s="11">
        <v>0</v>
      </c>
      <c r="BV63" s="11">
        <v>0</v>
      </c>
      <c r="BW63" s="11">
        <v>0</v>
      </c>
      <c r="BX63" s="11">
        <v>0</v>
      </c>
      <c r="BY63" s="11">
        <v>0</v>
      </c>
      <c r="BZ63" s="11">
        <v>0</v>
      </c>
      <c r="CA63" s="11">
        <v>0</v>
      </c>
      <c r="CB63" s="11">
        <v>0</v>
      </c>
      <c r="CC63" s="11">
        <v>0</v>
      </c>
      <c r="CD63" s="11">
        <v>0</v>
      </c>
      <c r="CE63" s="11">
        <v>0</v>
      </c>
      <c r="CF63" s="11">
        <v>0</v>
      </c>
      <c r="CG63" s="11">
        <v>0</v>
      </c>
      <c r="CH63" s="11">
        <v>0</v>
      </c>
      <c r="CI63" s="11">
        <v>0</v>
      </c>
      <c r="CJ63" s="11">
        <v>0</v>
      </c>
      <c r="CK63" s="11">
        <v>0</v>
      </c>
      <c r="CL63" s="11">
        <v>0</v>
      </c>
      <c r="CM63" s="11">
        <v>0</v>
      </c>
      <c r="CN63" s="11">
        <v>0</v>
      </c>
      <c r="CO63" s="11">
        <v>0</v>
      </c>
      <c r="CP63" s="11">
        <v>0</v>
      </c>
      <c r="CQ63" s="11">
        <v>0</v>
      </c>
      <c r="CR63" s="11">
        <v>0</v>
      </c>
      <c r="CS63" s="11">
        <v>0</v>
      </c>
      <c r="CT63" s="11">
        <v>0</v>
      </c>
      <c r="CU63" s="11">
        <v>0</v>
      </c>
      <c r="CV63" s="11">
        <v>0</v>
      </c>
      <c r="CW63" s="11">
        <v>0</v>
      </c>
      <c r="CX63" s="11">
        <v>0</v>
      </c>
      <c r="CY63" s="11">
        <v>0</v>
      </c>
      <c r="CZ63" s="11">
        <v>0</v>
      </c>
      <c r="DA63" s="11">
        <v>0</v>
      </c>
      <c r="DB63" t="str">
        <f>IFERROR(INDEX('Initiative Summary'!$C$5:$C$25,MATCH($A63,'Initiative Summary'!$A$5:$A$25,0)),"")</f>
        <v>Southgate Region</v>
      </c>
    </row>
    <row r="64" spans="1:106" ht="24" x14ac:dyDescent="0.25">
      <c r="A64" s="6" t="s">
        <v>708</v>
      </c>
      <c r="B64" s="7" t="s">
        <v>707</v>
      </c>
      <c r="C64" s="8" t="s">
        <v>257</v>
      </c>
      <c r="D64" s="8" t="s">
        <v>204</v>
      </c>
      <c r="E64" s="8" t="s">
        <v>256</v>
      </c>
      <c r="F64" s="8"/>
      <c r="G64" s="8"/>
      <c r="H64" s="8"/>
      <c r="I64" s="8"/>
      <c r="J64" s="8"/>
      <c r="K64" s="8"/>
      <c r="L64" s="21">
        <v>0</v>
      </c>
      <c r="M64" s="8"/>
      <c r="N64" s="8"/>
      <c r="O64" s="8"/>
      <c r="P64" s="8"/>
      <c r="Q64" s="8"/>
      <c r="R64" s="8" t="s">
        <v>250</v>
      </c>
      <c r="S64" s="7"/>
      <c r="T64" s="7"/>
      <c r="U64" s="8" t="s">
        <v>783</v>
      </c>
      <c r="V64" s="8" t="s">
        <v>218</v>
      </c>
      <c r="W64" s="21">
        <v>0</v>
      </c>
      <c r="X64" s="8" t="b">
        <v>0</v>
      </c>
      <c r="Y64" s="8" t="s">
        <v>253</v>
      </c>
      <c r="Z64" s="8" t="s">
        <v>274</v>
      </c>
      <c r="AA64" s="8" t="s">
        <v>255</v>
      </c>
      <c r="AB64" s="8">
        <v>0</v>
      </c>
      <c r="AC64" s="8">
        <v>0</v>
      </c>
      <c r="AD64" s="8">
        <v>0</v>
      </c>
      <c r="AE64" s="8">
        <v>0</v>
      </c>
      <c r="AF64" s="8">
        <v>0</v>
      </c>
      <c r="AG64" s="8">
        <v>0</v>
      </c>
      <c r="AH64" s="8">
        <v>0</v>
      </c>
      <c r="AI64" s="8">
        <v>0</v>
      </c>
      <c r="AJ64" s="8">
        <v>0</v>
      </c>
      <c r="AK64" s="8">
        <v>0</v>
      </c>
      <c r="AL64" s="8">
        <v>0</v>
      </c>
      <c r="AM64" s="8">
        <v>0</v>
      </c>
      <c r="AN64" s="8">
        <v>0</v>
      </c>
      <c r="AO64" s="8">
        <v>0</v>
      </c>
      <c r="AP64" s="8">
        <v>0</v>
      </c>
      <c r="AQ64" s="8">
        <v>0</v>
      </c>
      <c r="AR64" s="8">
        <v>0</v>
      </c>
      <c r="AS64" s="8">
        <v>0</v>
      </c>
      <c r="AT64" s="8">
        <v>0</v>
      </c>
      <c r="AU64" s="8">
        <v>0</v>
      </c>
      <c r="AV64" s="8">
        <v>0</v>
      </c>
      <c r="AW64" s="8">
        <v>0</v>
      </c>
      <c r="AX64" s="8">
        <v>0</v>
      </c>
      <c r="AY64" s="8">
        <v>0</v>
      </c>
      <c r="AZ64" s="8">
        <v>0</v>
      </c>
      <c r="BA64" s="8">
        <v>0</v>
      </c>
      <c r="BB64" s="8">
        <v>0</v>
      </c>
      <c r="BC64" s="8">
        <v>0</v>
      </c>
      <c r="BD64" s="8">
        <v>0</v>
      </c>
      <c r="BE64" s="8">
        <v>0</v>
      </c>
      <c r="BF64" s="8">
        <v>0</v>
      </c>
      <c r="BG64" s="8">
        <v>0</v>
      </c>
      <c r="BH64" s="8">
        <v>0</v>
      </c>
      <c r="BI64" s="8">
        <v>0</v>
      </c>
      <c r="BJ64" s="8">
        <v>0</v>
      </c>
      <c r="BK64" s="8">
        <v>0</v>
      </c>
      <c r="BL64" s="8">
        <v>0</v>
      </c>
      <c r="BM64" s="8">
        <v>0</v>
      </c>
      <c r="BN64" s="8">
        <v>0</v>
      </c>
      <c r="BO64" s="8">
        <v>0</v>
      </c>
      <c r="BP64" s="8">
        <v>0</v>
      </c>
      <c r="BQ64" s="8">
        <v>0</v>
      </c>
      <c r="BR64" s="8">
        <v>0</v>
      </c>
      <c r="BS64" s="8">
        <v>0</v>
      </c>
      <c r="BT64" s="8">
        <v>0</v>
      </c>
      <c r="BU64" s="8">
        <v>0</v>
      </c>
      <c r="BV64" s="8">
        <v>0</v>
      </c>
      <c r="BW64" s="8">
        <v>0</v>
      </c>
      <c r="BX64" s="8">
        <v>0</v>
      </c>
      <c r="BY64" s="8">
        <v>0</v>
      </c>
      <c r="BZ64" s="8">
        <v>0</v>
      </c>
      <c r="CA64" s="8">
        <v>0</v>
      </c>
      <c r="CB64" s="8">
        <v>0</v>
      </c>
      <c r="CC64" s="8">
        <v>0</v>
      </c>
      <c r="CD64" s="8">
        <v>0</v>
      </c>
      <c r="CE64" s="8">
        <v>0</v>
      </c>
      <c r="CF64" s="8">
        <v>0</v>
      </c>
      <c r="CG64" s="8">
        <v>0</v>
      </c>
      <c r="CH64" s="8">
        <v>0</v>
      </c>
      <c r="CI64" s="8">
        <v>0</v>
      </c>
      <c r="CJ64" s="8">
        <v>0</v>
      </c>
      <c r="CK64" s="8">
        <v>0</v>
      </c>
      <c r="CL64" s="8">
        <v>0</v>
      </c>
      <c r="CM64" s="8">
        <v>0</v>
      </c>
      <c r="CN64" s="8">
        <v>0</v>
      </c>
      <c r="CO64" s="8">
        <v>0</v>
      </c>
      <c r="CP64" s="8">
        <v>0</v>
      </c>
      <c r="CQ64" s="8">
        <v>0</v>
      </c>
      <c r="CR64" s="8">
        <v>0</v>
      </c>
      <c r="CS64" s="8">
        <v>0</v>
      </c>
      <c r="CT64" s="8">
        <v>0</v>
      </c>
      <c r="CU64" s="8">
        <v>0</v>
      </c>
      <c r="CV64" s="8">
        <v>0</v>
      </c>
      <c r="CW64" s="8">
        <v>0</v>
      </c>
      <c r="CX64" s="8">
        <v>0</v>
      </c>
      <c r="CY64" s="8">
        <v>0</v>
      </c>
      <c r="CZ64" s="8">
        <v>0</v>
      </c>
      <c r="DA64" s="8">
        <v>0</v>
      </c>
      <c r="DB64" t="str">
        <f>IFERROR(INDEX('Initiative Summary'!$C$5:$C$25,MATCH($A64,'Initiative Summary'!$A$5:$A$25,0)),"")</f>
        <v>Southgate Region</v>
      </c>
    </row>
    <row r="65" spans="1:106" ht="24" x14ac:dyDescent="0.25">
      <c r="A65" s="6" t="s">
        <v>708</v>
      </c>
      <c r="B65" s="10" t="s">
        <v>707</v>
      </c>
      <c r="C65" s="11" t="s">
        <v>261</v>
      </c>
      <c r="D65" s="11" t="s">
        <v>249</v>
      </c>
      <c r="E65" s="11" t="s">
        <v>267</v>
      </c>
      <c r="F65" s="20">
        <v>0</v>
      </c>
      <c r="G65" s="11"/>
      <c r="H65" s="11"/>
      <c r="I65" s="11"/>
      <c r="J65" s="11"/>
      <c r="K65" s="11"/>
      <c r="L65" s="20">
        <v>0</v>
      </c>
      <c r="M65" s="11"/>
      <c r="N65" s="11"/>
      <c r="O65" s="11"/>
      <c r="P65" s="11"/>
      <c r="Q65" s="11"/>
      <c r="R65" s="11" t="s">
        <v>215</v>
      </c>
      <c r="S65" s="10"/>
      <c r="T65" s="10"/>
      <c r="U65" s="11" t="s">
        <v>784</v>
      </c>
      <c r="V65" s="11" t="s">
        <v>218</v>
      </c>
      <c r="W65" s="20">
        <v>0</v>
      </c>
      <c r="X65" s="11" t="b">
        <v>0</v>
      </c>
      <c r="Y65" s="11" t="s">
        <v>263</v>
      </c>
      <c r="Z65" s="11" t="s">
        <v>276</v>
      </c>
      <c r="AA65" s="11" t="s">
        <v>255</v>
      </c>
      <c r="AB65" s="11">
        <v>0</v>
      </c>
      <c r="AC65" s="20">
        <v>8.5000000000000006E-2</v>
      </c>
      <c r="AD65" s="20">
        <v>8.5000000000000006E-2</v>
      </c>
      <c r="AE65" s="20">
        <v>8.5000000000000006E-2</v>
      </c>
      <c r="AF65" s="20">
        <v>8.5000000000000006E-2</v>
      </c>
      <c r="AG65" s="11">
        <v>0</v>
      </c>
      <c r="AH65" s="11">
        <v>0</v>
      </c>
      <c r="AI65" s="11">
        <v>0</v>
      </c>
      <c r="AJ65" s="11">
        <v>0</v>
      </c>
      <c r="AK65" s="11">
        <v>0</v>
      </c>
      <c r="AL65" s="11">
        <v>0</v>
      </c>
      <c r="AM65" s="11">
        <v>0</v>
      </c>
      <c r="AN65" s="11">
        <v>0</v>
      </c>
      <c r="AO65" s="11">
        <v>0</v>
      </c>
      <c r="AP65" s="11">
        <v>0</v>
      </c>
      <c r="AQ65" s="11">
        <v>0</v>
      </c>
      <c r="AR65" s="11">
        <v>0</v>
      </c>
      <c r="AS65" s="20">
        <v>0</v>
      </c>
      <c r="AT65" s="20">
        <v>0</v>
      </c>
      <c r="AU65" s="20">
        <v>0</v>
      </c>
      <c r="AV65" s="20">
        <v>0</v>
      </c>
      <c r="AW65" s="20">
        <v>0</v>
      </c>
      <c r="AX65" s="20">
        <v>1.2142857142857144E-2</v>
      </c>
      <c r="AY65" s="20">
        <v>1.2142857142857144E-2</v>
      </c>
      <c r="AZ65" s="20">
        <v>1.2142857142857144E-2</v>
      </c>
      <c r="BA65" s="20">
        <v>1.2142857142857144E-2</v>
      </c>
      <c r="BB65" s="20">
        <v>1.2142857142857144E-2</v>
      </c>
      <c r="BC65" s="20">
        <v>1.2142857142857144E-2</v>
      </c>
      <c r="BD65" s="20">
        <v>1.2142857142857144E-2</v>
      </c>
      <c r="BE65" s="20">
        <v>7.0833333333333338E-3</v>
      </c>
      <c r="BF65" s="20">
        <v>7.0833333333333338E-3</v>
      </c>
      <c r="BG65" s="20">
        <v>7.0833333333333338E-3</v>
      </c>
      <c r="BH65" s="20">
        <v>7.0833333333333338E-3</v>
      </c>
      <c r="BI65" s="20">
        <v>7.0833333333333338E-3</v>
      </c>
      <c r="BJ65" s="20">
        <v>7.0833333333333338E-3</v>
      </c>
      <c r="BK65" s="20">
        <v>7.0833333333333338E-3</v>
      </c>
      <c r="BL65" s="20">
        <v>7.0833333333333338E-3</v>
      </c>
      <c r="BM65" s="20">
        <v>7.0833333333333338E-3</v>
      </c>
      <c r="BN65" s="20">
        <v>7.0833333333333338E-3</v>
      </c>
      <c r="BO65" s="20">
        <v>7.0833333333333338E-3</v>
      </c>
      <c r="BP65" s="20">
        <v>7.0833333333333338E-3</v>
      </c>
      <c r="BQ65" s="20">
        <v>7.0833333333333338E-3</v>
      </c>
      <c r="BR65" s="20">
        <v>7.0833333333333338E-3</v>
      </c>
      <c r="BS65" s="20">
        <v>7.0833333333333338E-3</v>
      </c>
      <c r="BT65" s="20">
        <v>7.0833333333333338E-3</v>
      </c>
      <c r="BU65" s="20">
        <v>7.0833333333333338E-3</v>
      </c>
      <c r="BV65" s="20">
        <v>7.0833333333333338E-3</v>
      </c>
      <c r="BW65" s="20">
        <v>7.0833333333333338E-3</v>
      </c>
      <c r="BX65" s="20">
        <v>7.0833333333333338E-3</v>
      </c>
      <c r="BY65" s="20">
        <v>7.0833333333333338E-3</v>
      </c>
      <c r="BZ65" s="20">
        <v>7.0833333333333338E-3</v>
      </c>
      <c r="CA65" s="20">
        <v>7.0833333333333338E-3</v>
      </c>
      <c r="CB65" s="20">
        <v>7.0833333333333338E-3</v>
      </c>
      <c r="CC65" s="20">
        <v>7.0833333333333338E-3</v>
      </c>
      <c r="CD65" s="20">
        <v>7.0833333333333338E-3</v>
      </c>
      <c r="CE65" s="20">
        <v>7.0833333333333338E-3</v>
      </c>
      <c r="CF65" s="20">
        <v>7.0833333333333338E-3</v>
      </c>
      <c r="CG65" s="20">
        <v>7.0833333333333338E-3</v>
      </c>
      <c r="CH65" s="20">
        <v>7.0833333333333338E-3</v>
      </c>
      <c r="CI65" s="20">
        <v>7.0833333333333338E-3</v>
      </c>
      <c r="CJ65" s="20">
        <v>7.0833333333333338E-3</v>
      </c>
      <c r="CK65" s="20">
        <v>7.0833333333333338E-3</v>
      </c>
      <c r="CL65" s="20">
        <v>7.0833333333333338E-3</v>
      </c>
      <c r="CM65" s="20">
        <v>7.0833333333333338E-3</v>
      </c>
      <c r="CN65" s="20">
        <v>7.0833333333333338E-3</v>
      </c>
      <c r="CO65" s="11">
        <v>8.5000000000000006E-2</v>
      </c>
      <c r="CP65" s="11">
        <v>7.0833333333333338E-3</v>
      </c>
      <c r="CQ65" s="11">
        <v>7.0833333333333338E-3</v>
      </c>
      <c r="CR65" s="11">
        <v>7.0833333333333338E-3</v>
      </c>
      <c r="CS65" s="11">
        <v>7.0833333333333338E-3</v>
      </c>
      <c r="CT65" s="11">
        <v>7.0833333333333338E-3</v>
      </c>
      <c r="CU65" s="11">
        <v>7.0833333333333338E-3</v>
      </c>
      <c r="CV65" s="11">
        <v>7.0833333333333338E-3</v>
      </c>
      <c r="CW65" s="11">
        <v>7.0833333333333338E-3</v>
      </c>
      <c r="CX65" s="11">
        <v>7.0833333333333338E-3</v>
      </c>
      <c r="CY65" s="11">
        <v>7.0833333333333338E-3</v>
      </c>
      <c r="CZ65" s="11">
        <v>7.0833333333333338E-3</v>
      </c>
      <c r="DA65" s="11">
        <v>7.0833333333333338E-3</v>
      </c>
      <c r="DB65" t="str">
        <f>IFERROR(INDEX('Initiative Summary'!$C$5:$C$25,MATCH($A65,'Initiative Summary'!$A$5:$A$25,0)),"")</f>
        <v>Southgate Region</v>
      </c>
    </row>
    <row r="66" spans="1:106" ht="24" x14ac:dyDescent="0.25">
      <c r="A66" s="6" t="s">
        <v>708</v>
      </c>
      <c r="B66" s="7" t="s">
        <v>707</v>
      </c>
      <c r="C66" s="8" t="s">
        <v>261</v>
      </c>
      <c r="D66" s="8" t="s">
        <v>204</v>
      </c>
      <c r="E66" s="8" t="s">
        <v>256</v>
      </c>
      <c r="F66" s="8"/>
      <c r="G66" s="8"/>
      <c r="H66" s="8"/>
      <c r="I66" s="8"/>
      <c r="J66" s="8"/>
      <c r="K66" s="8"/>
      <c r="L66" s="21">
        <v>0</v>
      </c>
      <c r="M66" s="8"/>
      <c r="N66" s="8"/>
      <c r="O66" s="8"/>
      <c r="P66" s="8"/>
      <c r="Q66" s="8"/>
      <c r="R66" s="8" t="s">
        <v>215</v>
      </c>
      <c r="S66" s="7"/>
      <c r="T66" s="7"/>
      <c r="U66" s="8" t="s">
        <v>784</v>
      </c>
      <c r="V66" s="8" t="s">
        <v>218</v>
      </c>
      <c r="W66" s="21">
        <v>0</v>
      </c>
      <c r="X66" s="8" t="b">
        <v>0</v>
      </c>
      <c r="Y66" s="8" t="s">
        <v>263</v>
      </c>
      <c r="Z66" s="8" t="s">
        <v>276</v>
      </c>
      <c r="AA66" s="8" t="s">
        <v>255</v>
      </c>
      <c r="AB66" s="8">
        <v>0</v>
      </c>
      <c r="AC66" s="8">
        <v>0</v>
      </c>
      <c r="AD66" s="8">
        <v>0</v>
      </c>
      <c r="AE66" s="8">
        <v>0</v>
      </c>
      <c r="AF66" s="8">
        <v>0</v>
      </c>
      <c r="AG66" s="8">
        <v>0</v>
      </c>
      <c r="AH66" s="8">
        <v>0</v>
      </c>
      <c r="AI66" s="8">
        <v>0</v>
      </c>
      <c r="AJ66" s="8">
        <v>0</v>
      </c>
      <c r="AK66" s="8">
        <v>0</v>
      </c>
      <c r="AL66" s="8">
        <v>0</v>
      </c>
      <c r="AM66" s="8">
        <v>0</v>
      </c>
      <c r="AN66" s="8">
        <v>0</v>
      </c>
      <c r="AO66" s="8">
        <v>0</v>
      </c>
      <c r="AP66" s="8">
        <v>0</v>
      </c>
      <c r="AQ66" s="8">
        <v>0</v>
      </c>
      <c r="AR66" s="8">
        <v>0</v>
      </c>
      <c r="AS66" s="8">
        <v>0</v>
      </c>
      <c r="AT66" s="8">
        <v>0</v>
      </c>
      <c r="AU66" s="8">
        <v>0</v>
      </c>
      <c r="AV66" s="8">
        <v>0</v>
      </c>
      <c r="AW66" s="8">
        <v>0</v>
      </c>
      <c r="AX66" s="8">
        <v>0</v>
      </c>
      <c r="AY66" s="8">
        <v>0</v>
      </c>
      <c r="AZ66" s="8">
        <v>0</v>
      </c>
      <c r="BA66" s="8">
        <v>0</v>
      </c>
      <c r="BB66" s="8">
        <v>0</v>
      </c>
      <c r="BC66" s="8">
        <v>0</v>
      </c>
      <c r="BD66" s="8">
        <v>0</v>
      </c>
      <c r="BE66" s="8">
        <v>0</v>
      </c>
      <c r="BF66" s="8">
        <v>0</v>
      </c>
      <c r="BG66" s="8">
        <v>0</v>
      </c>
      <c r="BH66" s="8">
        <v>0</v>
      </c>
      <c r="BI66" s="8">
        <v>0</v>
      </c>
      <c r="BJ66" s="8">
        <v>0</v>
      </c>
      <c r="BK66" s="8">
        <v>0</v>
      </c>
      <c r="BL66" s="8">
        <v>0</v>
      </c>
      <c r="BM66" s="8">
        <v>0</v>
      </c>
      <c r="BN66" s="8">
        <v>0</v>
      </c>
      <c r="BO66" s="8">
        <v>0</v>
      </c>
      <c r="BP66" s="8">
        <v>0</v>
      </c>
      <c r="BQ66" s="8">
        <v>0</v>
      </c>
      <c r="BR66" s="8">
        <v>0</v>
      </c>
      <c r="BS66" s="8">
        <v>0</v>
      </c>
      <c r="BT66" s="8">
        <v>0</v>
      </c>
      <c r="BU66" s="8">
        <v>0</v>
      </c>
      <c r="BV66" s="8">
        <v>0</v>
      </c>
      <c r="BW66" s="8">
        <v>0</v>
      </c>
      <c r="BX66" s="8">
        <v>0</v>
      </c>
      <c r="BY66" s="8">
        <v>0</v>
      </c>
      <c r="BZ66" s="8">
        <v>0</v>
      </c>
      <c r="CA66" s="8">
        <v>0</v>
      </c>
      <c r="CB66" s="8">
        <v>0</v>
      </c>
      <c r="CC66" s="8">
        <v>0</v>
      </c>
      <c r="CD66" s="8">
        <v>0</v>
      </c>
      <c r="CE66" s="8">
        <v>0</v>
      </c>
      <c r="CF66" s="8">
        <v>0</v>
      </c>
      <c r="CG66" s="8">
        <v>0</v>
      </c>
      <c r="CH66" s="8">
        <v>0</v>
      </c>
      <c r="CI66" s="8">
        <v>0</v>
      </c>
      <c r="CJ66" s="8">
        <v>0</v>
      </c>
      <c r="CK66" s="8">
        <v>0</v>
      </c>
      <c r="CL66" s="8">
        <v>0</v>
      </c>
      <c r="CM66" s="8">
        <v>0</v>
      </c>
      <c r="CN66" s="8">
        <v>0</v>
      </c>
      <c r="CO66" s="8">
        <v>0</v>
      </c>
      <c r="CP66" s="8">
        <v>0</v>
      </c>
      <c r="CQ66" s="8">
        <v>0</v>
      </c>
      <c r="CR66" s="8">
        <v>0</v>
      </c>
      <c r="CS66" s="8">
        <v>0</v>
      </c>
      <c r="CT66" s="8">
        <v>0</v>
      </c>
      <c r="CU66" s="8">
        <v>0</v>
      </c>
      <c r="CV66" s="8">
        <v>0</v>
      </c>
      <c r="CW66" s="8">
        <v>0</v>
      </c>
      <c r="CX66" s="8">
        <v>0</v>
      </c>
      <c r="CY66" s="8">
        <v>0</v>
      </c>
      <c r="CZ66" s="8">
        <v>0</v>
      </c>
      <c r="DA66" s="8">
        <v>0</v>
      </c>
      <c r="DB66" t="str">
        <f>IFERROR(INDEX('Initiative Summary'!$C$5:$C$25,MATCH($A66,'Initiative Summary'!$A$5:$A$25,0)),"")</f>
        <v>Southgate Region</v>
      </c>
    </row>
    <row r="67" spans="1:106" ht="60" x14ac:dyDescent="0.25">
      <c r="A67" s="6" t="s">
        <v>711</v>
      </c>
      <c r="B67" s="10" t="s">
        <v>710</v>
      </c>
      <c r="C67" s="11" t="s">
        <v>277</v>
      </c>
      <c r="D67" s="11" t="s">
        <v>249</v>
      </c>
      <c r="E67" s="11" t="s">
        <v>267</v>
      </c>
      <c r="F67" s="20">
        <v>960000</v>
      </c>
      <c r="G67" s="11"/>
      <c r="H67" s="11"/>
      <c r="I67" s="11"/>
      <c r="J67" s="11"/>
      <c r="K67" s="11"/>
      <c r="L67" s="20">
        <v>0</v>
      </c>
      <c r="M67" s="11"/>
      <c r="N67" s="11"/>
      <c r="O67" s="11"/>
      <c r="P67" s="11"/>
      <c r="Q67" s="11"/>
      <c r="R67" s="11" t="s">
        <v>215</v>
      </c>
      <c r="S67" s="10" t="s">
        <v>278</v>
      </c>
      <c r="T67" s="10"/>
      <c r="U67" s="11" t="s">
        <v>785</v>
      </c>
      <c r="V67" s="11" t="s">
        <v>218</v>
      </c>
      <c r="W67" s="20">
        <v>0</v>
      </c>
      <c r="X67" s="11" t="b">
        <v>0</v>
      </c>
      <c r="Y67" s="11" t="s">
        <v>263</v>
      </c>
      <c r="Z67" s="11" t="s">
        <v>280</v>
      </c>
      <c r="AA67" s="11" t="s">
        <v>255</v>
      </c>
      <c r="AB67" s="20">
        <v>0.71299999999999997</v>
      </c>
      <c r="AC67" s="20">
        <v>0.73599999999999999</v>
      </c>
      <c r="AD67" s="20">
        <v>0.73599999999999999</v>
      </c>
      <c r="AE67" s="20">
        <v>0.73599999999999999</v>
      </c>
      <c r="AF67" s="20">
        <v>0.73599999999999999</v>
      </c>
      <c r="AG67" s="11">
        <v>0</v>
      </c>
      <c r="AH67" s="11">
        <v>0</v>
      </c>
      <c r="AI67" s="11">
        <v>0</v>
      </c>
      <c r="AJ67" s="11">
        <v>0</v>
      </c>
      <c r="AK67" s="11">
        <v>0</v>
      </c>
      <c r="AL67" s="11">
        <v>0</v>
      </c>
      <c r="AM67" s="11">
        <v>0</v>
      </c>
      <c r="AN67" s="11">
        <v>0</v>
      </c>
      <c r="AO67" s="11">
        <v>0</v>
      </c>
      <c r="AP67" s="20">
        <v>0</v>
      </c>
      <c r="AQ67" s="20">
        <v>0.35649999999999998</v>
      </c>
      <c r="AR67" s="20">
        <v>0.35649999999999998</v>
      </c>
      <c r="AS67" s="20">
        <v>6.133333333333333E-2</v>
      </c>
      <c r="AT67" s="20">
        <v>6.133333333333333E-2</v>
      </c>
      <c r="AU67" s="20">
        <v>6.133333333333333E-2</v>
      </c>
      <c r="AV67" s="20">
        <v>6.133333333333333E-2</v>
      </c>
      <c r="AW67" s="20">
        <v>6.133333333333333E-2</v>
      </c>
      <c r="AX67" s="20">
        <v>6.133333333333333E-2</v>
      </c>
      <c r="AY67" s="20">
        <v>6.133333333333333E-2</v>
      </c>
      <c r="AZ67" s="20">
        <v>6.133333333333333E-2</v>
      </c>
      <c r="BA67" s="20">
        <v>6.133333333333333E-2</v>
      </c>
      <c r="BB67" s="20">
        <v>6.133333333333333E-2</v>
      </c>
      <c r="BC67" s="20">
        <v>6.133333333333333E-2</v>
      </c>
      <c r="BD67" s="20">
        <v>6.133333333333333E-2</v>
      </c>
      <c r="BE67" s="20">
        <v>6.133333333333333E-2</v>
      </c>
      <c r="BF67" s="20">
        <v>6.133333333333333E-2</v>
      </c>
      <c r="BG67" s="20">
        <v>6.133333333333333E-2</v>
      </c>
      <c r="BH67" s="20">
        <v>6.133333333333333E-2</v>
      </c>
      <c r="BI67" s="20">
        <v>6.133333333333333E-2</v>
      </c>
      <c r="BJ67" s="20">
        <v>6.133333333333333E-2</v>
      </c>
      <c r="BK67" s="20">
        <v>6.133333333333333E-2</v>
      </c>
      <c r="BL67" s="20">
        <v>6.133333333333333E-2</v>
      </c>
      <c r="BM67" s="20">
        <v>6.133333333333333E-2</v>
      </c>
      <c r="BN67" s="20">
        <v>6.133333333333333E-2</v>
      </c>
      <c r="BO67" s="20">
        <v>6.133333333333333E-2</v>
      </c>
      <c r="BP67" s="20">
        <v>6.133333333333333E-2</v>
      </c>
      <c r="BQ67" s="20">
        <v>6.133333333333333E-2</v>
      </c>
      <c r="BR67" s="20">
        <v>6.133333333333333E-2</v>
      </c>
      <c r="BS67" s="20">
        <v>6.133333333333333E-2</v>
      </c>
      <c r="BT67" s="20">
        <v>6.133333333333333E-2</v>
      </c>
      <c r="BU67" s="20">
        <v>6.133333333333333E-2</v>
      </c>
      <c r="BV67" s="20">
        <v>6.133333333333333E-2</v>
      </c>
      <c r="BW67" s="20">
        <v>6.133333333333333E-2</v>
      </c>
      <c r="BX67" s="20">
        <v>6.133333333333333E-2</v>
      </c>
      <c r="BY67" s="20">
        <v>6.133333333333333E-2</v>
      </c>
      <c r="BZ67" s="20">
        <v>6.133333333333333E-2</v>
      </c>
      <c r="CA67" s="20">
        <v>6.133333333333333E-2</v>
      </c>
      <c r="CB67" s="20">
        <v>6.133333333333333E-2</v>
      </c>
      <c r="CC67" s="20">
        <v>6.133333333333333E-2</v>
      </c>
      <c r="CD67" s="20">
        <v>6.133333333333333E-2</v>
      </c>
      <c r="CE67" s="20">
        <v>6.133333333333333E-2</v>
      </c>
      <c r="CF67" s="20">
        <v>6.133333333333333E-2</v>
      </c>
      <c r="CG67" s="20">
        <v>6.133333333333333E-2</v>
      </c>
      <c r="CH67" s="20">
        <v>6.133333333333333E-2</v>
      </c>
      <c r="CI67" s="20">
        <v>6.133333333333333E-2</v>
      </c>
      <c r="CJ67" s="20">
        <v>6.133333333333333E-2</v>
      </c>
      <c r="CK67" s="20">
        <v>6.133333333333333E-2</v>
      </c>
      <c r="CL67" s="20">
        <v>6.133333333333333E-2</v>
      </c>
      <c r="CM67" s="20">
        <v>6.133333333333333E-2</v>
      </c>
      <c r="CN67" s="20">
        <v>6.133333333333333E-2</v>
      </c>
      <c r="CO67" s="11">
        <v>0.73599999999999999</v>
      </c>
      <c r="CP67" s="11">
        <v>6.133333333333333E-2</v>
      </c>
      <c r="CQ67" s="11">
        <v>6.133333333333333E-2</v>
      </c>
      <c r="CR67" s="11">
        <v>6.133333333333333E-2</v>
      </c>
      <c r="CS67" s="11">
        <v>6.133333333333333E-2</v>
      </c>
      <c r="CT67" s="11">
        <v>6.133333333333333E-2</v>
      </c>
      <c r="CU67" s="11">
        <v>6.133333333333333E-2</v>
      </c>
      <c r="CV67" s="11">
        <v>6.133333333333333E-2</v>
      </c>
      <c r="CW67" s="11">
        <v>6.133333333333333E-2</v>
      </c>
      <c r="CX67" s="11">
        <v>6.133333333333333E-2</v>
      </c>
      <c r="CY67" s="11">
        <v>6.133333333333333E-2</v>
      </c>
      <c r="CZ67" s="11">
        <v>6.133333333333333E-2</v>
      </c>
      <c r="DA67" s="11">
        <v>6.133333333333333E-2</v>
      </c>
      <c r="DB67" t="str">
        <f>IFERROR(INDEX('Initiative Summary'!$C$5:$C$25,MATCH($A67,'Initiative Summary'!$A$5:$A$25,0)),"")</f>
        <v>Southgate Region</v>
      </c>
    </row>
    <row r="68" spans="1:106" ht="60" x14ac:dyDescent="0.25">
      <c r="A68" s="6" t="s">
        <v>711</v>
      </c>
      <c r="B68" s="7" t="s">
        <v>710</v>
      </c>
      <c r="C68" s="8" t="s">
        <v>277</v>
      </c>
      <c r="D68" s="8" t="s">
        <v>204</v>
      </c>
      <c r="E68" s="8" t="s">
        <v>256</v>
      </c>
      <c r="F68" s="8"/>
      <c r="G68" s="8"/>
      <c r="H68" s="8"/>
      <c r="I68" s="8"/>
      <c r="J68" s="8"/>
      <c r="K68" s="8"/>
      <c r="L68" s="21">
        <v>0</v>
      </c>
      <c r="M68" s="8"/>
      <c r="N68" s="8"/>
      <c r="O68" s="8"/>
      <c r="P68" s="8"/>
      <c r="Q68" s="8"/>
      <c r="R68" s="8" t="s">
        <v>215</v>
      </c>
      <c r="S68" s="7" t="s">
        <v>278</v>
      </c>
      <c r="T68" s="7"/>
      <c r="U68" s="8" t="s">
        <v>785</v>
      </c>
      <c r="V68" s="8" t="s">
        <v>218</v>
      </c>
      <c r="W68" s="21">
        <v>0</v>
      </c>
      <c r="X68" s="8" t="b">
        <v>0</v>
      </c>
      <c r="Y68" s="8" t="s">
        <v>263</v>
      </c>
      <c r="Z68" s="8" t="s">
        <v>280</v>
      </c>
      <c r="AA68" s="8" t="s">
        <v>255</v>
      </c>
      <c r="AB68" s="8">
        <v>0</v>
      </c>
      <c r="AC68" s="8">
        <v>0</v>
      </c>
      <c r="AD68" s="8">
        <v>0</v>
      </c>
      <c r="AE68" s="8">
        <v>0</v>
      </c>
      <c r="AF68" s="8">
        <v>0</v>
      </c>
      <c r="AG68" s="8">
        <v>0</v>
      </c>
      <c r="AH68" s="8">
        <v>0</v>
      </c>
      <c r="AI68" s="8">
        <v>0</v>
      </c>
      <c r="AJ68" s="8">
        <v>0</v>
      </c>
      <c r="AK68" s="8">
        <v>0</v>
      </c>
      <c r="AL68" s="8">
        <v>0</v>
      </c>
      <c r="AM68" s="8">
        <v>0</v>
      </c>
      <c r="AN68" s="8">
        <v>0</v>
      </c>
      <c r="AO68" s="8">
        <v>0</v>
      </c>
      <c r="AP68" s="8">
        <v>0</v>
      </c>
      <c r="AQ68" s="8">
        <v>0</v>
      </c>
      <c r="AR68" s="8">
        <v>0</v>
      </c>
      <c r="AS68" s="8">
        <v>0</v>
      </c>
      <c r="AT68" s="8">
        <v>0</v>
      </c>
      <c r="AU68" s="8">
        <v>0</v>
      </c>
      <c r="AV68" s="8">
        <v>0</v>
      </c>
      <c r="AW68" s="8">
        <v>0</v>
      </c>
      <c r="AX68" s="8">
        <v>0</v>
      </c>
      <c r="AY68" s="8">
        <v>0</v>
      </c>
      <c r="AZ68" s="8">
        <v>0</v>
      </c>
      <c r="BA68" s="8">
        <v>0</v>
      </c>
      <c r="BB68" s="8">
        <v>0</v>
      </c>
      <c r="BC68" s="8">
        <v>0</v>
      </c>
      <c r="BD68" s="8">
        <v>0</v>
      </c>
      <c r="BE68" s="8">
        <v>0</v>
      </c>
      <c r="BF68" s="8">
        <v>0</v>
      </c>
      <c r="BG68" s="8">
        <v>0</v>
      </c>
      <c r="BH68" s="8">
        <v>0</v>
      </c>
      <c r="BI68" s="8">
        <v>0</v>
      </c>
      <c r="BJ68" s="8">
        <v>0</v>
      </c>
      <c r="BK68" s="8">
        <v>0</v>
      </c>
      <c r="BL68" s="8">
        <v>0</v>
      </c>
      <c r="BM68" s="8">
        <v>0</v>
      </c>
      <c r="BN68" s="8">
        <v>0</v>
      </c>
      <c r="BO68" s="8">
        <v>0</v>
      </c>
      <c r="BP68" s="8">
        <v>0</v>
      </c>
      <c r="BQ68" s="8">
        <v>0</v>
      </c>
      <c r="BR68" s="8">
        <v>0</v>
      </c>
      <c r="BS68" s="8">
        <v>0</v>
      </c>
      <c r="BT68" s="8">
        <v>0</v>
      </c>
      <c r="BU68" s="8">
        <v>0</v>
      </c>
      <c r="BV68" s="8">
        <v>0</v>
      </c>
      <c r="BW68" s="8">
        <v>0</v>
      </c>
      <c r="BX68" s="8">
        <v>0</v>
      </c>
      <c r="BY68" s="8">
        <v>0</v>
      </c>
      <c r="BZ68" s="8">
        <v>0</v>
      </c>
      <c r="CA68" s="8">
        <v>0</v>
      </c>
      <c r="CB68" s="8">
        <v>0</v>
      </c>
      <c r="CC68" s="8">
        <v>0</v>
      </c>
      <c r="CD68" s="8">
        <v>0</v>
      </c>
      <c r="CE68" s="8">
        <v>0</v>
      </c>
      <c r="CF68" s="8">
        <v>0</v>
      </c>
      <c r="CG68" s="8">
        <v>0</v>
      </c>
      <c r="CH68" s="8">
        <v>0</v>
      </c>
      <c r="CI68" s="8">
        <v>0</v>
      </c>
      <c r="CJ68" s="8">
        <v>0</v>
      </c>
      <c r="CK68" s="8">
        <v>0</v>
      </c>
      <c r="CL68" s="8">
        <v>0</v>
      </c>
      <c r="CM68" s="8">
        <v>0</v>
      </c>
      <c r="CN68" s="8">
        <v>0</v>
      </c>
      <c r="CO68" s="8">
        <v>0</v>
      </c>
      <c r="CP68" s="8">
        <v>0</v>
      </c>
      <c r="CQ68" s="8">
        <v>0</v>
      </c>
      <c r="CR68" s="8">
        <v>0</v>
      </c>
      <c r="CS68" s="8">
        <v>0</v>
      </c>
      <c r="CT68" s="8">
        <v>0</v>
      </c>
      <c r="CU68" s="8">
        <v>0</v>
      </c>
      <c r="CV68" s="8">
        <v>0</v>
      </c>
      <c r="CW68" s="8">
        <v>0</v>
      </c>
      <c r="CX68" s="8">
        <v>0</v>
      </c>
      <c r="CY68" s="8">
        <v>0</v>
      </c>
      <c r="CZ68" s="8">
        <v>0</v>
      </c>
      <c r="DA68" s="8">
        <v>0</v>
      </c>
      <c r="DB68" t="str">
        <f>IFERROR(INDEX('Initiative Summary'!$C$5:$C$25,MATCH($A68,'Initiative Summary'!$A$5:$A$25,0)),"")</f>
        <v>Southgate Region</v>
      </c>
    </row>
  </sheetData>
  <autoFilter ref="A2:DA20" xr:uid="{00000000-0009-0000-0000-000004000000}"/>
  <mergeCells count="1">
    <mergeCell ref="A1:AN1"/>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9BE7D-575B-4781-AB74-DC1141BA7757}">
  <sheetPr>
    <tabColor rgb="FFC00000"/>
  </sheetPr>
  <dimension ref="A1"/>
  <sheetViews>
    <sheetView workbookViewId="0">
      <selection activeCell="I35" sqref="I35"/>
    </sheetView>
  </sheetViews>
  <sheetFormatPr defaultRowHeight="15"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D251"/>
  <sheetViews>
    <sheetView showGridLines="0" zoomScaleNormal="100" workbookViewId="0">
      <pane xSplit="2" ySplit="2" topLeftCell="C13" activePane="bottomRight" state="frozen"/>
      <selection pane="topRight" activeCell="C1" sqref="C1"/>
      <selection pane="bottomLeft" activeCell="A3" sqref="A3"/>
      <selection pane="bottomRight" sqref="A1:AN1"/>
    </sheetView>
  </sheetViews>
  <sheetFormatPr defaultColWidth="8.7109375" defaultRowHeight="15" x14ac:dyDescent="0.25"/>
  <cols>
    <col min="1" max="1" width="10" customWidth="1"/>
    <col min="2" max="2" width="30" customWidth="1"/>
    <col min="3" max="16" width="16" customWidth="1"/>
    <col min="17" max="17" width="40" customWidth="1"/>
    <col min="18" max="30" width="16" customWidth="1"/>
    <col min="31" max="108" width="8" customWidth="1"/>
  </cols>
  <sheetData>
    <row r="1" spans="1:108" ht="21.75" customHeight="1" x14ac:dyDescent="0.25">
      <c r="A1" s="1" t="s">
        <v>15</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108" ht="23.25" customHeight="1" x14ac:dyDescent="0.25">
      <c r="A2" s="5" t="s">
        <v>1</v>
      </c>
      <c r="B2" s="5" t="s">
        <v>2</v>
      </c>
      <c r="C2" s="5" t="s">
        <v>54</v>
      </c>
      <c r="D2" s="5" t="s">
        <v>109</v>
      </c>
      <c r="E2" s="5" t="s">
        <v>5</v>
      </c>
      <c r="F2" s="5" t="s">
        <v>281</v>
      </c>
      <c r="G2" s="5" t="s">
        <v>282</v>
      </c>
      <c r="H2" s="5" t="s">
        <v>283</v>
      </c>
      <c r="I2" s="5" t="s">
        <v>284</v>
      </c>
      <c r="J2" s="5" t="s">
        <v>285</v>
      </c>
      <c r="K2" s="5" t="s">
        <v>286</v>
      </c>
      <c r="L2" s="5" t="s">
        <v>287</v>
      </c>
      <c r="M2" s="5" t="s">
        <v>288</v>
      </c>
      <c r="N2" s="5" t="s">
        <v>289</v>
      </c>
      <c r="O2" s="5" t="s">
        <v>290</v>
      </c>
      <c r="P2" s="5" t="s">
        <v>291</v>
      </c>
      <c r="Q2" s="5" t="s">
        <v>65</v>
      </c>
      <c r="R2" s="5" t="s">
        <v>115</v>
      </c>
      <c r="S2" s="5" t="s">
        <v>292</v>
      </c>
      <c r="T2" s="5" t="s">
        <v>293</v>
      </c>
      <c r="U2" s="5" t="s">
        <v>294</v>
      </c>
      <c r="V2" s="5" t="s">
        <v>295</v>
      </c>
      <c r="W2" s="5" t="s">
        <v>116</v>
      </c>
      <c r="X2" s="5" t="s">
        <v>117</v>
      </c>
      <c r="Y2" s="5" t="s">
        <v>118</v>
      </c>
      <c r="Z2" s="5" t="s">
        <v>296</v>
      </c>
      <c r="AA2" s="5" t="s">
        <v>297</v>
      </c>
      <c r="AB2" s="5" t="s">
        <v>119</v>
      </c>
      <c r="AC2" s="5" t="s">
        <v>120</v>
      </c>
      <c r="AD2" s="5" t="s">
        <v>121</v>
      </c>
      <c r="AE2" s="5" t="s">
        <v>87</v>
      </c>
      <c r="AF2" s="5" t="s">
        <v>88</v>
      </c>
      <c r="AG2" s="5" t="s">
        <v>89</v>
      </c>
      <c r="AH2" s="5" t="s">
        <v>90</v>
      </c>
      <c r="AI2" s="5" t="s">
        <v>91</v>
      </c>
      <c r="AJ2" s="5" t="s">
        <v>122</v>
      </c>
      <c r="AK2" s="5" t="s">
        <v>123</v>
      </c>
      <c r="AL2" s="5" t="s">
        <v>124</v>
      </c>
      <c r="AM2" s="5" t="s">
        <v>125</v>
      </c>
      <c r="AN2" s="5" t="s">
        <v>126</v>
      </c>
      <c r="AO2" s="5" t="s">
        <v>127</v>
      </c>
      <c r="AP2" s="5" t="s">
        <v>128</v>
      </c>
      <c r="AQ2" s="5" t="s">
        <v>129</v>
      </c>
      <c r="AR2" s="5" t="s">
        <v>130</v>
      </c>
      <c r="AS2" s="5" t="s">
        <v>131</v>
      </c>
      <c r="AT2" s="5" t="s">
        <v>132</v>
      </c>
      <c r="AU2" s="5" t="s">
        <v>133</v>
      </c>
      <c r="AV2" s="5" t="s">
        <v>134</v>
      </c>
      <c r="AW2" s="5" t="s">
        <v>135</v>
      </c>
      <c r="AX2" s="5" t="s">
        <v>136</v>
      </c>
      <c r="AY2" s="5" t="s">
        <v>137</v>
      </c>
      <c r="AZ2" s="5" t="s">
        <v>138</v>
      </c>
      <c r="BA2" s="5" t="s">
        <v>139</v>
      </c>
      <c r="BB2" s="5" t="s">
        <v>140</v>
      </c>
      <c r="BC2" s="5" t="s">
        <v>141</v>
      </c>
      <c r="BD2" s="5" t="s">
        <v>142</v>
      </c>
      <c r="BE2" s="5" t="s">
        <v>143</v>
      </c>
      <c r="BF2" s="5" t="s">
        <v>144</v>
      </c>
      <c r="BG2" s="5" t="s">
        <v>145</v>
      </c>
      <c r="BH2" s="5" t="s">
        <v>146</v>
      </c>
      <c r="BI2" s="5" t="s">
        <v>147</v>
      </c>
      <c r="BJ2" s="5" t="s">
        <v>148</v>
      </c>
      <c r="BK2" s="5" t="s">
        <v>149</v>
      </c>
      <c r="BL2" s="5" t="s">
        <v>150</v>
      </c>
      <c r="BM2" s="5" t="s">
        <v>151</v>
      </c>
      <c r="BN2" s="5" t="s">
        <v>152</v>
      </c>
      <c r="BO2" s="5" t="s">
        <v>153</v>
      </c>
      <c r="BP2" s="5" t="s">
        <v>154</v>
      </c>
      <c r="BQ2" s="5" t="s">
        <v>155</v>
      </c>
      <c r="BR2" s="5" t="s">
        <v>156</v>
      </c>
      <c r="BS2" s="5" t="s">
        <v>157</v>
      </c>
      <c r="BT2" s="5" t="s">
        <v>158</v>
      </c>
      <c r="BU2" s="5" t="s">
        <v>159</v>
      </c>
      <c r="BV2" s="5" t="s">
        <v>160</v>
      </c>
      <c r="BW2" s="5" t="s">
        <v>161</v>
      </c>
      <c r="BX2" s="5" t="s">
        <v>162</v>
      </c>
      <c r="BY2" s="5" t="s">
        <v>163</v>
      </c>
      <c r="BZ2" s="5" t="s">
        <v>164</v>
      </c>
      <c r="CA2" s="5" t="s">
        <v>165</v>
      </c>
      <c r="CB2" s="5" t="s">
        <v>166</v>
      </c>
      <c r="CC2" s="5" t="s">
        <v>167</v>
      </c>
      <c r="CD2" s="5" t="s">
        <v>168</v>
      </c>
      <c r="CE2" s="5" t="s">
        <v>169</v>
      </c>
      <c r="CF2" s="5" t="s">
        <v>170</v>
      </c>
      <c r="CG2" s="5" t="s">
        <v>171</v>
      </c>
      <c r="CH2" s="5" t="s">
        <v>172</v>
      </c>
      <c r="CI2" s="5" t="s">
        <v>173</v>
      </c>
      <c r="CJ2" s="5" t="s">
        <v>174</v>
      </c>
      <c r="CK2" s="5" t="s">
        <v>175</v>
      </c>
      <c r="CL2" s="5" t="s">
        <v>176</v>
      </c>
      <c r="CM2" s="5" t="s">
        <v>177</v>
      </c>
      <c r="CN2" s="5" t="s">
        <v>178</v>
      </c>
      <c r="CO2" s="5" t="s">
        <v>179</v>
      </c>
      <c r="CP2" s="5" t="s">
        <v>180</v>
      </c>
      <c r="CQ2" s="5" t="s">
        <v>181</v>
      </c>
      <c r="CR2" s="5" t="s">
        <v>92</v>
      </c>
      <c r="CS2" s="5" t="s">
        <v>182</v>
      </c>
      <c r="CT2" s="5" t="s">
        <v>183</v>
      </c>
      <c r="CU2" s="5" t="s">
        <v>184</v>
      </c>
      <c r="CV2" s="5" t="s">
        <v>185</v>
      </c>
      <c r="CW2" s="5" t="s">
        <v>186</v>
      </c>
      <c r="CX2" s="5" t="s">
        <v>187</v>
      </c>
      <c r="CY2" s="5" t="s">
        <v>188</v>
      </c>
      <c r="CZ2" s="5" t="s">
        <v>189</v>
      </c>
      <c r="DA2" s="5" t="s">
        <v>190</v>
      </c>
      <c r="DB2" s="5" t="s">
        <v>191</v>
      </c>
      <c r="DC2" s="5" t="s">
        <v>192</v>
      </c>
      <c r="DD2" s="5" t="s">
        <v>193</v>
      </c>
    </row>
    <row r="3" spans="1:108" ht="21.75" customHeight="1" x14ac:dyDescent="0.25">
      <c r="A3" s="6" t="s">
        <v>19</v>
      </c>
      <c r="B3" s="10" t="s">
        <v>20</v>
      </c>
      <c r="C3" s="11" t="s">
        <v>298</v>
      </c>
      <c r="D3" s="11" t="s">
        <v>299</v>
      </c>
      <c r="E3" s="11" t="s">
        <v>300</v>
      </c>
      <c r="F3" s="11" t="s">
        <v>301</v>
      </c>
      <c r="G3" s="11" t="s">
        <v>302</v>
      </c>
      <c r="H3" s="11" t="s">
        <v>303</v>
      </c>
      <c r="I3" s="11" t="s">
        <v>300</v>
      </c>
      <c r="J3" s="20">
        <v>90</v>
      </c>
      <c r="K3" s="20">
        <v>70</v>
      </c>
      <c r="L3" s="11"/>
      <c r="M3" s="11"/>
      <c r="N3" s="11"/>
      <c r="O3" s="11"/>
      <c r="P3" s="11"/>
      <c r="Q3" s="10"/>
      <c r="R3" s="11" t="s">
        <v>304</v>
      </c>
      <c r="S3" s="11"/>
      <c r="T3" s="11"/>
      <c r="U3" s="11"/>
      <c r="V3" s="11" t="s">
        <v>305</v>
      </c>
      <c r="W3" s="11" t="s">
        <v>306</v>
      </c>
      <c r="X3" s="20">
        <v>0</v>
      </c>
      <c r="Y3" s="11" t="b">
        <v>0</v>
      </c>
      <c r="Z3" s="11" t="b">
        <v>0</v>
      </c>
      <c r="AA3" s="11"/>
      <c r="AB3" s="11" t="s">
        <v>218</v>
      </c>
      <c r="AC3" s="11" t="s">
        <v>307</v>
      </c>
      <c r="AD3" s="11" t="s">
        <v>307</v>
      </c>
      <c r="AE3" s="20">
        <v>50</v>
      </c>
      <c r="AF3" s="20">
        <v>100</v>
      </c>
      <c r="AG3" s="20">
        <v>100</v>
      </c>
      <c r="AH3" s="20">
        <v>100</v>
      </c>
      <c r="AI3" s="20">
        <v>100</v>
      </c>
      <c r="AJ3" s="11"/>
      <c r="AK3" s="11"/>
      <c r="AL3" s="11"/>
      <c r="AM3" s="11"/>
      <c r="AN3" s="11"/>
      <c r="AO3" s="11"/>
      <c r="AP3" s="11"/>
      <c r="AQ3" s="11"/>
      <c r="AR3" s="11"/>
      <c r="AS3" s="11"/>
      <c r="AT3" s="11"/>
      <c r="AU3" s="20">
        <v>50</v>
      </c>
      <c r="AV3" s="11"/>
      <c r="AW3" s="11"/>
      <c r="AX3" s="11"/>
      <c r="AY3" s="11"/>
      <c r="AZ3" s="11"/>
      <c r="BA3" s="11"/>
      <c r="BB3" s="11"/>
      <c r="BC3" s="11"/>
      <c r="BD3" s="11"/>
      <c r="BE3" s="11"/>
      <c r="BF3" s="11"/>
      <c r="BG3" s="20">
        <v>100</v>
      </c>
      <c r="BH3" s="11"/>
      <c r="BI3" s="11"/>
      <c r="BJ3" s="11"/>
      <c r="BK3" s="11"/>
      <c r="BL3" s="11"/>
      <c r="BM3" s="11"/>
      <c r="BN3" s="11"/>
      <c r="BO3" s="11"/>
      <c r="BP3" s="11"/>
      <c r="BQ3" s="11"/>
      <c r="BR3" s="11"/>
      <c r="BS3" s="20">
        <v>100</v>
      </c>
      <c r="BT3" s="11"/>
      <c r="BU3" s="11"/>
      <c r="BV3" s="11"/>
      <c r="BW3" s="11"/>
      <c r="BX3" s="11"/>
      <c r="BY3" s="11"/>
      <c r="BZ3" s="11"/>
      <c r="CA3" s="11"/>
      <c r="CB3" s="11"/>
      <c r="CC3" s="11"/>
      <c r="CD3" s="11"/>
      <c r="CE3" s="20">
        <v>100</v>
      </c>
      <c r="CF3" s="11"/>
      <c r="CG3" s="11"/>
      <c r="CH3" s="11"/>
      <c r="CI3" s="11"/>
      <c r="CJ3" s="11"/>
      <c r="CK3" s="11"/>
      <c r="CL3" s="11"/>
      <c r="CM3" s="11"/>
      <c r="CN3" s="11"/>
      <c r="CO3" s="11"/>
      <c r="CP3" s="11"/>
      <c r="CQ3" s="20">
        <v>100</v>
      </c>
      <c r="CR3" s="11"/>
      <c r="CS3" s="11"/>
      <c r="CT3" s="11"/>
      <c r="CU3" s="11"/>
      <c r="CV3" s="11"/>
      <c r="CW3" s="11"/>
      <c r="CX3" s="11"/>
      <c r="CY3" s="11"/>
      <c r="CZ3" s="11"/>
      <c r="DA3" s="11"/>
      <c r="DB3" s="11"/>
      <c r="DC3" s="11"/>
      <c r="DD3" s="11"/>
    </row>
    <row r="4" spans="1:108" ht="21.75" customHeight="1" x14ac:dyDescent="0.25">
      <c r="A4" s="6" t="s">
        <v>19</v>
      </c>
      <c r="B4" s="7" t="s">
        <v>20</v>
      </c>
      <c r="C4" s="8" t="s">
        <v>298</v>
      </c>
      <c r="D4" s="8" t="s">
        <v>308</v>
      </c>
      <c r="E4" s="8" t="s">
        <v>300</v>
      </c>
      <c r="F4" s="8" t="s">
        <v>301</v>
      </c>
      <c r="G4" s="8" t="s">
        <v>302</v>
      </c>
      <c r="H4" s="8" t="s">
        <v>303</v>
      </c>
      <c r="I4" s="8" t="s">
        <v>300</v>
      </c>
      <c r="J4" s="21">
        <v>90</v>
      </c>
      <c r="K4" s="21">
        <v>70</v>
      </c>
      <c r="L4" s="8"/>
      <c r="M4" s="8"/>
      <c r="N4" s="8"/>
      <c r="O4" s="8"/>
      <c r="P4" s="8"/>
      <c r="Q4" s="7"/>
      <c r="R4" s="8" t="s">
        <v>304</v>
      </c>
      <c r="S4" s="8"/>
      <c r="T4" s="8"/>
      <c r="U4" s="8"/>
      <c r="V4" s="8" t="s">
        <v>305</v>
      </c>
      <c r="W4" s="8" t="s">
        <v>306</v>
      </c>
      <c r="X4" s="21">
        <v>0</v>
      </c>
      <c r="Y4" s="8" t="b">
        <v>0</v>
      </c>
      <c r="Z4" s="8" t="b">
        <v>0</v>
      </c>
      <c r="AA4" s="8"/>
      <c r="AB4" s="8" t="s">
        <v>218</v>
      </c>
      <c r="AC4" s="8" t="s">
        <v>307</v>
      </c>
      <c r="AD4" s="8" t="s">
        <v>307</v>
      </c>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row>
    <row r="5" spans="1:108" ht="21.75" customHeight="1" x14ac:dyDescent="0.25">
      <c r="A5" s="6" t="s">
        <v>19</v>
      </c>
      <c r="B5" s="10" t="s">
        <v>20</v>
      </c>
      <c r="C5" s="11" t="s">
        <v>298</v>
      </c>
      <c r="D5" s="11" t="s">
        <v>204</v>
      </c>
      <c r="E5" s="11" t="s">
        <v>300</v>
      </c>
      <c r="F5" s="11" t="s">
        <v>301</v>
      </c>
      <c r="G5" s="11" t="s">
        <v>302</v>
      </c>
      <c r="H5" s="11" t="s">
        <v>303</v>
      </c>
      <c r="I5" s="11" t="s">
        <v>300</v>
      </c>
      <c r="J5" s="20">
        <v>90</v>
      </c>
      <c r="K5" s="20">
        <v>70</v>
      </c>
      <c r="L5" s="11"/>
      <c r="M5" s="11"/>
      <c r="N5" s="11"/>
      <c r="O5" s="11"/>
      <c r="P5" s="11"/>
      <c r="Q5" s="10"/>
      <c r="R5" s="11" t="s">
        <v>304</v>
      </c>
      <c r="S5" s="11"/>
      <c r="T5" s="11"/>
      <c r="U5" s="11"/>
      <c r="V5" s="11" t="s">
        <v>305</v>
      </c>
      <c r="W5" s="11" t="s">
        <v>306</v>
      </c>
      <c r="X5" s="20">
        <v>0</v>
      </c>
      <c r="Y5" s="11" t="b">
        <v>0</v>
      </c>
      <c r="Z5" s="11" t="b">
        <v>0</v>
      </c>
      <c r="AA5" s="11"/>
      <c r="AB5" s="11" t="s">
        <v>218</v>
      </c>
      <c r="AC5" s="11" t="s">
        <v>307</v>
      </c>
      <c r="AD5" s="11" t="s">
        <v>307</v>
      </c>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row>
    <row r="6" spans="1:108" ht="21.75" customHeight="1" x14ac:dyDescent="0.25">
      <c r="A6" s="6" t="s">
        <v>19</v>
      </c>
      <c r="B6" s="7" t="s">
        <v>20</v>
      </c>
      <c r="C6" s="8" t="s">
        <v>309</v>
      </c>
      <c r="D6" s="8" t="s">
        <v>299</v>
      </c>
      <c r="E6" s="8" t="s">
        <v>300</v>
      </c>
      <c r="F6" s="8" t="s">
        <v>301</v>
      </c>
      <c r="G6" s="8" t="s">
        <v>302</v>
      </c>
      <c r="H6" s="8" t="s">
        <v>303</v>
      </c>
      <c r="I6" s="8" t="s">
        <v>300</v>
      </c>
      <c r="J6" s="21">
        <v>90</v>
      </c>
      <c r="K6" s="21">
        <v>70</v>
      </c>
      <c r="L6" s="8"/>
      <c r="M6" s="8"/>
      <c r="N6" s="8"/>
      <c r="O6" s="8"/>
      <c r="P6" s="8"/>
      <c r="Q6" s="7" t="s">
        <v>310</v>
      </c>
      <c r="R6" s="8" t="s">
        <v>311</v>
      </c>
      <c r="S6" s="8"/>
      <c r="T6" s="8"/>
      <c r="U6" s="8"/>
      <c r="V6" s="8" t="s">
        <v>305</v>
      </c>
      <c r="W6" s="8" t="s">
        <v>306</v>
      </c>
      <c r="X6" s="21">
        <v>0</v>
      </c>
      <c r="Y6" s="8" t="b">
        <v>0</v>
      </c>
      <c r="Z6" s="8" t="b">
        <v>0</v>
      </c>
      <c r="AA6" s="8"/>
      <c r="AB6" s="8" t="s">
        <v>218</v>
      </c>
      <c r="AC6" s="8" t="s">
        <v>312</v>
      </c>
      <c r="AD6" s="8" t="s">
        <v>312</v>
      </c>
      <c r="AE6" s="8"/>
      <c r="AF6" s="21">
        <v>25</v>
      </c>
      <c r="AG6" s="21">
        <v>25</v>
      </c>
      <c r="AH6" s="21">
        <v>25</v>
      </c>
      <c r="AI6" s="21">
        <v>25</v>
      </c>
      <c r="AJ6" s="8"/>
      <c r="AK6" s="8"/>
      <c r="AL6" s="8"/>
      <c r="AM6" s="8"/>
      <c r="AN6" s="8"/>
      <c r="AO6" s="8"/>
      <c r="AP6" s="8"/>
      <c r="AQ6" s="8"/>
      <c r="AR6" s="8"/>
      <c r="AS6" s="8"/>
      <c r="AT6" s="8"/>
      <c r="AU6" s="8"/>
      <c r="AV6" s="8"/>
      <c r="AW6" s="8"/>
      <c r="AX6" s="8"/>
      <c r="AY6" s="8"/>
      <c r="AZ6" s="8"/>
      <c r="BA6" s="8"/>
      <c r="BB6" s="8"/>
      <c r="BC6" s="8"/>
      <c r="BD6" s="8"/>
      <c r="BE6" s="8"/>
      <c r="BF6" s="8"/>
      <c r="BG6" s="21">
        <v>25</v>
      </c>
      <c r="BH6" s="8"/>
      <c r="BI6" s="8"/>
      <c r="BJ6" s="8"/>
      <c r="BK6" s="8"/>
      <c r="BL6" s="8"/>
      <c r="BM6" s="8"/>
      <c r="BN6" s="8"/>
      <c r="BO6" s="8"/>
      <c r="BP6" s="8"/>
      <c r="BQ6" s="8"/>
      <c r="BR6" s="8"/>
      <c r="BS6" s="21">
        <v>25</v>
      </c>
      <c r="BT6" s="8"/>
      <c r="BU6" s="8"/>
      <c r="BV6" s="8"/>
      <c r="BW6" s="8"/>
      <c r="BX6" s="8"/>
      <c r="BY6" s="8"/>
      <c r="BZ6" s="8"/>
      <c r="CA6" s="8"/>
      <c r="CB6" s="8"/>
      <c r="CC6" s="8"/>
      <c r="CD6" s="8"/>
      <c r="CE6" s="21">
        <v>25</v>
      </c>
      <c r="CF6" s="8"/>
      <c r="CG6" s="8"/>
      <c r="CH6" s="8"/>
      <c r="CI6" s="8"/>
      <c r="CJ6" s="8"/>
      <c r="CK6" s="8"/>
      <c r="CL6" s="8"/>
      <c r="CM6" s="8"/>
      <c r="CN6" s="8"/>
      <c r="CO6" s="8"/>
      <c r="CP6" s="8"/>
      <c r="CQ6" s="21">
        <v>25</v>
      </c>
      <c r="CR6" s="8"/>
      <c r="CS6" s="8"/>
      <c r="CT6" s="8"/>
      <c r="CU6" s="8"/>
      <c r="CV6" s="8"/>
      <c r="CW6" s="8"/>
      <c r="CX6" s="8"/>
      <c r="CY6" s="8"/>
      <c r="CZ6" s="8"/>
      <c r="DA6" s="8"/>
      <c r="DB6" s="8"/>
      <c r="DC6" s="8"/>
      <c r="DD6" s="8"/>
    </row>
    <row r="7" spans="1:108" ht="21.75" customHeight="1" x14ac:dyDescent="0.25">
      <c r="A7" s="6" t="s">
        <v>19</v>
      </c>
      <c r="B7" s="10" t="s">
        <v>20</v>
      </c>
      <c r="C7" s="11" t="s">
        <v>309</v>
      </c>
      <c r="D7" s="11" t="s">
        <v>308</v>
      </c>
      <c r="E7" s="11" t="s">
        <v>300</v>
      </c>
      <c r="F7" s="11" t="s">
        <v>301</v>
      </c>
      <c r="G7" s="11" t="s">
        <v>302</v>
      </c>
      <c r="H7" s="11" t="s">
        <v>303</v>
      </c>
      <c r="I7" s="11" t="s">
        <v>300</v>
      </c>
      <c r="J7" s="20">
        <v>90</v>
      </c>
      <c r="K7" s="20">
        <v>70</v>
      </c>
      <c r="L7" s="11"/>
      <c r="M7" s="11"/>
      <c r="N7" s="11"/>
      <c r="O7" s="11"/>
      <c r="P7" s="11"/>
      <c r="Q7" s="10" t="s">
        <v>310</v>
      </c>
      <c r="R7" s="11" t="s">
        <v>311</v>
      </c>
      <c r="S7" s="11"/>
      <c r="T7" s="11"/>
      <c r="U7" s="11"/>
      <c r="V7" s="11" t="s">
        <v>305</v>
      </c>
      <c r="W7" s="11" t="s">
        <v>306</v>
      </c>
      <c r="X7" s="20">
        <v>0</v>
      </c>
      <c r="Y7" s="11" t="b">
        <v>0</v>
      </c>
      <c r="Z7" s="11" t="b">
        <v>0</v>
      </c>
      <c r="AA7" s="11"/>
      <c r="AB7" s="11" t="s">
        <v>218</v>
      </c>
      <c r="AC7" s="11" t="s">
        <v>312</v>
      </c>
      <c r="AD7" s="11" t="s">
        <v>312</v>
      </c>
      <c r="AE7" s="20">
        <v>5</v>
      </c>
      <c r="AF7" s="20">
        <v>29.99</v>
      </c>
      <c r="AG7" s="20">
        <v>29.98</v>
      </c>
      <c r="AH7" s="20">
        <v>30</v>
      </c>
      <c r="AI7" s="20">
        <v>30</v>
      </c>
      <c r="AJ7" s="11"/>
      <c r="AK7" s="11"/>
      <c r="AL7" s="11"/>
      <c r="AM7" s="11"/>
      <c r="AN7" s="11"/>
      <c r="AO7" s="11"/>
      <c r="AP7" s="11"/>
      <c r="AQ7" s="11"/>
      <c r="AR7" s="11"/>
      <c r="AS7" s="11"/>
      <c r="AT7" s="11"/>
      <c r="AU7" s="20">
        <v>5</v>
      </c>
      <c r="AV7" s="11"/>
      <c r="AW7" s="11"/>
      <c r="AX7" s="11"/>
      <c r="AY7" s="11"/>
      <c r="AZ7" s="11"/>
      <c r="BA7" s="11"/>
      <c r="BB7" s="11"/>
      <c r="BC7" s="11"/>
      <c r="BD7" s="11"/>
      <c r="BE7" s="11"/>
      <c r="BF7" s="11"/>
      <c r="BG7" s="20">
        <v>29.99</v>
      </c>
      <c r="BH7" s="11"/>
      <c r="BI7" s="11"/>
      <c r="BJ7" s="11"/>
      <c r="BK7" s="11"/>
      <c r="BL7" s="11"/>
      <c r="BM7" s="11"/>
      <c r="BN7" s="11"/>
      <c r="BO7" s="11"/>
      <c r="BP7" s="11"/>
      <c r="BQ7" s="11"/>
      <c r="BR7" s="11"/>
      <c r="BS7" s="20">
        <v>29.98</v>
      </c>
      <c r="BT7" s="11"/>
      <c r="BU7" s="11"/>
      <c r="BV7" s="11"/>
      <c r="BW7" s="11"/>
      <c r="BX7" s="11"/>
      <c r="BY7" s="11"/>
      <c r="BZ7" s="11"/>
      <c r="CA7" s="11"/>
      <c r="CB7" s="11"/>
      <c r="CC7" s="11"/>
      <c r="CD7" s="11"/>
      <c r="CE7" s="20">
        <v>30</v>
      </c>
      <c r="CF7" s="11"/>
      <c r="CG7" s="11"/>
      <c r="CH7" s="11"/>
      <c r="CI7" s="11"/>
      <c r="CJ7" s="11"/>
      <c r="CK7" s="11"/>
      <c r="CL7" s="11"/>
      <c r="CM7" s="11"/>
      <c r="CN7" s="11"/>
      <c r="CO7" s="11"/>
      <c r="CP7" s="11"/>
      <c r="CQ7" s="20">
        <v>30</v>
      </c>
      <c r="CR7" s="11"/>
      <c r="CS7" s="11"/>
      <c r="CT7" s="11"/>
      <c r="CU7" s="11"/>
      <c r="CV7" s="11"/>
      <c r="CW7" s="11"/>
      <c r="CX7" s="11"/>
      <c r="CY7" s="11"/>
      <c r="CZ7" s="11"/>
      <c r="DA7" s="11"/>
      <c r="DB7" s="11"/>
      <c r="DC7" s="11"/>
      <c r="DD7" s="11"/>
    </row>
    <row r="8" spans="1:108" ht="21.75" customHeight="1" x14ac:dyDescent="0.25">
      <c r="A8" s="6" t="s">
        <v>19</v>
      </c>
      <c r="B8" s="7" t="s">
        <v>20</v>
      </c>
      <c r="C8" s="8" t="s">
        <v>309</v>
      </c>
      <c r="D8" s="8" t="s">
        <v>204</v>
      </c>
      <c r="E8" s="8" t="s">
        <v>300</v>
      </c>
      <c r="F8" s="8" t="s">
        <v>301</v>
      </c>
      <c r="G8" s="8" t="s">
        <v>302</v>
      </c>
      <c r="H8" s="8" t="s">
        <v>303</v>
      </c>
      <c r="I8" s="8" t="s">
        <v>300</v>
      </c>
      <c r="J8" s="21">
        <v>90</v>
      </c>
      <c r="K8" s="21">
        <v>70</v>
      </c>
      <c r="L8" s="8"/>
      <c r="M8" s="8"/>
      <c r="N8" s="8"/>
      <c r="O8" s="8"/>
      <c r="P8" s="8"/>
      <c r="Q8" s="7" t="s">
        <v>310</v>
      </c>
      <c r="R8" s="8" t="s">
        <v>311</v>
      </c>
      <c r="S8" s="8"/>
      <c r="T8" s="8"/>
      <c r="U8" s="8"/>
      <c r="V8" s="8" t="s">
        <v>305</v>
      </c>
      <c r="W8" s="8" t="s">
        <v>306</v>
      </c>
      <c r="X8" s="21">
        <v>0</v>
      </c>
      <c r="Y8" s="8" t="b">
        <v>0</v>
      </c>
      <c r="Z8" s="8" t="b">
        <v>0</v>
      </c>
      <c r="AA8" s="8"/>
      <c r="AB8" s="8" t="s">
        <v>218</v>
      </c>
      <c r="AC8" s="8" t="s">
        <v>312</v>
      </c>
      <c r="AD8" s="8" t="s">
        <v>312</v>
      </c>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c r="CS8" s="8"/>
      <c r="CT8" s="8"/>
      <c r="CU8" s="8"/>
      <c r="CV8" s="8"/>
      <c r="CW8" s="8"/>
      <c r="CX8" s="8"/>
      <c r="CY8" s="8"/>
      <c r="CZ8" s="8"/>
      <c r="DA8" s="8"/>
      <c r="DB8" s="8"/>
      <c r="DC8" s="8"/>
      <c r="DD8" s="8"/>
    </row>
    <row r="9" spans="1:108" ht="21.75" customHeight="1" x14ac:dyDescent="0.25">
      <c r="A9" s="6" t="s">
        <v>19</v>
      </c>
      <c r="B9" s="10" t="s">
        <v>20</v>
      </c>
      <c r="C9" s="11" t="s">
        <v>206</v>
      </c>
      <c r="D9" s="11" t="s">
        <v>299</v>
      </c>
      <c r="E9" s="11" t="s">
        <v>300</v>
      </c>
      <c r="F9" s="11" t="s">
        <v>301</v>
      </c>
      <c r="G9" s="11" t="s">
        <v>313</v>
      </c>
      <c r="H9" s="11" t="s">
        <v>303</v>
      </c>
      <c r="I9" s="11" t="s">
        <v>314</v>
      </c>
      <c r="J9" s="20">
        <v>90</v>
      </c>
      <c r="K9" s="20">
        <v>70</v>
      </c>
      <c r="L9" s="11"/>
      <c r="M9" s="11"/>
      <c r="N9" s="11"/>
      <c r="O9" s="11"/>
      <c r="P9" s="11"/>
      <c r="Q9" s="10"/>
      <c r="R9" s="11" t="s">
        <v>315</v>
      </c>
      <c r="S9" s="11"/>
      <c r="T9" s="11"/>
      <c r="U9" s="11"/>
      <c r="V9" s="11" t="s">
        <v>305</v>
      </c>
      <c r="W9" s="11" t="s">
        <v>306</v>
      </c>
      <c r="X9" s="20">
        <v>0</v>
      </c>
      <c r="Y9" s="11" t="b">
        <v>0</v>
      </c>
      <c r="Z9" s="11" t="b">
        <v>0</v>
      </c>
      <c r="AA9" s="11"/>
      <c r="AB9" s="11" t="s">
        <v>218</v>
      </c>
      <c r="AC9" s="11" t="s">
        <v>316</v>
      </c>
      <c r="AD9" s="11" t="s">
        <v>316</v>
      </c>
      <c r="AE9" s="20">
        <v>70</v>
      </c>
      <c r="AF9" s="20">
        <v>75.2</v>
      </c>
      <c r="AG9" s="20">
        <v>77.5</v>
      </c>
      <c r="AH9" s="20">
        <v>77.5</v>
      </c>
      <c r="AI9" s="20">
        <v>77.5</v>
      </c>
      <c r="AJ9" s="11"/>
      <c r="AK9" s="11"/>
      <c r="AL9" s="11"/>
      <c r="AM9" s="11"/>
      <c r="AN9" s="11"/>
      <c r="AO9" s="11"/>
      <c r="AP9" s="11"/>
      <c r="AQ9" s="11"/>
      <c r="AR9" s="11"/>
      <c r="AS9" s="11"/>
      <c r="AT9" s="11"/>
      <c r="AU9" s="20">
        <v>70</v>
      </c>
      <c r="AV9" s="11"/>
      <c r="AW9" s="11"/>
      <c r="AX9" s="11"/>
      <c r="AY9" s="11"/>
      <c r="AZ9" s="11"/>
      <c r="BA9" s="11"/>
      <c r="BB9" s="11"/>
      <c r="BC9" s="11"/>
      <c r="BD9" s="11"/>
      <c r="BE9" s="11"/>
      <c r="BF9" s="11"/>
      <c r="BG9" s="20">
        <v>75.2</v>
      </c>
      <c r="BH9" s="11"/>
      <c r="BI9" s="11"/>
      <c r="BJ9" s="11"/>
      <c r="BK9" s="11"/>
      <c r="BL9" s="11"/>
      <c r="BM9" s="11"/>
      <c r="BN9" s="11"/>
      <c r="BO9" s="11"/>
      <c r="BP9" s="11"/>
      <c r="BQ9" s="11"/>
      <c r="BR9" s="11"/>
      <c r="BS9" s="20">
        <v>77.5</v>
      </c>
      <c r="BT9" s="11"/>
      <c r="BU9" s="11"/>
      <c r="BV9" s="11"/>
      <c r="BW9" s="11"/>
      <c r="BX9" s="11"/>
      <c r="BY9" s="11"/>
      <c r="BZ9" s="11"/>
      <c r="CA9" s="11"/>
      <c r="CB9" s="11"/>
      <c r="CC9" s="11"/>
      <c r="CD9" s="11"/>
      <c r="CE9" s="20">
        <v>77.5</v>
      </c>
      <c r="CF9" s="11"/>
      <c r="CG9" s="11"/>
      <c r="CH9" s="11"/>
      <c r="CI9" s="11"/>
      <c r="CJ9" s="11"/>
      <c r="CK9" s="11"/>
      <c r="CL9" s="11"/>
      <c r="CM9" s="11"/>
      <c r="CN9" s="11"/>
      <c r="CO9" s="11"/>
      <c r="CP9" s="11"/>
      <c r="CQ9" s="20">
        <v>77.5</v>
      </c>
      <c r="CR9" s="11"/>
      <c r="CS9" s="11"/>
      <c r="CT9" s="11"/>
      <c r="CU9" s="11"/>
      <c r="CV9" s="11"/>
      <c r="CW9" s="11"/>
      <c r="CX9" s="11"/>
      <c r="CY9" s="11"/>
      <c r="CZ9" s="11"/>
      <c r="DA9" s="11"/>
      <c r="DB9" s="11"/>
      <c r="DC9" s="11"/>
      <c r="DD9" s="11"/>
    </row>
    <row r="10" spans="1:108" ht="21.75" customHeight="1" x14ac:dyDescent="0.25">
      <c r="A10" s="6" t="s">
        <v>19</v>
      </c>
      <c r="B10" s="7" t="s">
        <v>20</v>
      </c>
      <c r="C10" s="8" t="s">
        <v>206</v>
      </c>
      <c r="D10" s="8" t="s">
        <v>308</v>
      </c>
      <c r="E10" s="8" t="s">
        <v>300</v>
      </c>
      <c r="F10" s="8" t="s">
        <v>301</v>
      </c>
      <c r="G10" s="8" t="s">
        <v>313</v>
      </c>
      <c r="H10" s="8" t="s">
        <v>303</v>
      </c>
      <c r="I10" s="8" t="s">
        <v>314</v>
      </c>
      <c r="J10" s="21">
        <v>90</v>
      </c>
      <c r="K10" s="21">
        <v>70</v>
      </c>
      <c r="L10" s="8"/>
      <c r="M10" s="8"/>
      <c r="N10" s="8"/>
      <c r="O10" s="8"/>
      <c r="P10" s="8"/>
      <c r="Q10" s="7"/>
      <c r="R10" s="8" t="s">
        <v>315</v>
      </c>
      <c r="S10" s="8"/>
      <c r="T10" s="8"/>
      <c r="U10" s="8"/>
      <c r="V10" s="8" t="s">
        <v>305</v>
      </c>
      <c r="W10" s="8" t="s">
        <v>306</v>
      </c>
      <c r="X10" s="21">
        <v>0</v>
      </c>
      <c r="Y10" s="8" t="b">
        <v>0</v>
      </c>
      <c r="Z10" s="8" t="b">
        <v>0</v>
      </c>
      <c r="AA10" s="8"/>
      <c r="AB10" s="8" t="s">
        <v>218</v>
      </c>
      <c r="AC10" s="8" t="s">
        <v>316</v>
      </c>
      <c r="AD10" s="8" t="s">
        <v>316</v>
      </c>
      <c r="AE10" s="21">
        <v>70</v>
      </c>
      <c r="AF10" s="21">
        <v>76.400000000000006</v>
      </c>
      <c r="AG10" s="21">
        <v>79</v>
      </c>
      <c r="AH10" s="21">
        <v>79</v>
      </c>
      <c r="AI10" s="21">
        <v>79</v>
      </c>
      <c r="AJ10" s="8"/>
      <c r="AK10" s="8"/>
      <c r="AL10" s="8"/>
      <c r="AM10" s="8"/>
      <c r="AN10" s="8"/>
      <c r="AO10" s="8"/>
      <c r="AP10" s="8"/>
      <c r="AQ10" s="8"/>
      <c r="AR10" s="8"/>
      <c r="AS10" s="8"/>
      <c r="AT10" s="8"/>
      <c r="AU10" s="21">
        <v>70</v>
      </c>
      <c r="AV10" s="8"/>
      <c r="AW10" s="8"/>
      <c r="AX10" s="8"/>
      <c r="AY10" s="8"/>
      <c r="AZ10" s="8"/>
      <c r="BA10" s="8"/>
      <c r="BB10" s="8"/>
      <c r="BC10" s="8"/>
      <c r="BD10" s="8"/>
      <c r="BE10" s="8"/>
      <c r="BF10" s="8"/>
      <c r="BG10" s="21">
        <v>76.400000000000006</v>
      </c>
      <c r="BH10" s="8"/>
      <c r="BI10" s="8"/>
      <c r="BJ10" s="8"/>
      <c r="BK10" s="8"/>
      <c r="BL10" s="8"/>
      <c r="BM10" s="8"/>
      <c r="BN10" s="8"/>
      <c r="BO10" s="8"/>
      <c r="BP10" s="8"/>
      <c r="BQ10" s="8"/>
      <c r="BR10" s="8"/>
      <c r="BS10" s="21">
        <v>79</v>
      </c>
      <c r="BT10" s="8"/>
      <c r="BU10" s="8"/>
      <c r="BV10" s="8"/>
      <c r="BW10" s="8"/>
      <c r="BX10" s="8"/>
      <c r="BY10" s="8"/>
      <c r="BZ10" s="8"/>
      <c r="CA10" s="8"/>
      <c r="CB10" s="8"/>
      <c r="CC10" s="8"/>
      <c r="CD10" s="8"/>
      <c r="CE10" s="21">
        <v>79</v>
      </c>
      <c r="CF10" s="8"/>
      <c r="CG10" s="8"/>
      <c r="CH10" s="8"/>
      <c r="CI10" s="8"/>
      <c r="CJ10" s="8"/>
      <c r="CK10" s="8"/>
      <c r="CL10" s="8"/>
      <c r="CM10" s="8"/>
      <c r="CN10" s="8"/>
      <c r="CO10" s="8"/>
      <c r="CP10" s="8"/>
      <c r="CQ10" s="21">
        <v>79</v>
      </c>
      <c r="CR10" s="8"/>
      <c r="CS10" s="8"/>
      <c r="CT10" s="8"/>
      <c r="CU10" s="8"/>
      <c r="CV10" s="8"/>
      <c r="CW10" s="8"/>
      <c r="CX10" s="8"/>
      <c r="CY10" s="8"/>
      <c r="CZ10" s="8"/>
      <c r="DA10" s="8"/>
      <c r="DB10" s="8"/>
      <c r="DC10" s="8"/>
      <c r="DD10" s="8"/>
    </row>
    <row r="11" spans="1:108" ht="21.75" customHeight="1" x14ac:dyDescent="0.25">
      <c r="A11" s="6" t="s">
        <v>19</v>
      </c>
      <c r="B11" s="10" t="s">
        <v>20</v>
      </c>
      <c r="C11" s="11" t="s">
        <v>206</v>
      </c>
      <c r="D11" s="11" t="s">
        <v>204</v>
      </c>
      <c r="E11" s="11" t="s">
        <v>300</v>
      </c>
      <c r="F11" s="11" t="s">
        <v>301</v>
      </c>
      <c r="G11" s="11" t="s">
        <v>313</v>
      </c>
      <c r="H11" s="11" t="s">
        <v>303</v>
      </c>
      <c r="I11" s="11" t="s">
        <v>314</v>
      </c>
      <c r="J11" s="20">
        <v>90</v>
      </c>
      <c r="K11" s="20">
        <v>70</v>
      </c>
      <c r="L11" s="11"/>
      <c r="M11" s="11"/>
      <c r="N11" s="11"/>
      <c r="O11" s="11"/>
      <c r="P11" s="11"/>
      <c r="Q11" s="10"/>
      <c r="R11" s="11" t="s">
        <v>315</v>
      </c>
      <c r="S11" s="11"/>
      <c r="T11" s="11"/>
      <c r="U11" s="11"/>
      <c r="V11" s="11" t="s">
        <v>305</v>
      </c>
      <c r="W11" s="11" t="s">
        <v>306</v>
      </c>
      <c r="X11" s="20">
        <v>0</v>
      </c>
      <c r="Y11" s="11" t="b">
        <v>0</v>
      </c>
      <c r="Z11" s="11" t="b">
        <v>0</v>
      </c>
      <c r="AA11" s="11"/>
      <c r="AB11" s="11" t="s">
        <v>218</v>
      </c>
      <c r="AC11" s="11" t="s">
        <v>316</v>
      </c>
      <c r="AD11" s="11" t="s">
        <v>316</v>
      </c>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1"/>
      <c r="CD11" s="11"/>
      <c r="CE11" s="11"/>
      <c r="CF11" s="11"/>
      <c r="CG11" s="11"/>
      <c r="CH11" s="11"/>
      <c r="CI11" s="11"/>
      <c r="CJ11" s="11"/>
      <c r="CK11" s="11"/>
      <c r="CL11" s="11"/>
      <c r="CM11" s="11"/>
      <c r="CN11" s="11"/>
      <c r="CO11" s="11"/>
      <c r="CP11" s="11"/>
      <c r="CQ11" s="11"/>
      <c r="CR11" s="11"/>
      <c r="CS11" s="11"/>
      <c r="CT11" s="11"/>
      <c r="CU11" s="11"/>
      <c r="CV11" s="11"/>
      <c r="CW11" s="11"/>
      <c r="CX11" s="11"/>
      <c r="CY11" s="11"/>
      <c r="CZ11" s="11"/>
      <c r="DA11" s="11"/>
      <c r="DB11" s="11"/>
      <c r="DC11" s="11"/>
      <c r="DD11" s="11"/>
    </row>
    <row r="12" spans="1:108" ht="21.75" customHeight="1" x14ac:dyDescent="0.25">
      <c r="A12" s="6" t="s">
        <v>19</v>
      </c>
      <c r="B12" s="7" t="s">
        <v>20</v>
      </c>
      <c r="C12" s="8" t="s">
        <v>317</v>
      </c>
      <c r="D12" s="8" t="s">
        <v>299</v>
      </c>
      <c r="E12" s="8" t="s">
        <v>300</v>
      </c>
      <c r="F12" s="8" t="s">
        <v>318</v>
      </c>
      <c r="G12" s="8" t="s">
        <v>313</v>
      </c>
      <c r="H12" s="8" t="s">
        <v>303</v>
      </c>
      <c r="I12" s="8" t="s">
        <v>196</v>
      </c>
      <c r="J12" s="21">
        <v>90</v>
      </c>
      <c r="K12" s="21">
        <v>70</v>
      </c>
      <c r="L12" s="8"/>
      <c r="M12" s="8"/>
      <c r="N12" s="8"/>
      <c r="O12" s="8"/>
      <c r="P12" s="8"/>
      <c r="Q12" s="7"/>
      <c r="R12" s="8" t="s">
        <v>319</v>
      </c>
      <c r="S12" s="8"/>
      <c r="T12" s="8"/>
      <c r="U12" s="8"/>
      <c r="V12" s="8" t="s">
        <v>305</v>
      </c>
      <c r="W12" s="8" t="s">
        <v>306</v>
      </c>
      <c r="X12" s="21">
        <v>0</v>
      </c>
      <c r="Y12" s="8" t="b">
        <v>0</v>
      </c>
      <c r="Z12" s="8" t="b">
        <v>0</v>
      </c>
      <c r="AA12" s="8"/>
      <c r="AB12" s="8" t="s">
        <v>218</v>
      </c>
      <c r="AC12" s="8" t="s">
        <v>320</v>
      </c>
      <c r="AD12" s="8" t="s">
        <v>320</v>
      </c>
      <c r="AE12" s="21">
        <v>359.2</v>
      </c>
      <c r="AF12" s="21">
        <v>434.2</v>
      </c>
      <c r="AG12" s="21">
        <v>479</v>
      </c>
      <c r="AH12" s="21">
        <v>479</v>
      </c>
      <c r="AI12" s="21">
        <v>479</v>
      </c>
      <c r="AJ12" s="21">
        <v>29.94</v>
      </c>
      <c r="AK12" s="21">
        <v>29.94</v>
      </c>
      <c r="AL12" s="21">
        <v>29.94</v>
      </c>
      <c r="AM12" s="21">
        <v>29.94</v>
      </c>
      <c r="AN12" s="21">
        <v>29.94</v>
      </c>
      <c r="AO12" s="21">
        <v>29.94</v>
      </c>
      <c r="AP12" s="21">
        <v>29.94</v>
      </c>
      <c r="AQ12" s="21">
        <v>29.94</v>
      </c>
      <c r="AR12" s="21">
        <v>29.94</v>
      </c>
      <c r="AS12" s="21">
        <v>29.94</v>
      </c>
      <c r="AT12" s="21">
        <v>29.94</v>
      </c>
      <c r="AU12" s="21">
        <v>29.94</v>
      </c>
      <c r="AV12" s="21">
        <v>36.18</v>
      </c>
      <c r="AW12" s="21">
        <v>36.18</v>
      </c>
      <c r="AX12" s="21">
        <v>36.18</v>
      </c>
      <c r="AY12" s="21">
        <v>36.18</v>
      </c>
      <c r="AZ12" s="21">
        <v>36.18</v>
      </c>
      <c r="BA12" s="21">
        <v>36.18</v>
      </c>
      <c r="BB12" s="21">
        <v>36.18</v>
      </c>
      <c r="BC12" s="21">
        <v>36.18</v>
      </c>
      <c r="BD12" s="21">
        <v>36.18</v>
      </c>
      <c r="BE12" s="21">
        <v>36.18</v>
      </c>
      <c r="BF12" s="21">
        <v>36.18</v>
      </c>
      <c r="BG12" s="21">
        <v>36.18</v>
      </c>
      <c r="BH12" s="21">
        <v>39.92</v>
      </c>
      <c r="BI12" s="21">
        <v>39.92</v>
      </c>
      <c r="BJ12" s="21">
        <v>39.92</v>
      </c>
      <c r="BK12" s="21">
        <v>39.92</v>
      </c>
      <c r="BL12" s="21">
        <v>39.92</v>
      </c>
      <c r="BM12" s="21">
        <v>39.92</v>
      </c>
      <c r="BN12" s="21">
        <v>39.92</v>
      </c>
      <c r="BO12" s="21">
        <v>39.92</v>
      </c>
      <c r="BP12" s="21">
        <v>39.92</v>
      </c>
      <c r="BQ12" s="21">
        <v>39.92</v>
      </c>
      <c r="BR12" s="21">
        <v>39.92</v>
      </c>
      <c r="BS12" s="21">
        <v>39.92</v>
      </c>
      <c r="BT12" s="21">
        <v>39.92</v>
      </c>
      <c r="BU12" s="21">
        <v>39.92</v>
      </c>
      <c r="BV12" s="21">
        <v>39.92</v>
      </c>
      <c r="BW12" s="21">
        <v>39.92</v>
      </c>
      <c r="BX12" s="21">
        <v>39.92</v>
      </c>
      <c r="BY12" s="21">
        <v>39.92</v>
      </c>
      <c r="BZ12" s="21">
        <v>39.92</v>
      </c>
      <c r="CA12" s="21">
        <v>39.92</v>
      </c>
      <c r="CB12" s="21">
        <v>39.92</v>
      </c>
      <c r="CC12" s="21">
        <v>39.92</v>
      </c>
      <c r="CD12" s="21">
        <v>39.92</v>
      </c>
      <c r="CE12" s="21">
        <v>39.92</v>
      </c>
      <c r="CF12" s="21">
        <v>39.92</v>
      </c>
      <c r="CG12" s="21">
        <v>39.92</v>
      </c>
      <c r="CH12" s="21">
        <v>39.92</v>
      </c>
      <c r="CI12" s="21">
        <v>39.92</v>
      </c>
      <c r="CJ12" s="21">
        <v>39.92</v>
      </c>
      <c r="CK12" s="21">
        <v>39.92</v>
      </c>
      <c r="CL12" s="21">
        <v>39.92</v>
      </c>
      <c r="CM12" s="21">
        <v>39.92</v>
      </c>
      <c r="CN12" s="21">
        <v>39.92</v>
      </c>
      <c r="CO12" s="21">
        <v>39.92</v>
      </c>
      <c r="CP12" s="21">
        <v>39.92</v>
      </c>
      <c r="CQ12" s="21">
        <v>39.92</v>
      </c>
      <c r="CR12" s="8"/>
      <c r="CS12" s="8"/>
      <c r="CT12" s="8"/>
      <c r="CU12" s="8"/>
      <c r="CV12" s="8"/>
      <c r="CW12" s="8"/>
      <c r="CX12" s="8"/>
      <c r="CY12" s="8"/>
      <c r="CZ12" s="8"/>
      <c r="DA12" s="8"/>
      <c r="DB12" s="8"/>
      <c r="DC12" s="8"/>
      <c r="DD12" s="8"/>
    </row>
    <row r="13" spans="1:108" ht="21.75" customHeight="1" x14ac:dyDescent="0.25">
      <c r="A13" s="6" t="s">
        <v>19</v>
      </c>
      <c r="B13" s="10" t="s">
        <v>20</v>
      </c>
      <c r="C13" s="11" t="s">
        <v>317</v>
      </c>
      <c r="D13" s="11" t="s">
        <v>308</v>
      </c>
      <c r="E13" s="11" t="s">
        <v>300</v>
      </c>
      <c r="F13" s="11" t="s">
        <v>318</v>
      </c>
      <c r="G13" s="11" t="s">
        <v>313</v>
      </c>
      <c r="H13" s="11" t="s">
        <v>303</v>
      </c>
      <c r="I13" s="11" t="s">
        <v>196</v>
      </c>
      <c r="J13" s="20">
        <v>90</v>
      </c>
      <c r="K13" s="20">
        <v>70</v>
      </c>
      <c r="L13" s="11"/>
      <c r="M13" s="11"/>
      <c r="N13" s="11"/>
      <c r="O13" s="11"/>
      <c r="P13" s="11"/>
      <c r="Q13" s="10"/>
      <c r="R13" s="11" t="s">
        <v>319</v>
      </c>
      <c r="S13" s="11"/>
      <c r="T13" s="11"/>
      <c r="U13" s="11"/>
      <c r="V13" s="11" t="s">
        <v>305</v>
      </c>
      <c r="W13" s="11" t="s">
        <v>306</v>
      </c>
      <c r="X13" s="20">
        <v>0</v>
      </c>
      <c r="Y13" s="11" t="b">
        <v>0</v>
      </c>
      <c r="Z13" s="11" t="b">
        <v>0</v>
      </c>
      <c r="AA13" s="11"/>
      <c r="AB13" s="11" t="s">
        <v>218</v>
      </c>
      <c r="AC13" s="11" t="s">
        <v>320</v>
      </c>
      <c r="AD13" s="11" t="s">
        <v>320</v>
      </c>
      <c r="AE13" s="20">
        <v>359.2</v>
      </c>
      <c r="AF13" s="20">
        <v>455.6</v>
      </c>
      <c r="AG13" s="20">
        <v>513.20000000000005</v>
      </c>
      <c r="AH13" s="20">
        <v>513.20000000000005</v>
      </c>
      <c r="AI13" s="20">
        <v>513.20000000000005</v>
      </c>
      <c r="AJ13" s="20">
        <v>29.94</v>
      </c>
      <c r="AK13" s="20">
        <v>29.94</v>
      </c>
      <c r="AL13" s="20">
        <v>29.94</v>
      </c>
      <c r="AM13" s="20">
        <v>29.94</v>
      </c>
      <c r="AN13" s="20">
        <v>29.94</v>
      </c>
      <c r="AO13" s="20">
        <v>29.94</v>
      </c>
      <c r="AP13" s="20">
        <v>29.94</v>
      </c>
      <c r="AQ13" s="20">
        <v>29.94</v>
      </c>
      <c r="AR13" s="20">
        <v>29.94</v>
      </c>
      <c r="AS13" s="20">
        <v>29.94</v>
      </c>
      <c r="AT13" s="20">
        <v>29.94</v>
      </c>
      <c r="AU13" s="20">
        <v>29.94</v>
      </c>
      <c r="AV13" s="20">
        <v>37.96</v>
      </c>
      <c r="AW13" s="20">
        <v>37.96</v>
      </c>
      <c r="AX13" s="20">
        <v>37.96</v>
      </c>
      <c r="AY13" s="20">
        <v>37.96</v>
      </c>
      <c r="AZ13" s="20">
        <v>37.96</v>
      </c>
      <c r="BA13" s="20">
        <v>37.96</v>
      </c>
      <c r="BB13" s="20">
        <v>37.96</v>
      </c>
      <c r="BC13" s="20">
        <v>37.96</v>
      </c>
      <c r="BD13" s="20">
        <v>37.96</v>
      </c>
      <c r="BE13" s="20">
        <v>37.96</v>
      </c>
      <c r="BF13" s="20">
        <v>37.96</v>
      </c>
      <c r="BG13" s="20">
        <v>37.96</v>
      </c>
      <c r="BH13" s="20">
        <v>42.76</v>
      </c>
      <c r="BI13" s="20">
        <v>42.76</v>
      </c>
      <c r="BJ13" s="20">
        <v>42.76</v>
      </c>
      <c r="BK13" s="20">
        <v>42.76</v>
      </c>
      <c r="BL13" s="20">
        <v>42.76</v>
      </c>
      <c r="BM13" s="20">
        <v>42.76</v>
      </c>
      <c r="BN13" s="20">
        <v>42.76</v>
      </c>
      <c r="BO13" s="20">
        <v>42.76</v>
      </c>
      <c r="BP13" s="20">
        <v>42.76</v>
      </c>
      <c r="BQ13" s="20">
        <v>42.76</v>
      </c>
      <c r="BR13" s="20">
        <v>42.76</v>
      </c>
      <c r="BS13" s="20">
        <v>42.76</v>
      </c>
      <c r="BT13" s="20">
        <v>42.76</v>
      </c>
      <c r="BU13" s="20">
        <v>42.76</v>
      </c>
      <c r="BV13" s="20">
        <v>42.76</v>
      </c>
      <c r="BW13" s="20">
        <v>42.76</v>
      </c>
      <c r="BX13" s="20">
        <v>42.76</v>
      </c>
      <c r="BY13" s="20">
        <v>42.76</v>
      </c>
      <c r="BZ13" s="20">
        <v>42.76</v>
      </c>
      <c r="CA13" s="20">
        <v>42.76</v>
      </c>
      <c r="CB13" s="20">
        <v>42.76</v>
      </c>
      <c r="CC13" s="20">
        <v>42.76</v>
      </c>
      <c r="CD13" s="20">
        <v>42.76</v>
      </c>
      <c r="CE13" s="20">
        <v>42.76</v>
      </c>
      <c r="CF13" s="20">
        <v>42.76</v>
      </c>
      <c r="CG13" s="20">
        <v>42.76</v>
      </c>
      <c r="CH13" s="20">
        <v>42.76</v>
      </c>
      <c r="CI13" s="20">
        <v>42.76</v>
      </c>
      <c r="CJ13" s="20">
        <v>42.76</v>
      </c>
      <c r="CK13" s="20">
        <v>42.76</v>
      </c>
      <c r="CL13" s="20">
        <v>42.76</v>
      </c>
      <c r="CM13" s="20">
        <v>42.76</v>
      </c>
      <c r="CN13" s="20">
        <v>42.76</v>
      </c>
      <c r="CO13" s="20">
        <v>42.76</v>
      </c>
      <c r="CP13" s="20">
        <v>42.76</v>
      </c>
      <c r="CQ13" s="20">
        <v>42.76</v>
      </c>
      <c r="CR13" s="11"/>
      <c r="CS13" s="11"/>
      <c r="CT13" s="11"/>
      <c r="CU13" s="11"/>
      <c r="CV13" s="11"/>
      <c r="CW13" s="11"/>
      <c r="CX13" s="11"/>
      <c r="CY13" s="11"/>
      <c r="CZ13" s="11"/>
      <c r="DA13" s="11"/>
      <c r="DB13" s="11"/>
      <c r="DC13" s="11"/>
      <c r="DD13" s="11"/>
    </row>
    <row r="14" spans="1:108" ht="21.75" customHeight="1" x14ac:dyDescent="0.25">
      <c r="A14" s="6" t="s">
        <v>19</v>
      </c>
      <c r="B14" s="7" t="s">
        <v>20</v>
      </c>
      <c r="C14" s="8" t="s">
        <v>317</v>
      </c>
      <c r="D14" s="8" t="s">
        <v>204</v>
      </c>
      <c r="E14" s="8" t="s">
        <v>300</v>
      </c>
      <c r="F14" s="8" t="s">
        <v>318</v>
      </c>
      <c r="G14" s="8" t="s">
        <v>313</v>
      </c>
      <c r="H14" s="8" t="s">
        <v>303</v>
      </c>
      <c r="I14" s="8" t="s">
        <v>196</v>
      </c>
      <c r="J14" s="21">
        <v>90</v>
      </c>
      <c r="K14" s="21">
        <v>70</v>
      </c>
      <c r="L14" s="8"/>
      <c r="M14" s="8"/>
      <c r="N14" s="8"/>
      <c r="O14" s="8"/>
      <c r="P14" s="8"/>
      <c r="Q14" s="7"/>
      <c r="R14" s="8" t="s">
        <v>319</v>
      </c>
      <c r="S14" s="8"/>
      <c r="T14" s="8"/>
      <c r="U14" s="8"/>
      <c r="V14" s="8" t="s">
        <v>305</v>
      </c>
      <c r="W14" s="8" t="s">
        <v>306</v>
      </c>
      <c r="X14" s="21">
        <v>0</v>
      </c>
      <c r="Y14" s="8" t="b">
        <v>0</v>
      </c>
      <c r="Z14" s="8" t="b">
        <v>0</v>
      </c>
      <c r="AA14" s="8"/>
      <c r="AB14" s="8" t="s">
        <v>218</v>
      </c>
      <c r="AC14" s="8" t="s">
        <v>320</v>
      </c>
      <c r="AD14" s="8" t="s">
        <v>320</v>
      </c>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row>
    <row r="15" spans="1:108" ht="21.75" customHeight="1" x14ac:dyDescent="0.25">
      <c r="A15" s="6" t="s">
        <v>29</v>
      </c>
      <c r="B15" s="10" t="s">
        <v>30</v>
      </c>
      <c r="C15" s="11" t="s">
        <v>309</v>
      </c>
      <c r="D15" s="11" t="s">
        <v>299</v>
      </c>
      <c r="E15" s="11" t="s">
        <v>300</v>
      </c>
      <c r="F15" s="11" t="s">
        <v>301</v>
      </c>
      <c r="G15" s="11" t="s">
        <v>302</v>
      </c>
      <c r="H15" s="11" t="s">
        <v>303</v>
      </c>
      <c r="I15" s="11" t="s">
        <v>300</v>
      </c>
      <c r="J15" s="20">
        <v>90</v>
      </c>
      <c r="K15" s="20">
        <v>70</v>
      </c>
      <c r="L15" s="11"/>
      <c r="M15" s="11"/>
      <c r="N15" s="11"/>
      <c r="O15" s="11"/>
      <c r="P15" s="11"/>
      <c r="Q15" s="10" t="s">
        <v>310</v>
      </c>
      <c r="R15" s="11" t="s">
        <v>321</v>
      </c>
      <c r="S15" s="11"/>
      <c r="T15" s="11"/>
      <c r="U15" s="11"/>
      <c r="V15" s="11" t="s">
        <v>305</v>
      </c>
      <c r="W15" s="11" t="s">
        <v>306</v>
      </c>
      <c r="X15" s="20">
        <v>0</v>
      </c>
      <c r="Y15" s="11" t="b">
        <v>0</v>
      </c>
      <c r="Z15" s="11" t="b">
        <v>0</v>
      </c>
      <c r="AA15" s="11"/>
      <c r="AB15" s="11" t="s">
        <v>218</v>
      </c>
      <c r="AC15" s="11" t="s">
        <v>322</v>
      </c>
      <c r="AD15" s="11" t="s">
        <v>322</v>
      </c>
      <c r="AE15" s="20">
        <v>5</v>
      </c>
      <c r="AF15" s="20">
        <v>10</v>
      </c>
      <c r="AG15" s="20">
        <v>10</v>
      </c>
      <c r="AH15" s="20">
        <v>10</v>
      </c>
      <c r="AI15" s="20">
        <v>10</v>
      </c>
      <c r="AJ15" s="11"/>
      <c r="AK15" s="11"/>
      <c r="AL15" s="11"/>
      <c r="AM15" s="11"/>
      <c r="AN15" s="11"/>
      <c r="AO15" s="11"/>
      <c r="AP15" s="11"/>
      <c r="AQ15" s="11"/>
      <c r="AR15" s="11"/>
      <c r="AS15" s="11"/>
      <c r="AT15" s="11"/>
      <c r="AU15" s="20">
        <v>5</v>
      </c>
      <c r="AV15" s="11"/>
      <c r="AW15" s="11"/>
      <c r="AX15" s="11"/>
      <c r="AY15" s="11"/>
      <c r="AZ15" s="11"/>
      <c r="BA15" s="11"/>
      <c r="BB15" s="11"/>
      <c r="BC15" s="11"/>
      <c r="BD15" s="11"/>
      <c r="BE15" s="11"/>
      <c r="BF15" s="11"/>
      <c r="BG15" s="20">
        <v>10</v>
      </c>
      <c r="BH15" s="11"/>
      <c r="BI15" s="11"/>
      <c r="BJ15" s="11"/>
      <c r="BK15" s="11"/>
      <c r="BL15" s="11"/>
      <c r="BM15" s="11"/>
      <c r="BN15" s="11"/>
      <c r="BO15" s="11"/>
      <c r="BP15" s="11"/>
      <c r="BQ15" s="11"/>
      <c r="BR15" s="11"/>
      <c r="BS15" s="20">
        <v>10</v>
      </c>
      <c r="BT15" s="11"/>
      <c r="BU15" s="11"/>
      <c r="BV15" s="11"/>
      <c r="BW15" s="11"/>
      <c r="BX15" s="11"/>
      <c r="BY15" s="11"/>
      <c r="BZ15" s="11"/>
      <c r="CA15" s="11"/>
      <c r="CB15" s="11"/>
      <c r="CC15" s="11"/>
      <c r="CD15" s="11"/>
      <c r="CE15" s="20">
        <v>10</v>
      </c>
      <c r="CF15" s="11"/>
      <c r="CG15" s="11"/>
      <c r="CH15" s="11"/>
      <c r="CI15" s="11"/>
      <c r="CJ15" s="11"/>
      <c r="CK15" s="11"/>
      <c r="CL15" s="11"/>
      <c r="CM15" s="11"/>
      <c r="CN15" s="11"/>
      <c r="CO15" s="11"/>
      <c r="CP15" s="11"/>
      <c r="CQ15" s="20">
        <v>10</v>
      </c>
      <c r="CR15" s="11"/>
      <c r="CS15" s="11"/>
      <c r="CT15" s="11"/>
      <c r="CU15" s="11"/>
      <c r="CV15" s="11"/>
      <c r="CW15" s="11"/>
      <c r="CX15" s="11"/>
      <c r="CY15" s="11"/>
      <c r="CZ15" s="11"/>
      <c r="DA15" s="11"/>
      <c r="DB15" s="11"/>
      <c r="DC15" s="11"/>
      <c r="DD15" s="11"/>
    </row>
    <row r="16" spans="1:108" ht="21.75" customHeight="1" x14ac:dyDescent="0.25">
      <c r="A16" s="6" t="s">
        <v>29</v>
      </c>
      <c r="B16" s="7" t="s">
        <v>30</v>
      </c>
      <c r="C16" s="8" t="s">
        <v>309</v>
      </c>
      <c r="D16" s="8" t="s">
        <v>308</v>
      </c>
      <c r="E16" s="8" t="s">
        <v>300</v>
      </c>
      <c r="F16" s="8" t="s">
        <v>301</v>
      </c>
      <c r="G16" s="8" t="s">
        <v>302</v>
      </c>
      <c r="H16" s="8" t="s">
        <v>303</v>
      </c>
      <c r="I16" s="8" t="s">
        <v>300</v>
      </c>
      <c r="J16" s="21">
        <v>90</v>
      </c>
      <c r="K16" s="21">
        <v>70</v>
      </c>
      <c r="L16" s="8"/>
      <c r="M16" s="8"/>
      <c r="N16" s="8"/>
      <c r="O16" s="8"/>
      <c r="P16" s="8"/>
      <c r="Q16" s="7" t="s">
        <v>310</v>
      </c>
      <c r="R16" s="8" t="s">
        <v>321</v>
      </c>
      <c r="S16" s="8"/>
      <c r="T16" s="8"/>
      <c r="U16" s="8"/>
      <c r="V16" s="8" t="s">
        <v>305</v>
      </c>
      <c r="W16" s="8" t="s">
        <v>306</v>
      </c>
      <c r="X16" s="21">
        <v>0</v>
      </c>
      <c r="Y16" s="8" t="b">
        <v>0</v>
      </c>
      <c r="Z16" s="8" t="b">
        <v>0</v>
      </c>
      <c r="AA16" s="8"/>
      <c r="AB16" s="8" t="s">
        <v>218</v>
      </c>
      <c r="AC16" s="8" t="s">
        <v>322</v>
      </c>
      <c r="AD16" s="8" t="s">
        <v>322</v>
      </c>
      <c r="AE16" s="21">
        <v>10</v>
      </c>
      <c r="AF16" s="21">
        <v>15</v>
      </c>
      <c r="AG16" s="21">
        <v>15</v>
      </c>
      <c r="AH16" s="21">
        <v>15</v>
      </c>
      <c r="AI16" s="21">
        <v>15</v>
      </c>
      <c r="AJ16" s="8"/>
      <c r="AK16" s="8"/>
      <c r="AL16" s="8"/>
      <c r="AM16" s="8"/>
      <c r="AN16" s="8"/>
      <c r="AO16" s="8"/>
      <c r="AP16" s="8"/>
      <c r="AQ16" s="8"/>
      <c r="AR16" s="8"/>
      <c r="AS16" s="8"/>
      <c r="AT16" s="8"/>
      <c r="AU16" s="21">
        <v>10</v>
      </c>
      <c r="AV16" s="8"/>
      <c r="AW16" s="8"/>
      <c r="AX16" s="8"/>
      <c r="AY16" s="8"/>
      <c r="AZ16" s="8"/>
      <c r="BA16" s="8"/>
      <c r="BB16" s="8"/>
      <c r="BC16" s="8"/>
      <c r="BD16" s="8"/>
      <c r="BE16" s="8"/>
      <c r="BF16" s="8"/>
      <c r="BG16" s="21">
        <v>15</v>
      </c>
      <c r="BH16" s="8"/>
      <c r="BI16" s="8"/>
      <c r="BJ16" s="8"/>
      <c r="BK16" s="8"/>
      <c r="BL16" s="8"/>
      <c r="BM16" s="8"/>
      <c r="BN16" s="8"/>
      <c r="BO16" s="8"/>
      <c r="BP16" s="8"/>
      <c r="BQ16" s="8"/>
      <c r="BR16" s="8"/>
      <c r="BS16" s="21">
        <v>15</v>
      </c>
      <c r="BT16" s="8"/>
      <c r="BU16" s="8"/>
      <c r="BV16" s="8"/>
      <c r="BW16" s="8"/>
      <c r="BX16" s="8"/>
      <c r="BY16" s="8"/>
      <c r="BZ16" s="8"/>
      <c r="CA16" s="8"/>
      <c r="CB16" s="8"/>
      <c r="CC16" s="8"/>
      <c r="CD16" s="8"/>
      <c r="CE16" s="21">
        <v>15</v>
      </c>
      <c r="CF16" s="8"/>
      <c r="CG16" s="8"/>
      <c r="CH16" s="8"/>
      <c r="CI16" s="8"/>
      <c r="CJ16" s="8"/>
      <c r="CK16" s="8"/>
      <c r="CL16" s="8"/>
      <c r="CM16" s="8"/>
      <c r="CN16" s="8"/>
      <c r="CO16" s="8"/>
      <c r="CP16" s="8"/>
      <c r="CQ16" s="21">
        <v>15</v>
      </c>
      <c r="CR16" s="8"/>
      <c r="CS16" s="8"/>
      <c r="CT16" s="8"/>
      <c r="CU16" s="8"/>
      <c r="CV16" s="8"/>
      <c r="CW16" s="8"/>
      <c r="CX16" s="8"/>
      <c r="CY16" s="8"/>
      <c r="CZ16" s="8"/>
      <c r="DA16" s="8"/>
      <c r="DB16" s="8"/>
      <c r="DC16" s="8"/>
      <c r="DD16" s="8"/>
    </row>
    <row r="17" spans="1:108" ht="21.75" customHeight="1" x14ac:dyDescent="0.25">
      <c r="A17" s="6" t="s">
        <v>29</v>
      </c>
      <c r="B17" s="10" t="s">
        <v>30</v>
      </c>
      <c r="C17" s="11" t="s">
        <v>309</v>
      </c>
      <c r="D17" s="11" t="s">
        <v>204</v>
      </c>
      <c r="E17" s="11" t="s">
        <v>300</v>
      </c>
      <c r="F17" s="11" t="s">
        <v>301</v>
      </c>
      <c r="G17" s="11" t="s">
        <v>302</v>
      </c>
      <c r="H17" s="11" t="s">
        <v>303</v>
      </c>
      <c r="I17" s="11" t="s">
        <v>300</v>
      </c>
      <c r="J17" s="20">
        <v>90</v>
      </c>
      <c r="K17" s="20">
        <v>70</v>
      </c>
      <c r="L17" s="11"/>
      <c r="M17" s="11"/>
      <c r="N17" s="11"/>
      <c r="O17" s="11"/>
      <c r="P17" s="11"/>
      <c r="Q17" s="10" t="s">
        <v>310</v>
      </c>
      <c r="R17" s="11" t="s">
        <v>321</v>
      </c>
      <c r="S17" s="11"/>
      <c r="T17" s="11"/>
      <c r="U17" s="11"/>
      <c r="V17" s="11" t="s">
        <v>305</v>
      </c>
      <c r="W17" s="11" t="s">
        <v>306</v>
      </c>
      <c r="X17" s="20">
        <v>0</v>
      </c>
      <c r="Y17" s="11" t="b">
        <v>0</v>
      </c>
      <c r="Z17" s="11" t="b">
        <v>0</v>
      </c>
      <c r="AA17" s="11"/>
      <c r="AB17" s="11" t="s">
        <v>218</v>
      </c>
      <c r="AC17" s="11" t="s">
        <v>322</v>
      </c>
      <c r="AD17" s="11" t="s">
        <v>322</v>
      </c>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1"/>
      <c r="CA17" s="11"/>
      <c r="CB17" s="11"/>
      <c r="CC17" s="11"/>
      <c r="CD17" s="11"/>
      <c r="CE17" s="11"/>
      <c r="CF17" s="11"/>
      <c r="CG17" s="11"/>
      <c r="CH17" s="11"/>
      <c r="CI17" s="11"/>
      <c r="CJ17" s="11"/>
      <c r="CK17" s="11"/>
      <c r="CL17" s="11"/>
      <c r="CM17" s="11"/>
      <c r="CN17" s="11"/>
      <c r="CO17" s="11"/>
      <c r="CP17" s="11"/>
      <c r="CQ17" s="11"/>
      <c r="CR17" s="11"/>
      <c r="CS17" s="11"/>
      <c r="CT17" s="11"/>
      <c r="CU17" s="11"/>
      <c r="CV17" s="11"/>
      <c r="CW17" s="11"/>
      <c r="CX17" s="11"/>
      <c r="CY17" s="11"/>
      <c r="CZ17" s="11"/>
      <c r="DA17" s="11"/>
      <c r="DB17" s="11"/>
      <c r="DC17" s="11"/>
      <c r="DD17" s="11"/>
    </row>
    <row r="18" spans="1:108" ht="21.75" customHeight="1" x14ac:dyDescent="0.25">
      <c r="A18" s="6" t="s">
        <v>29</v>
      </c>
      <c r="B18" s="7" t="s">
        <v>30</v>
      </c>
      <c r="C18" s="8" t="s">
        <v>206</v>
      </c>
      <c r="D18" s="8" t="s">
        <v>299</v>
      </c>
      <c r="E18" s="8" t="s">
        <v>300</v>
      </c>
      <c r="F18" s="8" t="s">
        <v>301</v>
      </c>
      <c r="G18" s="8" t="s">
        <v>313</v>
      </c>
      <c r="H18" s="8" t="s">
        <v>303</v>
      </c>
      <c r="I18" s="8" t="s">
        <v>314</v>
      </c>
      <c r="J18" s="21">
        <v>90</v>
      </c>
      <c r="K18" s="21">
        <v>70</v>
      </c>
      <c r="L18" s="8"/>
      <c r="M18" s="8"/>
      <c r="N18" s="8"/>
      <c r="O18" s="8"/>
      <c r="P18" s="8"/>
      <c r="Q18" s="7"/>
      <c r="R18" s="8" t="s">
        <v>323</v>
      </c>
      <c r="S18" s="8"/>
      <c r="T18" s="8"/>
      <c r="U18" s="8"/>
      <c r="V18" s="8" t="s">
        <v>305</v>
      </c>
      <c r="W18" s="8" t="s">
        <v>306</v>
      </c>
      <c r="X18" s="21">
        <v>0</v>
      </c>
      <c r="Y18" s="8" t="b">
        <v>0</v>
      </c>
      <c r="Z18" s="8" t="b">
        <v>0</v>
      </c>
      <c r="AA18" s="8"/>
      <c r="AB18" s="8" t="s">
        <v>218</v>
      </c>
      <c r="AC18" s="8" t="s">
        <v>324</v>
      </c>
      <c r="AD18" s="8" t="s">
        <v>324</v>
      </c>
      <c r="AE18" s="21">
        <v>58.8</v>
      </c>
      <c r="AF18" s="21">
        <v>62.9</v>
      </c>
      <c r="AG18" s="21">
        <v>65</v>
      </c>
      <c r="AH18" s="21">
        <v>65</v>
      </c>
      <c r="AI18" s="21">
        <v>65</v>
      </c>
      <c r="AJ18" s="8"/>
      <c r="AK18" s="8"/>
      <c r="AL18" s="8"/>
      <c r="AM18" s="8"/>
      <c r="AN18" s="8"/>
      <c r="AO18" s="8"/>
      <c r="AP18" s="8"/>
      <c r="AQ18" s="8"/>
      <c r="AR18" s="8"/>
      <c r="AS18" s="8"/>
      <c r="AT18" s="8"/>
      <c r="AU18" s="21">
        <v>58.8</v>
      </c>
      <c r="AV18" s="8"/>
      <c r="AW18" s="8"/>
      <c r="AX18" s="8"/>
      <c r="AY18" s="8"/>
      <c r="AZ18" s="8"/>
      <c r="BA18" s="8"/>
      <c r="BB18" s="8"/>
      <c r="BC18" s="8"/>
      <c r="BD18" s="8"/>
      <c r="BE18" s="8"/>
      <c r="BF18" s="8"/>
      <c r="BG18" s="21">
        <v>62.9</v>
      </c>
      <c r="BH18" s="8"/>
      <c r="BI18" s="8"/>
      <c r="BJ18" s="8"/>
      <c r="BK18" s="8"/>
      <c r="BL18" s="8"/>
      <c r="BM18" s="8"/>
      <c r="BN18" s="8"/>
      <c r="BO18" s="8"/>
      <c r="BP18" s="8"/>
      <c r="BQ18" s="8"/>
      <c r="BR18" s="8"/>
      <c r="BS18" s="21">
        <v>65</v>
      </c>
      <c r="BT18" s="8"/>
      <c r="BU18" s="8"/>
      <c r="BV18" s="8"/>
      <c r="BW18" s="8"/>
      <c r="BX18" s="8"/>
      <c r="BY18" s="8"/>
      <c r="BZ18" s="8"/>
      <c r="CA18" s="8"/>
      <c r="CB18" s="8"/>
      <c r="CC18" s="8"/>
      <c r="CD18" s="8"/>
      <c r="CE18" s="21">
        <v>65</v>
      </c>
      <c r="CF18" s="8"/>
      <c r="CG18" s="8"/>
      <c r="CH18" s="8"/>
      <c r="CI18" s="8"/>
      <c r="CJ18" s="8"/>
      <c r="CK18" s="8"/>
      <c r="CL18" s="8"/>
      <c r="CM18" s="8"/>
      <c r="CN18" s="8"/>
      <c r="CO18" s="8"/>
      <c r="CP18" s="8"/>
      <c r="CQ18" s="21">
        <v>65</v>
      </c>
      <c r="CR18" s="8"/>
      <c r="CS18" s="8"/>
      <c r="CT18" s="8"/>
      <c r="CU18" s="8"/>
      <c r="CV18" s="8"/>
      <c r="CW18" s="8"/>
      <c r="CX18" s="8"/>
      <c r="CY18" s="8"/>
      <c r="CZ18" s="8"/>
      <c r="DA18" s="8"/>
      <c r="DB18" s="8"/>
      <c r="DC18" s="8"/>
      <c r="DD18" s="8"/>
    </row>
    <row r="19" spans="1:108" ht="21.75" customHeight="1" x14ac:dyDescent="0.25">
      <c r="A19" s="6" t="s">
        <v>29</v>
      </c>
      <c r="B19" s="10" t="s">
        <v>30</v>
      </c>
      <c r="C19" s="11" t="s">
        <v>206</v>
      </c>
      <c r="D19" s="11" t="s">
        <v>308</v>
      </c>
      <c r="E19" s="11" t="s">
        <v>300</v>
      </c>
      <c r="F19" s="11" t="s">
        <v>301</v>
      </c>
      <c r="G19" s="11" t="s">
        <v>313</v>
      </c>
      <c r="H19" s="11" t="s">
        <v>303</v>
      </c>
      <c r="I19" s="11" t="s">
        <v>314</v>
      </c>
      <c r="J19" s="20">
        <v>90</v>
      </c>
      <c r="K19" s="20">
        <v>70</v>
      </c>
      <c r="L19" s="11"/>
      <c r="M19" s="11"/>
      <c r="N19" s="11"/>
      <c r="O19" s="11"/>
      <c r="P19" s="11"/>
      <c r="Q19" s="10"/>
      <c r="R19" s="11" t="s">
        <v>323</v>
      </c>
      <c r="S19" s="11"/>
      <c r="T19" s="11"/>
      <c r="U19" s="11"/>
      <c r="V19" s="11" t="s">
        <v>305</v>
      </c>
      <c r="W19" s="11" t="s">
        <v>306</v>
      </c>
      <c r="X19" s="20">
        <v>0</v>
      </c>
      <c r="Y19" s="11" t="b">
        <v>0</v>
      </c>
      <c r="Z19" s="11" t="b">
        <v>0</v>
      </c>
      <c r="AA19" s="11"/>
      <c r="AB19" s="11" t="s">
        <v>218</v>
      </c>
      <c r="AC19" s="11" t="s">
        <v>324</v>
      </c>
      <c r="AD19" s="11" t="s">
        <v>324</v>
      </c>
      <c r="AE19" s="20">
        <v>58.8</v>
      </c>
      <c r="AF19" s="20">
        <v>64.400000000000006</v>
      </c>
      <c r="AG19" s="20">
        <v>67</v>
      </c>
      <c r="AH19" s="20">
        <v>67</v>
      </c>
      <c r="AI19" s="20">
        <v>67</v>
      </c>
      <c r="AJ19" s="11"/>
      <c r="AK19" s="11"/>
      <c r="AL19" s="11"/>
      <c r="AM19" s="11"/>
      <c r="AN19" s="11"/>
      <c r="AO19" s="11"/>
      <c r="AP19" s="11"/>
      <c r="AQ19" s="11"/>
      <c r="AR19" s="11"/>
      <c r="AS19" s="11"/>
      <c r="AT19" s="11"/>
      <c r="AU19" s="20">
        <v>58.8</v>
      </c>
      <c r="AV19" s="11"/>
      <c r="AW19" s="11"/>
      <c r="AX19" s="11"/>
      <c r="AY19" s="11"/>
      <c r="AZ19" s="11"/>
      <c r="BA19" s="11"/>
      <c r="BB19" s="11"/>
      <c r="BC19" s="11"/>
      <c r="BD19" s="11"/>
      <c r="BE19" s="11"/>
      <c r="BF19" s="11"/>
      <c r="BG19" s="20">
        <v>64.400000000000006</v>
      </c>
      <c r="BH19" s="11"/>
      <c r="BI19" s="11"/>
      <c r="BJ19" s="11"/>
      <c r="BK19" s="11"/>
      <c r="BL19" s="11"/>
      <c r="BM19" s="11"/>
      <c r="BN19" s="11"/>
      <c r="BO19" s="11"/>
      <c r="BP19" s="11"/>
      <c r="BQ19" s="11"/>
      <c r="BR19" s="11"/>
      <c r="BS19" s="20">
        <v>67</v>
      </c>
      <c r="BT19" s="11"/>
      <c r="BU19" s="11"/>
      <c r="BV19" s="11"/>
      <c r="BW19" s="11"/>
      <c r="BX19" s="11"/>
      <c r="BY19" s="11"/>
      <c r="BZ19" s="11"/>
      <c r="CA19" s="11"/>
      <c r="CB19" s="11"/>
      <c r="CC19" s="11"/>
      <c r="CD19" s="11"/>
      <c r="CE19" s="20">
        <v>67</v>
      </c>
      <c r="CF19" s="11"/>
      <c r="CG19" s="11"/>
      <c r="CH19" s="11"/>
      <c r="CI19" s="11"/>
      <c r="CJ19" s="11"/>
      <c r="CK19" s="11"/>
      <c r="CL19" s="11"/>
      <c r="CM19" s="11"/>
      <c r="CN19" s="11"/>
      <c r="CO19" s="11"/>
      <c r="CP19" s="11"/>
      <c r="CQ19" s="20">
        <v>67</v>
      </c>
      <c r="CR19" s="11"/>
      <c r="CS19" s="11"/>
      <c r="CT19" s="11"/>
      <c r="CU19" s="11"/>
      <c r="CV19" s="11"/>
      <c r="CW19" s="11"/>
      <c r="CX19" s="11"/>
      <c r="CY19" s="11"/>
      <c r="CZ19" s="11"/>
      <c r="DA19" s="11"/>
      <c r="DB19" s="11"/>
      <c r="DC19" s="11"/>
      <c r="DD19" s="11"/>
    </row>
    <row r="20" spans="1:108" ht="21.75" customHeight="1" x14ac:dyDescent="0.25">
      <c r="A20" s="6" t="s">
        <v>29</v>
      </c>
      <c r="B20" s="7" t="s">
        <v>30</v>
      </c>
      <c r="C20" s="8" t="s">
        <v>206</v>
      </c>
      <c r="D20" s="8" t="s">
        <v>204</v>
      </c>
      <c r="E20" s="8" t="s">
        <v>300</v>
      </c>
      <c r="F20" s="8" t="s">
        <v>301</v>
      </c>
      <c r="G20" s="8" t="s">
        <v>313</v>
      </c>
      <c r="H20" s="8" t="s">
        <v>303</v>
      </c>
      <c r="I20" s="8" t="s">
        <v>314</v>
      </c>
      <c r="J20" s="21">
        <v>90</v>
      </c>
      <c r="K20" s="21">
        <v>70</v>
      </c>
      <c r="L20" s="8"/>
      <c r="M20" s="8"/>
      <c r="N20" s="8"/>
      <c r="O20" s="8"/>
      <c r="P20" s="8"/>
      <c r="Q20" s="7"/>
      <c r="R20" s="8" t="s">
        <v>323</v>
      </c>
      <c r="S20" s="8"/>
      <c r="T20" s="8"/>
      <c r="U20" s="8"/>
      <c r="V20" s="8" t="s">
        <v>305</v>
      </c>
      <c r="W20" s="8" t="s">
        <v>306</v>
      </c>
      <c r="X20" s="21">
        <v>0</v>
      </c>
      <c r="Y20" s="8" t="b">
        <v>0</v>
      </c>
      <c r="Z20" s="8" t="b">
        <v>0</v>
      </c>
      <c r="AA20" s="8"/>
      <c r="AB20" s="8" t="s">
        <v>218</v>
      </c>
      <c r="AC20" s="8" t="s">
        <v>324</v>
      </c>
      <c r="AD20" s="8" t="s">
        <v>324</v>
      </c>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row>
    <row r="21" spans="1:108" ht="21.75" customHeight="1" x14ac:dyDescent="0.25">
      <c r="A21" s="6" t="s">
        <v>29</v>
      </c>
      <c r="B21" s="10" t="s">
        <v>30</v>
      </c>
      <c r="C21" s="11" t="s">
        <v>317</v>
      </c>
      <c r="D21" s="11" t="s">
        <v>299</v>
      </c>
      <c r="E21" s="11" t="s">
        <v>300</v>
      </c>
      <c r="F21" s="11" t="s">
        <v>318</v>
      </c>
      <c r="G21" s="11" t="s">
        <v>313</v>
      </c>
      <c r="H21" s="11" t="s">
        <v>303</v>
      </c>
      <c r="I21" s="11" t="s">
        <v>196</v>
      </c>
      <c r="J21" s="20">
        <v>90</v>
      </c>
      <c r="K21" s="20">
        <v>70</v>
      </c>
      <c r="L21" s="11"/>
      <c r="M21" s="11"/>
      <c r="N21" s="11"/>
      <c r="O21" s="11"/>
      <c r="P21" s="11"/>
      <c r="Q21" s="10"/>
      <c r="R21" s="11" t="s">
        <v>325</v>
      </c>
      <c r="S21" s="11"/>
      <c r="T21" s="11"/>
      <c r="U21" s="11"/>
      <c r="V21" s="11" t="s">
        <v>305</v>
      </c>
      <c r="W21" s="11" t="s">
        <v>306</v>
      </c>
      <c r="X21" s="20">
        <v>0</v>
      </c>
      <c r="Y21" s="11" t="b">
        <v>0</v>
      </c>
      <c r="Z21" s="11" t="b">
        <v>0</v>
      </c>
      <c r="AA21" s="11"/>
      <c r="AB21" s="11" t="s">
        <v>218</v>
      </c>
      <c r="AC21" s="11" t="s">
        <v>326</v>
      </c>
      <c r="AD21" s="11" t="s">
        <v>326</v>
      </c>
      <c r="AE21" s="20">
        <v>501.6</v>
      </c>
      <c r="AF21" s="20">
        <v>556.79999999999995</v>
      </c>
      <c r="AG21" s="20">
        <v>590</v>
      </c>
      <c r="AH21" s="20">
        <v>590</v>
      </c>
      <c r="AI21" s="20">
        <v>590</v>
      </c>
      <c r="AJ21" s="11"/>
      <c r="AK21" s="11"/>
      <c r="AL21" s="11"/>
      <c r="AM21" s="11"/>
      <c r="AN21" s="11"/>
      <c r="AO21" s="11"/>
      <c r="AP21" s="11"/>
      <c r="AQ21" s="11"/>
      <c r="AR21" s="11"/>
      <c r="AS21" s="11"/>
      <c r="AT21" s="11"/>
      <c r="AU21" s="20">
        <v>501.6</v>
      </c>
      <c r="AV21" s="11"/>
      <c r="AW21" s="11"/>
      <c r="AX21" s="11"/>
      <c r="AY21" s="11"/>
      <c r="AZ21" s="11"/>
      <c r="BA21" s="11"/>
      <c r="BB21" s="11"/>
      <c r="BC21" s="11"/>
      <c r="BD21" s="11"/>
      <c r="BE21" s="11"/>
      <c r="BF21" s="11"/>
      <c r="BG21" s="20">
        <v>556.79999999999995</v>
      </c>
      <c r="BH21" s="11"/>
      <c r="BI21" s="11"/>
      <c r="BJ21" s="11"/>
      <c r="BK21" s="11"/>
      <c r="BL21" s="11"/>
      <c r="BM21" s="11"/>
      <c r="BN21" s="11"/>
      <c r="BO21" s="11"/>
      <c r="BP21" s="11"/>
      <c r="BQ21" s="11"/>
      <c r="BR21" s="11"/>
      <c r="BS21" s="20">
        <v>590</v>
      </c>
      <c r="BT21" s="11"/>
      <c r="BU21" s="11"/>
      <c r="BV21" s="11"/>
      <c r="BW21" s="11"/>
      <c r="BX21" s="11"/>
      <c r="BY21" s="11"/>
      <c r="BZ21" s="11"/>
      <c r="CA21" s="11"/>
      <c r="CB21" s="11"/>
      <c r="CC21" s="11"/>
      <c r="CD21" s="11"/>
      <c r="CE21" s="20">
        <v>590</v>
      </c>
      <c r="CF21" s="11"/>
      <c r="CG21" s="11"/>
      <c r="CH21" s="11"/>
      <c r="CI21" s="11"/>
      <c r="CJ21" s="11"/>
      <c r="CK21" s="11"/>
      <c r="CL21" s="11"/>
      <c r="CM21" s="11"/>
      <c r="CN21" s="11"/>
      <c r="CO21" s="11"/>
      <c r="CP21" s="11"/>
      <c r="CQ21" s="20">
        <v>590</v>
      </c>
      <c r="CR21" s="11"/>
      <c r="CS21" s="11"/>
      <c r="CT21" s="11"/>
      <c r="CU21" s="11"/>
      <c r="CV21" s="11"/>
      <c r="CW21" s="11"/>
      <c r="CX21" s="11"/>
      <c r="CY21" s="11"/>
      <c r="CZ21" s="11"/>
      <c r="DA21" s="11"/>
      <c r="DB21" s="11"/>
      <c r="DC21" s="11"/>
      <c r="DD21" s="11"/>
    </row>
    <row r="22" spans="1:108" ht="21.75" customHeight="1" x14ac:dyDescent="0.25">
      <c r="A22" s="6" t="s">
        <v>29</v>
      </c>
      <c r="B22" s="7" t="s">
        <v>30</v>
      </c>
      <c r="C22" s="8" t="s">
        <v>317</v>
      </c>
      <c r="D22" s="8" t="s">
        <v>308</v>
      </c>
      <c r="E22" s="8" t="s">
        <v>300</v>
      </c>
      <c r="F22" s="8" t="s">
        <v>318</v>
      </c>
      <c r="G22" s="8" t="s">
        <v>313</v>
      </c>
      <c r="H22" s="8" t="s">
        <v>303</v>
      </c>
      <c r="I22" s="8" t="s">
        <v>196</v>
      </c>
      <c r="J22" s="21">
        <v>90</v>
      </c>
      <c r="K22" s="21">
        <v>70</v>
      </c>
      <c r="L22" s="8"/>
      <c r="M22" s="8"/>
      <c r="N22" s="8"/>
      <c r="O22" s="8"/>
      <c r="P22" s="8"/>
      <c r="Q22" s="7"/>
      <c r="R22" s="8" t="s">
        <v>325</v>
      </c>
      <c r="S22" s="8"/>
      <c r="T22" s="8"/>
      <c r="U22" s="8"/>
      <c r="V22" s="8" t="s">
        <v>305</v>
      </c>
      <c r="W22" s="8" t="s">
        <v>306</v>
      </c>
      <c r="X22" s="21">
        <v>0</v>
      </c>
      <c r="Y22" s="8" t="b">
        <v>0</v>
      </c>
      <c r="Z22" s="8" t="b">
        <v>0</v>
      </c>
      <c r="AA22" s="8"/>
      <c r="AB22" s="8" t="s">
        <v>218</v>
      </c>
      <c r="AC22" s="8" t="s">
        <v>326</v>
      </c>
      <c r="AD22" s="8" t="s">
        <v>326</v>
      </c>
      <c r="AE22" s="21">
        <v>501.6</v>
      </c>
      <c r="AF22" s="21">
        <v>579.79999999999995</v>
      </c>
      <c r="AG22" s="21">
        <v>626.79999999999995</v>
      </c>
      <c r="AH22" s="21">
        <v>626.79999999999995</v>
      </c>
      <c r="AI22" s="21">
        <v>626.79999999999995</v>
      </c>
      <c r="AJ22" s="8"/>
      <c r="AK22" s="8"/>
      <c r="AL22" s="8"/>
      <c r="AM22" s="8"/>
      <c r="AN22" s="8"/>
      <c r="AO22" s="8"/>
      <c r="AP22" s="8"/>
      <c r="AQ22" s="8"/>
      <c r="AR22" s="8"/>
      <c r="AS22" s="8"/>
      <c r="AT22" s="8"/>
      <c r="AU22" s="21">
        <v>501.6</v>
      </c>
      <c r="AV22" s="8"/>
      <c r="AW22" s="8"/>
      <c r="AX22" s="8"/>
      <c r="AY22" s="8"/>
      <c r="AZ22" s="8"/>
      <c r="BA22" s="8"/>
      <c r="BB22" s="8"/>
      <c r="BC22" s="8"/>
      <c r="BD22" s="8"/>
      <c r="BE22" s="8"/>
      <c r="BF22" s="8"/>
      <c r="BG22" s="21">
        <v>579.79999999999995</v>
      </c>
      <c r="BH22" s="8"/>
      <c r="BI22" s="8"/>
      <c r="BJ22" s="8"/>
      <c r="BK22" s="8"/>
      <c r="BL22" s="8"/>
      <c r="BM22" s="8"/>
      <c r="BN22" s="8"/>
      <c r="BO22" s="8"/>
      <c r="BP22" s="8"/>
      <c r="BQ22" s="8"/>
      <c r="BR22" s="8"/>
      <c r="BS22" s="21">
        <v>626.79999999999995</v>
      </c>
      <c r="BT22" s="8"/>
      <c r="BU22" s="8"/>
      <c r="BV22" s="8"/>
      <c r="BW22" s="8"/>
      <c r="BX22" s="8"/>
      <c r="BY22" s="8"/>
      <c r="BZ22" s="8"/>
      <c r="CA22" s="8"/>
      <c r="CB22" s="8"/>
      <c r="CC22" s="8"/>
      <c r="CD22" s="8"/>
      <c r="CE22" s="21">
        <v>626.79999999999995</v>
      </c>
      <c r="CF22" s="8"/>
      <c r="CG22" s="8"/>
      <c r="CH22" s="8"/>
      <c r="CI22" s="8"/>
      <c r="CJ22" s="8"/>
      <c r="CK22" s="8"/>
      <c r="CL22" s="8"/>
      <c r="CM22" s="8"/>
      <c r="CN22" s="8"/>
      <c r="CO22" s="8"/>
      <c r="CP22" s="8"/>
      <c r="CQ22" s="21">
        <v>626.79999999999995</v>
      </c>
      <c r="CR22" s="8"/>
      <c r="CS22" s="8"/>
      <c r="CT22" s="8"/>
      <c r="CU22" s="8"/>
      <c r="CV22" s="8"/>
      <c r="CW22" s="8"/>
      <c r="CX22" s="8"/>
      <c r="CY22" s="8"/>
      <c r="CZ22" s="8"/>
      <c r="DA22" s="8"/>
      <c r="DB22" s="8"/>
      <c r="DC22" s="8"/>
      <c r="DD22" s="8"/>
    </row>
    <row r="23" spans="1:108" ht="21.75" customHeight="1" x14ac:dyDescent="0.25">
      <c r="A23" s="6" t="s">
        <v>29</v>
      </c>
      <c r="B23" s="10" t="s">
        <v>30</v>
      </c>
      <c r="C23" s="11" t="s">
        <v>317</v>
      </c>
      <c r="D23" s="11" t="s">
        <v>204</v>
      </c>
      <c r="E23" s="11" t="s">
        <v>300</v>
      </c>
      <c r="F23" s="11" t="s">
        <v>318</v>
      </c>
      <c r="G23" s="11" t="s">
        <v>313</v>
      </c>
      <c r="H23" s="11" t="s">
        <v>303</v>
      </c>
      <c r="I23" s="11" t="s">
        <v>196</v>
      </c>
      <c r="J23" s="20">
        <v>90</v>
      </c>
      <c r="K23" s="20">
        <v>70</v>
      </c>
      <c r="L23" s="11"/>
      <c r="M23" s="11"/>
      <c r="N23" s="11"/>
      <c r="O23" s="11"/>
      <c r="P23" s="11"/>
      <c r="Q23" s="10"/>
      <c r="R23" s="11" t="s">
        <v>325</v>
      </c>
      <c r="S23" s="11"/>
      <c r="T23" s="11"/>
      <c r="U23" s="11"/>
      <c r="V23" s="11" t="s">
        <v>305</v>
      </c>
      <c r="W23" s="11" t="s">
        <v>306</v>
      </c>
      <c r="X23" s="20">
        <v>0</v>
      </c>
      <c r="Y23" s="11" t="b">
        <v>0</v>
      </c>
      <c r="Z23" s="11" t="b">
        <v>0</v>
      </c>
      <c r="AA23" s="11"/>
      <c r="AB23" s="11" t="s">
        <v>218</v>
      </c>
      <c r="AC23" s="11" t="s">
        <v>326</v>
      </c>
      <c r="AD23" s="11" t="s">
        <v>326</v>
      </c>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1"/>
      <c r="CA23" s="11"/>
      <c r="CB23" s="11"/>
      <c r="CC23" s="11"/>
      <c r="CD23" s="11"/>
      <c r="CE23" s="11"/>
      <c r="CF23" s="11"/>
      <c r="CG23" s="11"/>
      <c r="CH23" s="11"/>
      <c r="CI23" s="11"/>
      <c r="CJ23" s="11"/>
      <c r="CK23" s="11"/>
      <c r="CL23" s="11"/>
      <c r="CM23" s="11"/>
      <c r="CN23" s="11"/>
      <c r="CO23" s="11"/>
      <c r="CP23" s="11"/>
      <c r="CQ23" s="11"/>
      <c r="CR23" s="11"/>
      <c r="CS23" s="11"/>
      <c r="CT23" s="11"/>
      <c r="CU23" s="11"/>
      <c r="CV23" s="11"/>
      <c r="CW23" s="11"/>
      <c r="CX23" s="11"/>
      <c r="CY23" s="11"/>
      <c r="CZ23" s="11"/>
      <c r="DA23" s="11"/>
      <c r="DB23" s="11"/>
      <c r="DC23" s="11"/>
      <c r="DD23" s="11"/>
    </row>
    <row r="24" spans="1:108" ht="21.75" customHeight="1" x14ac:dyDescent="0.25">
      <c r="A24" s="6" t="s">
        <v>32</v>
      </c>
      <c r="B24" s="7" t="s">
        <v>656</v>
      </c>
      <c r="C24" s="8" t="s">
        <v>327</v>
      </c>
      <c r="D24" s="8" t="s">
        <v>299</v>
      </c>
      <c r="E24" s="8" t="s">
        <v>300</v>
      </c>
      <c r="F24" s="8" t="s">
        <v>318</v>
      </c>
      <c r="G24" s="8" t="s">
        <v>313</v>
      </c>
      <c r="H24" s="8" t="s">
        <v>303</v>
      </c>
      <c r="I24" s="8" t="s">
        <v>196</v>
      </c>
      <c r="J24" s="21">
        <v>90</v>
      </c>
      <c r="K24" s="21">
        <v>70</v>
      </c>
      <c r="L24" s="8"/>
      <c r="M24" s="8"/>
      <c r="N24" s="8"/>
      <c r="O24" s="8"/>
      <c r="P24" s="8"/>
      <c r="Q24" s="7"/>
      <c r="R24" s="8" t="s">
        <v>328</v>
      </c>
      <c r="S24" s="8"/>
      <c r="T24" s="8"/>
      <c r="U24" s="8"/>
      <c r="V24" s="8" t="s">
        <v>305</v>
      </c>
      <c r="W24" s="8" t="s">
        <v>306</v>
      </c>
      <c r="X24" s="21">
        <v>0</v>
      </c>
      <c r="Y24" s="8" t="b">
        <v>0</v>
      </c>
      <c r="Z24" s="8" t="b">
        <v>0</v>
      </c>
      <c r="AA24" s="8"/>
      <c r="AB24" s="8" t="s">
        <v>218</v>
      </c>
      <c r="AC24" s="8" t="s">
        <v>329</v>
      </c>
      <c r="AD24" s="8" t="s">
        <v>329</v>
      </c>
      <c r="AE24" s="21">
        <v>193.6</v>
      </c>
      <c r="AF24" s="21">
        <v>175.4</v>
      </c>
      <c r="AG24" s="21">
        <v>164.4</v>
      </c>
      <c r="AH24" s="21">
        <v>164.4</v>
      </c>
      <c r="AI24" s="21">
        <v>164.4</v>
      </c>
      <c r="AJ24" s="8"/>
      <c r="AK24" s="8"/>
      <c r="AL24" s="8"/>
      <c r="AM24" s="8"/>
      <c r="AN24" s="8"/>
      <c r="AO24" s="8"/>
      <c r="AP24" s="8"/>
      <c r="AQ24" s="8"/>
      <c r="AR24" s="8"/>
      <c r="AS24" s="8"/>
      <c r="AT24" s="8"/>
      <c r="AU24" s="21">
        <v>193.6</v>
      </c>
      <c r="AV24" s="8"/>
      <c r="AW24" s="8"/>
      <c r="AX24" s="8"/>
      <c r="AY24" s="8"/>
      <c r="AZ24" s="8"/>
      <c r="BA24" s="8"/>
      <c r="BB24" s="8"/>
      <c r="BC24" s="8"/>
      <c r="BD24" s="8"/>
      <c r="BE24" s="8"/>
      <c r="BF24" s="8"/>
      <c r="BG24" s="21">
        <v>175.4</v>
      </c>
      <c r="BH24" s="8"/>
      <c r="BI24" s="8"/>
      <c r="BJ24" s="8"/>
      <c r="BK24" s="8"/>
      <c r="BL24" s="8"/>
      <c r="BM24" s="8"/>
      <c r="BN24" s="8"/>
      <c r="BO24" s="8"/>
      <c r="BP24" s="8"/>
      <c r="BQ24" s="8"/>
      <c r="BR24" s="8"/>
      <c r="BS24" s="21">
        <v>164.4</v>
      </c>
      <c r="BT24" s="8"/>
      <c r="BU24" s="8"/>
      <c r="BV24" s="8"/>
      <c r="BW24" s="8"/>
      <c r="BX24" s="8"/>
      <c r="BY24" s="8"/>
      <c r="BZ24" s="8"/>
      <c r="CA24" s="8"/>
      <c r="CB24" s="8"/>
      <c r="CC24" s="8"/>
      <c r="CD24" s="8"/>
      <c r="CE24" s="21">
        <v>164.4</v>
      </c>
      <c r="CF24" s="8"/>
      <c r="CG24" s="8"/>
      <c r="CH24" s="8"/>
      <c r="CI24" s="8"/>
      <c r="CJ24" s="8"/>
      <c r="CK24" s="8"/>
      <c r="CL24" s="8"/>
      <c r="CM24" s="8"/>
      <c r="CN24" s="8"/>
      <c r="CO24" s="8"/>
      <c r="CP24" s="8"/>
      <c r="CQ24" s="21">
        <v>164.4</v>
      </c>
      <c r="CR24" s="8"/>
      <c r="CS24" s="8"/>
      <c r="CT24" s="8"/>
      <c r="CU24" s="8"/>
      <c r="CV24" s="8"/>
      <c r="CW24" s="8"/>
      <c r="CX24" s="8"/>
      <c r="CY24" s="8"/>
      <c r="CZ24" s="8"/>
      <c r="DA24" s="8"/>
      <c r="DB24" s="8"/>
      <c r="DC24" s="8"/>
      <c r="DD24" s="8"/>
    </row>
    <row r="25" spans="1:108" ht="21.75" customHeight="1" x14ac:dyDescent="0.25">
      <c r="A25" s="6" t="s">
        <v>32</v>
      </c>
      <c r="B25" s="10" t="s">
        <v>656</v>
      </c>
      <c r="C25" s="11" t="s">
        <v>327</v>
      </c>
      <c r="D25" s="11" t="s">
        <v>308</v>
      </c>
      <c r="E25" s="11" t="s">
        <v>300</v>
      </c>
      <c r="F25" s="11" t="s">
        <v>318</v>
      </c>
      <c r="G25" s="11" t="s">
        <v>313</v>
      </c>
      <c r="H25" s="11" t="s">
        <v>303</v>
      </c>
      <c r="I25" s="11" t="s">
        <v>196</v>
      </c>
      <c r="J25" s="20">
        <v>90</v>
      </c>
      <c r="K25" s="20">
        <v>70</v>
      </c>
      <c r="L25" s="11"/>
      <c r="M25" s="11"/>
      <c r="N25" s="11"/>
      <c r="O25" s="11"/>
      <c r="P25" s="11"/>
      <c r="Q25" s="10"/>
      <c r="R25" s="11" t="s">
        <v>328</v>
      </c>
      <c r="S25" s="11"/>
      <c r="T25" s="11"/>
      <c r="U25" s="11"/>
      <c r="V25" s="11" t="s">
        <v>305</v>
      </c>
      <c r="W25" s="11" t="s">
        <v>306</v>
      </c>
      <c r="X25" s="20">
        <v>0</v>
      </c>
      <c r="Y25" s="11" t="b">
        <v>0</v>
      </c>
      <c r="Z25" s="11" t="b">
        <v>0</v>
      </c>
      <c r="AA25" s="11"/>
      <c r="AB25" s="11" t="s">
        <v>218</v>
      </c>
      <c r="AC25" s="11" t="s">
        <v>329</v>
      </c>
      <c r="AD25" s="11" t="s">
        <v>329</v>
      </c>
      <c r="AE25" s="20">
        <v>193.6</v>
      </c>
      <c r="AF25" s="20">
        <v>169.4</v>
      </c>
      <c r="AG25" s="20">
        <v>154.80000000000001</v>
      </c>
      <c r="AH25" s="20">
        <v>154.80000000000001</v>
      </c>
      <c r="AI25" s="20">
        <v>154.80000000000001</v>
      </c>
      <c r="AJ25" s="11"/>
      <c r="AK25" s="11"/>
      <c r="AL25" s="11"/>
      <c r="AM25" s="11"/>
      <c r="AN25" s="11"/>
      <c r="AO25" s="11"/>
      <c r="AP25" s="11"/>
      <c r="AQ25" s="11"/>
      <c r="AR25" s="11"/>
      <c r="AS25" s="11"/>
      <c r="AT25" s="11"/>
      <c r="AU25" s="20">
        <v>193.6</v>
      </c>
      <c r="AV25" s="11"/>
      <c r="AW25" s="11"/>
      <c r="AX25" s="11"/>
      <c r="AY25" s="11"/>
      <c r="AZ25" s="11"/>
      <c r="BA25" s="11"/>
      <c r="BB25" s="11"/>
      <c r="BC25" s="11"/>
      <c r="BD25" s="11"/>
      <c r="BE25" s="11"/>
      <c r="BF25" s="11"/>
      <c r="BG25" s="20">
        <v>169.4</v>
      </c>
      <c r="BH25" s="11"/>
      <c r="BI25" s="11"/>
      <c r="BJ25" s="11"/>
      <c r="BK25" s="11"/>
      <c r="BL25" s="11"/>
      <c r="BM25" s="11"/>
      <c r="BN25" s="11"/>
      <c r="BO25" s="11"/>
      <c r="BP25" s="11"/>
      <c r="BQ25" s="11"/>
      <c r="BR25" s="11"/>
      <c r="BS25" s="20">
        <v>154.80000000000001</v>
      </c>
      <c r="BT25" s="11"/>
      <c r="BU25" s="11"/>
      <c r="BV25" s="11"/>
      <c r="BW25" s="11"/>
      <c r="BX25" s="11"/>
      <c r="BY25" s="11"/>
      <c r="BZ25" s="11"/>
      <c r="CA25" s="11"/>
      <c r="CB25" s="11"/>
      <c r="CC25" s="11"/>
      <c r="CD25" s="11"/>
      <c r="CE25" s="20">
        <v>154.80000000000001</v>
      </c>
      <c r="CF25" s="11"/>
      <c r="CG25" s="11"/>
      <c r="CH25" s="11"/>
      <c r="CI25" s="11"/>
      <c r="CJ25" s="11"/>
      <c r="CK25" s="11"/>
      <c r="CL25" s="11"/>
      <c r="CM25" s="11"/>
      <c r="CN25" s="11"/>
      <c r="CO25" s="11"/>
      <c r="CP25" s="11"/>
      <c r="CQ25" s="20">
        <v>154.80000000000001</v>
      </c>
      <c r="CR25" s="11"/>
      <c r="CS25" s="11"/>
      <c r="CT25" s="11"/>
      <c r="CU25" s="11"/>
      <c r="CV25" s="11"/>
      <c r="CW25" s="11"/>
      <c r="CX25" s="11"/>
      <c r="CY25" s="11"/>
      <c r="CZ25" s="11"/>
      <c r="DA25" s="11"/>
      <c r="DB25" s="11"/>
      <c r="DC25" s="11"/>
      <c r="DD25" s="11"/>
    </row>
    <row r="26" spans="1:108" ht="21.75" customHeight="1" x14ac:dyDescent="0.25">
      <c r="A26" s="6" t="s">
        <v>32</v>
      </c>
      <c r="B26" s="7" t="s">
        <v>656</v>
      </c>
      <c r="C26" s="8" t="s">
        <v>327</v>
      </c>
      <c r="D26" s="8" t="s">
        <v>204</v>
      </c>
      <c r="E26" s="8" t="s">
        <v>300</v>
      </c>
      <c r="F26" s="8" t="s">
        <v>318</v>
      </c>
      <c r="G26" s="8" t="s">
        <v>313</v>
      </c>
      <c r="H26" s="8" t="s">
        <v>303</v>
      </c>
      <c r="I26" s="8" t="s">
        <v>196</v>
      </c>
      <c r="J26" s="21">
        <v>90</v>
      </c>
      <c r="K26" s="21">
        <v>70</v>
      </c>
      <c r="L26" s="8"/>
      <c r="M26" s="8"/>
      <c r="N26" s="8"/>
      <c r="O26" s="8"/>
      <c r="P26" s="8"/>
      <c r="Q26" s="7"/>
      <c r="R26" s="8" t="s">
        <v>328</v>
      </c>
      <c r="S26" s="8"/>
      <c r="T26" s="8"/>
      <c r="U26" s="8"/>
      <c r="V26" s="8" t="s">
        <v>305</v>
      </c>
      <c r="W26" s="8" t="s">
        <v>306</v>
      </c>
      <c r="X26" s="21">
        <v>0</v>
      </c>
      <c r="Y26" s="8" t="b">
        <v>0</v>
      </c>
      <c r="Z26" s="8" t="b">
        <v>0</v>
      </c>
      <c r="AA26" s="8"/>
      <c r="AB26" s="8" t="s">
        <v>218</v>
      </c>
      <c r="AC26" s="8" t="s">
        <v>329</v>
      </c>
      <c r="AD26" s="8" t="s">
        <v>329</v>
      </c>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row>
    <row r="27" spans="1:108" ht="21.75" customHeight="1" x14ac:dyDescent="0.25">
      <c r="A27" s="6" t="s">
        <v>32</v>
      </c>
      <c r="B27" s="10" t="s">
        <v>656</v>
      </c>
      <c r="C27" s="11" t="s">
        <v>206</v>
      </c>
      <c r="D27" s="11" t="s">
        <v>299</v>
      </c>
      <c r="E27" s="11" t="s">
        <v>300</v>
      </c>
      <c r="F27" s="11" t="s">
        <v>301</v>
      </c>
      <c r="G27" s="11" t="s">
        <v>313</v>
      </c>
      <c r="H27" s="11" t="s">
        <v>303</v>
      </c>
      <c r="I27" s="11" t="s">
        <v>314</v>
      </c>
      <c r="J27" s="20">
        <v>90</v>
      </c>
      <c r="K27" s="20">
        <v>70</v>
      </c>
      <c r="L27" s="11"/>
      <c r="M27" s="11"/>
      <c r="N27" s="11"/>
      <c r="O27" s="11"/>
      <c r="P27" s="11"/>
      <c r="Q27" s="10"/>
      <c r="R27" s="11" t="s">
        <v>330</v>
      </c>
      <c r="S27" s="11"/>
      <c r="T27" s="11"/>
      <c r="U27" s="11"/>
      <c r="V27" s="11" t="s">
        <v>305</v>
      </c>
      <c r="W27" s="11" t="s">
        <v>306</v>
      </c>
      <c r="X27" s="20">
        <v>0</v>
      </c>
      <c r="Y27" s="11" t="b">
        <v>0</v>
      </c>
      <c r="Z27" s="11" t="b">
        <v>0</v>
      </c>
      <c r="AA27" s="11"/>
      <c r="AB27" s="11" t="s">
        <v>218</v>
      </c>
      <c r="AC27" s="11" t="s">
        <v>331</v>
      </c>
      <c r="AD27" s="11" t="s">
        <v>331</v>
      </c>
      <c r="AE27" s="20">
        <v>32.700000000000003</v>
      </c>
      <c r="AF27" s="20">
        <v>39</v>
      </c>
      <c r="AG27" s="20">
        <v>42.8</v>
      </c>
      <c r="AH27" s="20">
        <v>42.8</v>
      </c>
      <c r="AI27" s="20">
        <v>42.8</v>
      </c>
      <c r="AJ27" s="11"/>
      <c r="AK27" s="11"/>
      <c r="AL27" s="11"/>
      <c r="AM27" s="11"/>
      <c r="AN27" s="11"/>
      <c r="AO27" s="11"/>
      <c r="AP27" s="11"/>
      <c r="AQ27" s="11"/>
      <c r="AR27" s="11"/>
      <c r="AS27" s="11"/>
      <c r="AT27" s="11"/>
      <c r="AU27" s="20">
        <v>32.700000000000003</v>
      </c>
      <c r="AV27" s="11"/>
      <c r="AW27" s="11"/>
      <c r="AX27" s="11"/>
      <c r="AY27" s="11"/>
      <c r="AZ27" s="11"/>
      <c r="BA27" s="11"/>
      <c r="BB27" s="11"/>
      <c r="BC27" s="11"/>
      <c r="BD27" s="11"/>
      <c r="BE27" s="11"/>
      <c r="BF27" s="11"/>
      <c r="BG27" s="20">
        <v>39</v>
      </c>
      <c r="BH27" s="11"/>
      <c r="BI27" s="11"/>
      <c r="BJ27" s="11"/>
      <c r="BK27" s="11"/>
      <c r="BL27" s="11"/>
      <c r="BM27" s="11"/>
      <c r="BN27" s="11"/>
      <c r="BO27" s="11"/>
      <c r="BP27" s="11"/>
      <c r="BQ27" s="11"/>
      <c r="BR27" s="11"/>
      <c r="BS27" s="20">
        <v>42.8</v>
      </c>
      <c r="BT27" s="11"/>
      <c r="BU27" s="11"/>
      <c r="BV27" s="11"/>
      <c r="BW27" s="11"/>
      <c r="BX27" s="11"/>
      <c r="BY27" s="11"/>
      <c r="BZ27" s="11"/>
      <c r="CA27" s="11"/>
      <c r="CB27" s="11"/>
      <c r="CC27" s="11"/>
      <c r="CD27" s="11"/>
      <c r="CE27" s="20">
        <v>42.8</v>
      </c>
      <c r="CF27" s="11"/>
      <c r="CG27" s="11"/>
      <c r="CH27" s="11"/>
      <c r="CI27" s="11"/>
      <c r="CJ27" s="11"/>
      <c r="CK27" s="11"/>
      <c r="CL27" s="11"/>
      <c r="CM27" s="11"/>
      <c r="CN27" s="11"/>
      <c r="CO27" s="11"/>
      <c r="CP27" s="11"/>
      <c r="CQ27" s="20">
        <v>42.8</v>
      </c>
      <c r="CR27" s="11"/>
      <c r="CS27" s="11"/>
      <c r="CT27" s="11"/>
      <c r="CU27" s="11"/>
      <c r="CV27" s="11"/>
      <c r="CW27" s="11"/>
      <c r="CX27" s="11"/>
      <c r="CY27" s="11"/>
      <c r="CZ27" s="11"/>
      <c r="DA27" s="11"/>
      <c r="DB27" s="11"/>
      <c r="DC27" s="11"/>
      <c r="DD27" s="11"/>
    </row>
    <row r="28" spans="1:108" ht="21.75" customHeight="1" x14ac:dyDescent="0.25">
      <c r="A28" s="6" t="s">
        <v>32</v>
      </c>
      <c r="B28" s="7" t="s">
        <v>656</v>
      </c>
      <c r="C28" s="8" t="s">
        <v>206</v>
      </c>
      <c r="D28" s="8" t="s">
        <v>308</v>
      </c>
      <c r="E28" s="8" t="s">
        <v>300</v>
      </c>
      <c r="F28" s="8" t="s">
        <v>301</v>
      </c>
      <c r="G28" s="8" t="s">
        <v>313</v>
      </c>
      <c r="H28" s="8" t="s">
        <v>303</v>
      </c>
      <c r="I28" s="8" t="s">
        <v>314</v>
      </c>
      <c r="J28" s="21">
        <v>90</v>
      </c>
      <c r="K28" s="21">
        <v>70</v>
      </c>
      <c r="L28" s="8"/>
      <c r="M28" s="8"/>
      <c r="N28" s="8"/>
      <c r="O28" s="8"/>
      <c r="P28" s="8"/>
      <c r="Q28" s="7"/>
      <c r="R28" s="8" t="s">
        <v>330</v>
      </c>
      <c r="S28" s="8"/>
      <c r="T28" s="8"/>
      <c r="U28" s="8"/>
      <c r="V28" s="8" t="s">
        <v>305</v>
      </c>
      <c r="W28" s="8" t="s">
        <v>306</v>
      </c>
      <c r="X28" s="21">
        <v>0</v>
      </c>
      <c r="Y28" s="8" t="b">
        <v>0</v>
      </c>
      <c r="Z28" s="8" t="b">
        <v>0</v>
      </c>
      <c r="AA28" s="8"/>
      <c r="AB28" s="8" t="s">
        <v>218</v>
      </c>
      <c r="AC28" s="8" t="s">
        <v>331</v>
      </c>
      <c r="AD28" s="8" t="s">
        <v>331</v>
      </c>
      <c r="AE28" s="21">
        <v>32.700000000000003</v>
      </c>
      <c r="AF28" s="21">
        <v>41.1</v>
      </c>
      <c r="AG28" s="21">
        <v>46.2</v>
      </c>
      <c r="AH28" s="21">
        <v>46.2</v>
      </c>
      <c r="AI28" s="21">
        <v>46.2</v>
      </c>
      <c r="AJ28" s="8"/>
      <c r="AK28" s="8"/>
      <c r="AL28" s="8"/>
      <c r="AM28" s="8"/>
      <c r="AN28" s="8"/>
      <c r="AO28" s="8"/>
      <c r="AP28" s="8"/>
      <c r="AQ28" s="8"/>
      <c r="AR28" s="8"/>
      <c r="AS28" s="8"/>
      <c r="AT28" s="8"/>
      <c r="AU28" s="21">
        <v>32.700000000000003</v>
      </c>
      <c r="AV28" s="8"/>
      <c r="AW28" s="8"/>
      <c r="AX28" s="8"/>
      <c r="AY28" s="8"/>
      <c r="AZ28" s="8"/>
      <c r="BA28" s="8"/>
      <c r="BB28" s="8"/>
      <c r="BC28" s="8"/>
      <c r="BD28" s="8"/>
      <c r="BE28" s="8"/>
      <c r="BF28" s="8"/>
      <c r="BG28" s="21">
        <v>41.1</v>
      </c>
      <c r="BH28" s="8"/>
      <c r="BI28" s="8"/>
      <c r="BJ28" s="8"/>
      <c r="BK28" s="8"/>
      <c r="BL28" s="8"/>
      <c r="BM28" s="8"/>
      <c r="BN28" s="8"/>
      <c r="BO28" s="8"/>
      <c r="BP28" s="8"/>
      <c r="BQ28" s="8"/>
      <c r="BR28" s="8"/>
      <c r="BS28" s="21">
        <v>46.2</v>
      </c>
      <c r="BT28" s="8"/>
      <c r="BU28" s="8"/>
      <c r="BV28" s="8"/>
      <c r="BW28" s="8"/>
      <c r="BX28" s="8"/>
      <c r="BY28" s="8"/>
      <c r="BZ28" s="8"/>
      <c r="CA28" s="8"/>
      <c r="CB28" s="8"/>
      <c r="CC28" s="8"/>
      <c r="CD28" s="8"/>
      <c r="CE28" s="21">
        <v>46.2</v>
      </c>
      <c r="CF28" s="8"/>
      <c r="CG28" s="8"/>
      <c r="CH28" s="8"/>
      <c r="CI28" s="8"/>
      <c r="CJ28" s="8"/>
      <c r="CK28" s="8"/>
      <c r="CL28" s="8"/>
      <c r="CM28" s="8"/>
      <c r="CN28" s="8"/>
      <c r="CO28" s="8"/>
      <c r="CP28" s="8"/>
      <c r="CQ28" s="21">
        <v>46.2</v>
      </c>
      <c r="CR28" s="8"/>
      <c r="CS28" s="8"/>
      <c r="CT28" s="8"/>
      <c r="CU28" s="8"/>
      <c r="CV28" s="8"/>
      <c r="CW28" s="8"/>
      <c r="CX28" s="8"/>
      <c r="CY28" s="8"/>
      <c r="CZ28" s="8"/>
      <c r="DA28" s="8"/>
      <c r="DB28" s="8"/>
      <c r="DC28" s="8"/>
      <c r="DD28" s="8"/>
    </row>
    <row r="29" spans="1:108" ht="21.75" customHeight="1" x14ac:dyDescent="0.25">
      <c r="A29" s="6" t="s">
        <v>32</v>
      </c>
      <c r="B29" s="10" t="s">
        <v>656</v>
      </c>
      <c r="C29" s="11" t="s">
        <v>206</v>
      </c>
      <c r="D29" s="11" t="s">
        <v>204</v>
      </c>
      <c r="E29" s="11" t="s">
        <v>300</v>
      </c>
      <c r="F29" s="11" t="s">
        <v>301</v>
      </c>
      <c r="G29" s="11" t="s">
        <v>313</v>
      </c>
      <c r="H29" s="11" t="s">
        <v>303</v>
      </c>
      <c r="I29" s="11" t="s">
        <v>314</v>
      </c>
      <c r="J29" s="20">
        <v>90</v>
      </c>
      <c r="K29" s="20">
        <v>70</v>
      </c>
      <c r="L29" s="11"/>
      <c r="M29" s="11"/>
      <c r="N29" s="11"/>
      <c r="O29" s="11"/>
      <c r="P29" s="11"/>
      <c r="Q29" s="10"/>
      <c r="R29" s="11" t="s">
        <v>330</v>
      </c>
      <c r="S29" s="11"/>
      <c r="T29" s="11"/>
      <c r="U29" s="11"/>
      <c r="V29" s="11" t="s">
        <v>305</v>
      </c>
      <c r="W29" s="11" t="s">
        <v>306</v>
      </c>
      <c r="X29" s="20">
        <v>0</v>
      </c>
      <c r="Y29" s="11" t="b">
        <v>0</v>
      </c>
      <c r="Z29" s="11" t="b">
        <v>0</v>
      </c>
      <c r="AA29" s="11"/>
      <c r="AB29" s="11" t="s">
        <v>218</v>
      </c>
      <c r="AC29" s="11" t="s">
        <v>331</v>
      </c>
      <c r="AD29" s="11" t="s">
        <v>331</v>
      </c>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1"/>
      <c r="CA29" s="11"/>
      <c r="CB29" s="11"/>
      <c r="CC29" s="11"/>
      <c r="CD29" s="11"/>
      <c r="CE29" s="11"/>
      <c r="CF29" s="11"/>
      <c r="CG29" s="11"/>
      <c r="CH29" s="11"/>
      <c r="CI29" s="11"/>
      <c r="CJ29" s="11"/>
      <c r="CK29" s="11"/>
      <c r="CL29" s="11"/>
      <c r="CM29" s="11"/>
      <c r="CN29" s="11"/>
      <c r="CO29" s="11"/>
      <c r="CP29" s="11"/>
      <c r="CQ29" s="11"/>
      <c r="CR29" s="11"/>
      <c r="CS29" s="11"/>
      <c r="CT29" s="11"/>
      <c r="CU29" s="11"/>
      <c r="CV29" s="11"/>
      <c r="CW29" s="11"/>
      <c r="CX29" s="11"/>
      <c r="CY29" s="11"/>
      <c r="CZ29" s="11"/>
      <c r="DA29" s="11"/>
      <c r="DB29" s="11"/>
      <c r="DC29" s="11"/>
      <c r="DD29" s="11"/>
    </row>
    <row r="30" spans="1:108" ht="21.75" customHeight="1" x14ac:dyDescent="0.25">
      <c r="A30" s="6" t="s">
        <v>32</v>
      </c>
      <c r="B30" s="7" t="s">
        <v>656</v>
      </c>
      <c r="C30" s="8" t="s">
        <v>332</v>
      </c>
      <c r="D30" s="8" t="s">
        <v>299</v>
      </c>
      <c r="E30" s="8" t="s">
        <v>300</v>
      </c>
      <c r="F30" s="8" t="s">
        <v>301</v>
      </c>
      <c r="G30" s="8" t="s">
        <v>313</v>
      </c>
      <c r="H30" s="8" t="s">
        <v>333</v>
      </c>
      <c r="I30" s="8"/>
      <c r="J30" s="21">
        <v>90</v>
      </c>
      <c r="K30" s="21">
        <v>70</v>
      </c>
      <c r="L30" s="8"/>
      <c r="M30" s="8"/>
      <c r="N30" s="8"/>
      <c r="O30" s="8"/>
      <c r="P30" s="8"/>
      <c r="Q30" s="7"/>
      <c r="R30" s="8" t="s">
        <v>334</v>
      </c>
      <c r="S30" s="8"/>
      <c r="T30" s="8"/>
      <c r="U30" s="8"/>
      <c r="V30" s="8" t="s">
        <v>305</v>
      </c>
      <c r="W30" s="8" t="s">
        <v>306</v>
      </c>
      <c r="X30" s="21">
        <v>0</v>
      </c>
      <c r="Y30" s="8" t="b">
        <v>0</v>
      </c>
      <c r="Z30" s="8" t="b">
        <v>0</v>
      </c>
      <c r="AA30" s="8"/>
      <c r="AB30" s="8" t="s">
        <v>218</v>
      </c>
      <c r="AC30" s="8" t="s">
        <v>335</v>
      </c>
      <c r="AD30" s="8" t="s">
        <v>335</v>
      </c>
      <c r="AE30" s="8"/>
      <c r="AF30" s="21">
        <v>20</v>
      </c>
      <c r="AG30" s="21">
        <v>20</v>
      </c>
      <c r="AH30" s="21">
        <v>20</v>
      </c>
      <c r="AI30" s="21">
        <v>20</v>
      </c>
      <c r="AJ30" s="8"/>
      <c r="AK30" s="8"/>
      <c r="AL30" s="8"/>
      <c r="AM30" s="8"/>
      <c r="AN30" s="8"/>
      <c r="AO30" s="8"/>
      <c r="AP30" s="8"/>
      <c r="AQ30" s="8"/>
      <c r="AR30" s="8"/>
      <c r="AS30" s="8"/>
      <c r="AT30" s="8"/>
      <c r="AU30" s="8"/>
      <c r="AV30" s="8"/>
      <c r="AW30" s="8"/>
      <c r="AX30" s="8"/>
      <c r="AY30" s="8"/>
      <c r="AZ30" s="8"/>
      <c r="BA30" s="8"/>
      <c r="BB30" s="8"/>
      <c r="BC30" s="8"/>
      <c r="BD30" s="8"/>
      <c r="BE30" s="8"/>
      <c r="BF30" s="8"/>
      <c r="BG30" s="21">
        <v>20</v>
      </c>
      <c r="BH30" s="8"/>
      <c r="BI30" s="8"/>
      <c r="BJ30" s="8"/>
      <c r="BK30" s="8"/>
      <c r="BL30" s="8"/>
      <c r="BM30" s="8"/>
      <c r="BN30" s="8"/>
      <c r="BO30" s="8"/>
      <c r="BP30" s="8"/>
      <c r="BQ30" s="8"/>
      <c r="BR30" s="8"/>
      <c r="BS30" s="21">
        <v>20</v>
      </c>
      <c r="BT30" s="8"/>
      <c r="BU30" s="8"/>
      <c r="BV30" s="8"/>
      <c r="BW30" s="8"/>
      <c r="BX30" s="8"/>
      <c r="BY30" s="8"/>
      <c r="BZ30" s="8"/>
      <c r="CA30" s="8"/>
      <c r="CB30" s="8"/>
      <c r="CC30" s="8"/>
      <c r="CD30" s="8"/>
      <c r="CE30" s="21">
        <v>20</v>
      </c>
      <c r="CF30" s="8"/>
      <c r="CG30" s="8"/>
      <c r="CH30" s="8"/>
      <c r="CI30" s="8"/>
      <c r="CJ30" s="8"/>
      <c r="CK30" s="8"/>
      <c r="CL30" s="8"/>
      <c r="CM30" s="8"/>
      <c r="CN30" s="8"/>
      <c r="CO30" s="8"/>
      <c r="CP30" s="8"/>
      <c r="CQ30" s="21">
        <v>20</v>
      </c>
      <c r="CR30" s="8"/>
      <c r="CS30" s="8"/>
      <c r="CT30" s="8"/>
      <c r="CU30" s="8"/>
      <c r="CV30" s="8"/>
      <c r="CW30" s="8"/>
      <c r="CX30" s="8"/>
      <c r="CY30" s="8"/>
      <c r="CZ30" s="8"/>
      <c r="DA30" s="8"/>
      <c r="DB30" s="8"/>
      <c r="DC30" s="8"/>
      <c r="DD30" s="8"/>
    </row>
    <row r="31" spans="1:108" ht="21.75" customHeight="1" x14ac:dyDescent="0.25">
      <c r="A31" s="6" t="s">
        <v>32</v>
      </c>
      <c r="B31" s="10" t="s">
        <v>656</v>
      </c>
      <c r="C31" s="11" t="s">
        <v>332</v>
      </c>
      <c r="D31" s="11" t="s">
        <v>308</v>
      </c>
      <c r="E31" s="11" t="s">
        <v>300</v>
      </c>
      <c r="F31" s="11" t="s">
        <v>301</v>
      </c>
      <c r="G31" s="11" t="s">
        <v>313</v>
      </c>
      <c r="H31" s="11" t="s">
        <v>333</v>
      </c>
      <c r="I31" s="11"/>
      <c r="J31" s="20">
        <v>90</v>
      </c>
      <c r="K31" s="20">
        <v>70</v>
      </c>
      <c r="L31" s="11"/>
      <c r="M31" s="11"/>
      <c r="N31" s="11"/>
      <c r="O31" s="11"/>
      <c r="P31" s="11"/>
      <c r="Q31" s="10"/>
      <c r="R31" s="11" t="s">
        <v>334</v>
      </c>
      <c r="S31" s="11"/>
      <c r="T31" s="11"/>
      <c r="U31" s="11"/>
      <c r="V31" s="11" t="s">
        <v>305</v>
      </c>
      <c r="W31" s="11" t="s">
        <v>306</v>
      </c>
      <c r="X31" s="20">
        <v>0</v>
      </c>
      <c r="Y31" s="11" t="b">
        <v>0</v>
      </c>
      <c r="Z31" s="11" t="b">
        <v>0</v>
      </c>
      <c r="AA31" s="11"/>
      <c r="AB31" s="11" t="s">
        <v>218</v>
      </c>
      <c r="AC31" s="11" t="s">
        <v>335</v>
      </c>
      <c r="AD31" s="11" t="s">
        <v>335</v>
      </c>
      <c r="AE31" s="11"/>
      <c r="AF31" s="20">
        <v>20</v>
      </c>
      <c r="AG31" s="20">
        <v>20</v>
      </c>
      <c r="AH31" s="20">
        <v>20</v>
      </c>
      <c r="AI31" s="20">
        <v>20</v>
      </c>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20">
        <v>20</v>
      </c>
      <c r="BH31" s="11"/>
      <c r="BI31" s="11"/>
      <c r="BJ31" s="11"/>
      <c r="BK31" s="11"/>
      <c r="BL31" s="11"/>
      <c r="BM31" s="11"/>
      <c r="BN31" s="11"/>
      <c r="BO31" s="11"/>
      <c r="BP31" s="11"/>
      <c r="BQ31" s="11"/>
      <c r="BR31" s="11"/>
      <c r="BS31" s="20">
        <v>20</v>
      </c>
      <c r="BT31" s="11"/>
      <c r="BU31" s="11"/>
      <c r="BV31" s="11"/>
      <c r="BW31" s="11"/>
      <c r="BX31" s="11"/>
      <c r="BY31" s="11"/>
      <c r="BZ31" s="11"/>
      <c r="CA31" s="11"/>
      <c r="CB31" s="11"/>
      <c r="CC31" s="11"/>
      <c r="CD31" s="11"/>
      <c r="CE31" s="20">
        <v>20</v>
      </c>
      <c r="CF31" s="11"/>
      <c r="CG31" s="11"/>
      <c r="CH31" s="11"/>
      <c r="CI31" s="11"/>
      <c r="CJ31" s="11"/>
      <c r="CK31" s="11"/>
      <c r="CL31" s="11"/>
      <c r="CM31" s="11"/>
      <c r="CN31" s="11"/>
      <c r="CO31" s="11"/>
      <c r="CP31" s="11"/>
      <c r="CQ31" s="20">
        <v>20</v>
      </c>
      <c r="CR31" s="11"/>
      <c r="CS31" s="11"/>
      <c r="CT31" s="11"/>
      <c r="CU31" s="11"/>
      <c r="CV31" s="11"/>
      <c r="CW31" s="11"/>
      <c r="CX31" s="11"/>
      <c r="CY31" s="11"/>
      <c r="CZ31" s="11"/>
      <c r="DA31" s="11"/>
      <c r="DB31" s="11"/>
      <c r="DC31" s="11"/>
      <c r="DD31" s="11"/>
    </row>
    <row r="32" spans="1:108" ht="21.75" customHeight="1" x14ac:dyDescent="0.25">
      <c r="A32" s="6" t="s">
        <v>32</v>
      </c>
      <c r="B32" s="7" t="s">
        <v>656</v>
      </c>
      <c r="C32" s="8" t="s">
        <v>332</v>
      </c>
      <c r="D32" s="8" t="s">
        <v>204</v>
      </c>
      <c r="E32" s="8" t="s">
        <v>300</v>
      </c>
      <c r="F32" s="8" t="s">
        <v>301</v>
      </c>
      <c r="G32" s="8" t="s">
        <v>313</v>
      </c>
      <c r="H32" s="8" t="s">
        <v>333</v>
      </c>
      <c r="I32" s="8"/>
      <c r="J32" s="21">
        <v>90</v>
      </c>
      <c r="K32" s="21">
        <v>70</v>
      </c>
      <c r="L32" s="8"/>
      <c r="M32" s="8"/>
      <c r="N32" s="8"/>
      <c r="O32" s="8"/>
      <c r="P32" s="8"/>
      <c r="Q32" s="7"/>
      <c r="R32" s="8" t="s">
        <v>334</v>
      </c>
      <c r="S32" s="8"/>
      <c r="T32" s="8"/>
      <c r="U32" s="8"/>
      <c r="V32" s="8" t="s">
        <v>305</v>
      </c>
      <c r="W32" s="8" t="s">
        <v>306</v>
      </c>
      <c r="X32" s="21">
        <v>0</v>
      </c>
      <c r="Y32" s="8" t="b">
        <v>0</v>
      </c>
      <c r="Z32" s="8" t="b">
        <v>0</v>
      </c>
      <c r="AA32" s="8"/>
      <c r="AB32" s="8" t="s">
        <v>218</v>
      </c>
      <c r="AC32" s="8" t="s">
        <v>335</v>
      </c>
      <c r="AD32" s="8" t="s">
        <v>335</v>
      </c>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row>
    <row r="33" spans="1:108" ht="21.75" customHeight="1" x14ac:dyDescent="0.25">
      <c r="A33" s="6" t="s">
        <v>32</v>
      </c>
      <c r="B33" s="10" t="s">
        <v>656</v>
      </c>
      <c r="C33" s="11" t="s">
        <v>336</v>
      </c>
      <c r="D33" s="11" t="s">
        <v>299</v>
      </c>
      <c r="E33" s="11" t="s">
        <v>300</v>
      </c>
      <c r="F33" s="11" t="s">
        <v>301</v>
      </c>
      <c r="G33" s="11" t="s">
        <v>313</v>
      </c>
      <c r="H33" s="11" t="s">
        <v>303</v>
      </c>
      <c r="I33" s="11" t="s">
        <v>300</v>
      </c>
      <c r="J33" s="20">
        <v>90</v>
      </c>
      <c r="K33" s="20">
        <v>70</v>
      </c>
      <c r="L33" s="11"/>
      <c r="M33" s="11"/>
      <c r="N33" s="11"/>
      <c r="O33" s="11"/>
      <c r="P33" s="11"/>
      <c r="Q33" s="10"/>
      <c r="R33" s="11" t="s">
        <v>337</v>
      </c>
      <c r="S33" s="11"/>
      <c r="T33" s="11"/>
      <c r="U33" s="11"/>
      <c r="V33" s="11" t="s">
        <v>305</v>
      </c>
      <c r="W33" s="11" t="s">
        <v>306</v>
      </c>
      <c r="X33" s="20">
        <v>0</v>
      </c>
      <c r="Y33" s="11" t="b">
        <v>0</v>
      </c>
      <c r="Z33" s="11" t="b">
        <v>0</v>
      </c>
      <c r="AA33" s="11"/>
      <c r="AB33" s="11" t="s">
        <v>218</v>
      </c>
      <c r="AC33" s="11" t="s">
        <v>338</v>
      </c>
      <c r="AD33" s="11" t="s">
        <v>338</v>
      </c>
      <c r="AE33" s="20">
        <v>5</v>
      </c>
      <c r="AF33" s="20">
        <v>25</v>
      </c>
      <c r="AG33" s="20">
        <v>40</v>
      </c>
      <c r="AH33" s="20">
        <v>40</v>
      </c>
      <c r="AI33" s="20">
        <v>40</v>
      </c>
      <c r="AJ33" s="11"/>
      <c r="AK33" s="11"/>
      <c r="AL33" s="11"/>
      <c r="AM33" s="11"/>
      <c r="AN33" s="11"/>
      <c r="AO33" s="11"/>
      <c r="AP33" s="11"/>
      <c r="AQ33" s="11"/>
      <c r="AR33" s="11"/>
      <c r="AS33" s="11"/>
      <c r="AT33" s="11"/>
      <c r="AU33" s="20">
        <v>5</v>
      </c>
      <c r="AV33" s="11"/>
      <c r="AW33" s="11"/>
      <c r="AX33" s="11"/>
      <c r="AY33" s="11"/>
      <c r="AZ33" s="11"/>
      <c r="BA33" s="11"/>
      <c r="BB33" s="11"/>
      <c r="BC33" s="11"/>
      <c r="BD33" s="11"/>
      <c r="BE33" s="11"/>
      <c r="BF33" s="11"/>
      <c r="BG33" s="20">
        <v>25</v>
      </c>
      <c r="BH33" s="11"/>
      <c r="BI33" s="11"/>
      <c r="BJ33" s="11"/>
      <c r="BK33" s="11"/>
      <c r="BL33" s="11"/>
      <c r="BM33" s="11"/>
      <c r="BN33" s="11"/>
      <c r="BO33" s="11"/>
      <c r="BP33" s="11"/>
      <c r="BQ33" s="11"/>
      <c r="BR33" s="11"/>
      <c r="BS33" s="20">
        <v>40</v>
      </c>
      <c r="BT33" s="11"/>
      <c r="BU33" s="11"/>
      <c r="BV33" s="11"/>
      <c r="BW33" s="11"/>
      <c r="BX33" s="11"/>
      <c r="BY33" s="11"/>
      <c r="BZ33" s="11"/>
      <c r="CA33" s="11"/>
      <c r="CB33" s="11"/>
      <c r="CC33" s="11"/>
      <c r="CD33" s="11"/>
      <c r="CE33" s="20">
        <v>40</v>
      </c>
      <c r="CF33" s="11"/>
      <c r="CG33" s="11"/>
      <c r="CH33" s="11"/>
      <c r="CI33" s="11"/>
      <c r="CJ33" s="11"/>
      <c r="CK33" s="11"/>
      <c r="CL33" s="11"/>
      <c r="CM33" s="11"/>
      <c r="CN33" s="11"/>
      <c r="CO33" s="11"/>
      <c r="CP33" s="11"/>
      <c r="CQ33" s="20">
        <v>40</v>
      </c>
      <c r="CR33" s="11"/>
      <c r="CS33" s="11"/>
      <c r="CT33" s="11"/>
      <c r="CU33" s="11"/>
      <c r="CV33" s="11"/>
      <c r="CW33" s="11"/>
      <c r="CX33" s="11"/>
      <c r="CY33" s="11"/>
      <c r="CZ33" s="11"/>
      <c r="DA33" s="11"/>
      <c r="DB33" s="11"/>
      <c r="DC33" s="11"/>
      <c r="DD33" s="11"/>
    </row>
    <row r="34" spans="1:108" ht="21.75" customHeight="1" x14ac:dyDescent="0.25">
      <c r="A34" s="6" t="s">
        <v>32</v>
      </c>
      <c r="B34" s="7" t="s">
        <v>656</v>
      </c>
      <c r="C34" s="8" t="s">
        <v>336</v>
      </c>
      <c r="D34" s="8" t="s">
        <v>308</v>
      </c>
      <c r="E34" s="8" t="s">
        <v>300</v>
      </c>
      <c r="F34" s="8" t="s">
        <v>301</v>
      </c>
      <c r="G34" s="8" t="s">
        <v>313</v>
      </c>
      <c r="H34" s="8" t="s">
        <v>303</v>
      </c>
      <c r="I34" s="8" t="s">
        <v>300</v>
      </c>
      <c r="J34" s="21">
        <v>90</v>
      </c>
      <c r="K34" s="21">
        <v>70</v>
      </c>
      <c r="L34" s="8"/>
      <c r="M34" s="8"/>
      <c r="N34" s="8"/>
      <c r="O34" s="8"/>
      <c r="P34" s="8"/>
      <c r="Q34" s="7"/>
      <c r="R34" s="8" t="s">
        <v>337</v>
      </c>
      <c r="S34" s="8"/>
      <c r="T34" s="8"/>
      <c r="U34" s="8"/>
      <c r="V34" s="8" t="s">
        <v>305</v>
      </c>
      <c r="W34" s="8" t="s">
        <v>306</v>
      </c>
      <c r="X34" s="21">
        <v>0</v>
      </c>
      <c r="Y34" s="8" t="b">
        <v>0</v>
      </c>
      <c r="Z34" s="8" t="b">
        <v>0</v>
      </c>
      <c r="AA34" s="8"/>
      <c r="AB34" s="8" t="s">
        <v>218</v>
      </c>
      <c r="AC34" s="8" t="s">
        <v>338</v>
      </c>
      <c r="AD34" s="8" t="s">
        <v>338</v>
      </c>
      <c r="AE34" s="21">
        <v>15</v>
      </c>
      <c r="AF34" s="21">
        <v>40</v>
      </c>
      <c r="AG34" s="21">
        <v>40</v>
      </c>
      <c r="AH34" s="21">
        <v>40</v>
      </c>
      <c r="AI34" s="21">
        <v>40</v>
      </c>
      <c r="AJ34" s="8"/>
      <c r="AK34" s="8"/>
      <c r="AL34" s="8"/>
      <c r="AM34" s="8"/>
      <c r="AN34" s="8"/>
      <c r="AO34" s="8"/>
      <c r="AP34" s="8"/>
      <c r="AQ34" s="8"/>
      <c r="AR34" s="8"/>
      <c r="AS34" s="8"/>
      <c r="AT34" s="8"/>
      <c r="AU34" s="21">
        <v>15</v>
      </c>
      <c r="AV34" s="8"/>
      <c r="AW34" s="8"/>
      <c r="AX34" s="8"/>
      <c r="AY34" s="8"/>
      <c r="AZ34" s="8"/>
      <c r="BA34" s="8"/>
      <c r="BB34" s="8"/>
      <c r="BC34" s="8"/>
      <c r="BD34" s="8"/>
      <c r="BE34" s="8"/>
      <c r="BF34" s="8"/>
      <c r="BG34" s="21">
        <v>40</v>
      </c>
      <c r="BH34" s="8"/>
      <c r="BI34" s="8"/>
      <c r="BJ34" s="8"/>
      <c r="BK34" s="8"/>
      <c r="BL34" s="8"/>
      <c r="BM34" s="8"/>
      <c r="BN34" s="8"/>
      <c r="BO34" s="8"/>
      <c r="BP34" s="8"/>
      <c r="BQ34" s="8"/>
      <c r="BR34" s="8"/>
      <c r="BS34" s="21">
        <v>40</v>
      </c>
      <c r="BT34" s="8"/>
      <c r="BU34" s="8"/>
      <c r="BV34" s="8"/>
      <c r="BW34" s="8"/>
      <c r="BX34" s="8"/>
      <c r="BY34" s="8"/>
      <c r="BZ34" s="8"/>
      <c r="CA34" s="8"/>
      <c r="CB34" s="8"/>
      <c r="CC34" s="8"/>
      <c r="CD34" s="8"/>
      <c r="CE34" s="21">
        <v>40</v>
      </c>
      <c r="CF34" s="8"/>
      <c r="CG34" s="8"/>
      <c r="CH34" s="8"/>
      <c r="CI34" s="8"/>
      <c r="CJ34" s="8"/>
      <c r="CK34" s="8"/>
      <c r="CL34" s="8"/>
      <c r="CM34" s="8"/>
      <c r="CN34" s="8"/>
      <c r="CO34" s="8"/>
      <c r="CP34" s="8"/>
      <c r="CQ34" s="21">
        <v>40</v>
      </c>
      <c r="CR34" s="8"/>
      <c r="CS34" s="8"/>
      <c r="CT34" s="8"/>
      <c r="CU34" s="8"/>
      <c r="CV34" s="8"/>
      <c r="CW34" s="8"/>
      <c r="CX34" s="8"/>
      <c r="CY34" s="8"/>
      <c r="CZ34" s="8"/>
      <c r="DA34" s="8"/>
      <c r="DB34" s="8"/>
      <c r="DC34" s="8"/>
      <c r="DD34" s="8"/>
    </row>
    <row r="35" spans="1:108" ht="21.75" customHeight="1" x14ac:dyDescent="0.25">
      <c r="A35" s="6" t="s">
        <v>32</v>
      </c>
      <c r="B35" s="10" t="s">
        <v>656</v>
      </c>
      <c r="C35" s="11" t="s">
        <v>336</v>
      </c>
      <c r="D35" s="11" t="s">
        <v>204</v>
      </c>
      <c r="E35" s="11" t="s">
        <v>300</v>
      </c>
      <c r="F35" s="11" t="s">
        <v>301</v>
      </c>
      <c r="G35" s="11" t="s">
        <v>313</v>
      </c>
      <c r="H35" s="11" t="s">
        <v>303</v>
      </c>
      <c r="I35" s="11" t="s">
        <v>300</v>
      </c>
      <c r="J35" s="20">
        <v>90</v>
      </c>
      <c r="K35" s="20">
        <v>70</v>
      </c>
      <c r="L35" s="11"/>
      <c r="M35" s="11"/>
      <c r="N35" s="11"/>
      <c r="O35" s="11"/>
      <c r="P35" s="11"/>
      <c r="Q35" s="10"/>
      <c r="R35" s="11" t="s">
        <v>337</v>
      </c>
      <c r="S35" s="11"/>
      <c r="T35" s="11"/>
      <c r="U35" s="11"/>
      <c r="V35" s="11" t="s">
        <v>305</v>
      </c>
      <c r="W35" s="11" t="s">
        <v>306</v>
      </c>
      <c r="X35" s="20">
        <v>0</v>
      </c>
      <c r="Y35" s="11" t="b">
        <v>0</v>
      </c>
      <c r="Z35" s="11" t="b">
        <v>0</v>
      </c>
      <c r="AA35" s="11"/>
      <c r="AB35" s="11" t="s">
        <v>218</v>
      </c>
      <c r="AC35" s="11" t="s">
        <v>338</v>
      </c>
      <c r="AD35" s="11" t="s">
        <v>338</v>
      </c>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1"/>
      <c r="CF35" s="11"/>
      <c r="CG35" s="11"/>
      <c r="CH35" s="11"/>
      <c r="CI35" s="11"/>
      <c r="CJ35" s="11"/>
      <c r="CK35" s="11"/>
      <c r="CL35" s="11"/>
      <c r="CM35" s="11"/>
      <c r="CN35" s="11"/>
      <c r="CO35" s="11"/>
      <c r="CP35" s="11"/>
      <c r="CQ35" s="11"/>
      <c r="CR35" s="11"/>
      <c r="CS35" s="11"/>
      <c r="CT35" s="11"/>
      <c r="CU35" s="11"/>
      <c r="CV35" s="11"/>
      <c r="CW35" s="11"/>
      <c r="CX35" s="11"/>
      <c r="CY35" s="11"/>
      <c r="CZ35" s="11"/>
      <c r="DA35" s="11"/>
      <c r="DB35" s="11"/>
      <c r="DC35" s="11"/>
      <c r="DD35" s="11"/>
    </row>
    <row r="36" spans="1:108" ht="21.75" customHeight="1" x14ac:dyDescent="0.25">
      <c r="A36" s="6" t="s">
        <v>32</v>
      </c>
      <c r="B36" s="7" t="s">
        <v>656</v>
      </c>
      <c r="C36" s="8" t="s">
        <v>339</v>
      </c>
      <c r="D36" s="8" t="s">
        <v>299</v>
      </c>
      <c r="E36" s="8" t="s">
        <v>300</v>
      </c>
      <c r="F36" s="8" t="s">
        <v>301</v>
      </c>
      <c r="G36" s="8" t="s">
        <v>313</v>
      </c>
      <c r="H36" s="8" t="s">
        <v>303</v>
      </c>
      <c r="I36" s="8" t="s">
        <v>300</v>
      </c>
      <c r="J36" s="21">
        <v>90</v>
      </c>
      <c r="K36" s="21">
        <v>70</v>
      </c>
      <c r="L36" s="8"/>
      <c r="M36" s="8"/>
      <c r="N36" s="8"/>
      <c r="O36" s="8"/>
      <c r="P36" s="8"/>
      <c r="Q36" s="7"/>
      <c r="R36" s="8" t="s">
        <v>340</v>
      </c>
      <c r="S36" s="8"/>
      <c r="T36" s="8"/>
      <c r="U36" s="8"/>
      <c r="V36" s="8" t="s">
        <v>305</v>
      </c>
      <c r="W36" s="8" t="s">
        <v>306</v>
      </c>
      <c r="X36" s="21">
        <v>0</v>
      </c>
      <c r="Y36" s="8" t="b">
        <v>0</v>
      </c>
      <c r="Z36" s="8" t="b">
        <v>0</v>
      </c>
      <c r="AA36" s="8"/>
      <c r="AB36" s="8" t="s">
        <v>218</v>
      </c>
      <c r="AC36" s="8" t="s">
        <v>341</v>
      </c>
      <c r="AD36" s="8" t="s">
        <v>341</v>
      </c>
      <c r="AE36" s="8"/>
      <c r="AF36" s="21">
        <v>10</v>
      </c>
      <c r="AG36" s="21">
        <v>10</v>
      </c>
      <c r="AH36" s="21">
        <v>10</v>
      </c>
      <c r="AI36" s="21">
        <v>10</v>
      </c>
      <c r="AJ36" s="8"/>
      <c r="AK36" s="8"/>
      <c r="AL36" s="8"/>
      <c r="AM36" s="8"/>
      <c r="AN36" s="8"/>
      <c r="AO36" s="8"/>
      <c r="AP36" s="8"/>
      <c r="AQ36" s="8"/>
      <c r="AR36" s="8"/>
      <c r="AS36" s="8"/>
      <c r="AT36" s="8"/>
      <c r="AU36" s="8"/>
      <c r="AV36" s="8"/>
      <c r="AW36" s="8"/>
      <c r="AX36" s="8"/>
      <c r="AY36" s="8"/>
      <c r="AZ36" s="8"/>
      <c r="BA36" s="8"/>
      <c r="BB36" s="8"/>
      <c r="BC36" s="8"/>
      <c r="BD36" s="8"/>
      <c r="BE36" s="8"/>
      <c r="BF36" s="8"/>
      <c r="BG36" s="21">
        <v>10</v>
      </c>
      <c r="BH36" s="8"/>
      <c r="BI36" s="8"/>
      <c r="BJ36" s="8"/>
      <c r="BK36" s="8"/>
      <c r="BL36" s="8"/>
      <c r="BM36" s="8"/>
      <c r="BN36" s="8"/>
      <c r="BO36" s="8"/>
      <c r="BP36" s="8"/>
      <c r="BQ36" s="8"/>
      <c r="BR36" s="8"/>
      <c r="BS36" s="21">
        <v>10</v>
      </c>
      <c r="BT36" s="8"/>
      <c r="BU36" s="8"/>
      <c r="BV36" s="8"/>
      <c r="BW36" s="8"/>
      <c r="BX36" s="8"/>
      <c r="BY36" s="8"/>
      <c r="BZ36" s="8"/>
      <c r="CA36" s="8"/>
      <c r="CB36" s="8"/>
      <c r="CC36" s="8"/>
      <c r="CD36" s="8"/>
      <c r="CE36" s="21">
        <v>10</v>
      </c>
      <c r="CF36" s="8"/>
      <c r="CG36" s="8"/>
      <c r="CH36" s="8"/>
      <c r="CI36" s="8"/>
      <c r="CJ36" s="8"/>
      <c r="CK36" s="8"/>
      <c r="CL36" s="8"/>
      <c r="CM36" s="8"/>
      <c r="CN36" s="8"/>
      <c r="CO36" s="8"/>
      <c r="CP36" s="8"/>
      <c r="CQ36" s="21">
        <v>10</v>
      </c>
      <c r="CR36" s="8"/>
      <c r="CS36" s="8"/>
      <c r="CT36" s="8"/>
      <c r="CU36" s="8"/>
      <c r="CV36" s="8"/>
      <c r="CW36" s="8"/>
      <c r="CX36" s="8"/>
      <c r="CY36" s="8"/>
      <c r="CZ36" s="8"/>
      <c r="DA36" s="8"/>
      <c r="DB36" s="8"/>
      <c r="DC36" s="8"/>
      <c r="DD36" s="8"/>
    </row>
    <row r="37" spans="1:108" ht="21.75" customHeight="1" x14ac:dyDescent="0.25">
      <c r="A37" s="6" t="s">
        <v>32</v>
      </c>
      <c r="B37" s="10" t="s">
        <v>656</v>
      </c>
      <c r="C37" s="11" t="s">
        <v>339</v>
      </c>
      <c r="D37" s="11" t="s">
        <v>308</v>
      </c>
      <c r="E37" s="11" t="s">
        <v>300</v>
      </c>
      <c r="F37" s="11" t="s">
        <v>301</v>
      </c>
      <c r="G37" s="11" t="s">
        <v>313</v>
      </c>
      <c r="H37" s="11" t="s">
        <v>303</v>
      </c>
      <c r="I37" s="11" t="s">
        <v>300</v>
      </c>
      <c r="J37" s="20">
        <v>90</v>
      </c>
      <c r="K37" s="20">
        <v>70</v>
      </c>
      <c r="L37" s="11"/>
      <c r="M37" s="11"/>
      <c r="N37" s="11"/>
      <c r="O37" s="11"/>
      <c r="P37" s="11"/>
      <c r="Q37" s="10"/>
      <c r="R37" s="11" t="s">
        <v>340</v>
      </c>
      <c r="S37" s="11"/>
      <c r="T37" s="11"/>
      <c r="U37" s="11"/>
      <c r="V37" s="11" t="s">
        <v>305</v>
      </c>
      <c r="W37" s="11" t="s">
        <v>306</v>
      </c>
      <c r="X37" s="20">
        <v>0</v>
      </c>
      <c r="Y37" s="11" t="b">
        <v>0</v>
      </c>
      <c r="Z37" s="11" t="b">
        <v>0</v>
      </c>
      <c r="AA37" s="11"/>
      <c r="AB37" s="11" t="s">
        <v>218</v>
      </c>
      <c r="AC37" s="11" t="s">
        <v>341</v>
      </c>
      <c r="AD37" s="11" t="s">
        <v>341</v>
      </c>
      <c r="AE37" s="11"/>
      <c r="AF37" s="20">
        <v>10</v>
      </c>
      <c r="AG37" s="20">
        <v>10</v>
      </c>
      <c r="AH37" s="20">
        <v>10</v>
      </c>
      <c r="AI37" s="20">
        <v>10</v>
      </c>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20">
        <v>10</v>
      </c>
      <c r="BH37" s="11"/>
      <c r="BI37" s="11"/>
      <c r="BJ37" s="11"/>
      <c r="BK37" s="11"/>
      <c r="BL37" s="11"/>
      <c r="BM37" s="11"/>
      <c r="BN37" s="11"/>
      <c r="BO37" s="11"/>
      <c r="BP37" s="11"/>
      <c r="BQ37" s="11"/>
      <c r="BR37" s="11"/>
      <c r="BS37" s="20">
        <v>10</v>
      </c>
      <c r="BT37" s="11"/>
      <c r="BU37" s="11"/>
      <c r="BV37" s="11"/>
      <c r="BW37" s="11"/>
      <c r="BX37" s="11"/>
      <c r="BY37" s="11"/>
      <c r="BZ37" s="11"/>
      <c r="CA37" s="11"/>
      <c r="CB37" s="11"/>
      <c r="CC37" s="11"/>
      <c r="CD37" s="11"/>
      <c r="CE37" s="20">
        <v>10</v>
      </c>
      <c r="CF37" s="11"/>
      <c r="CG37" s="11"/>
      <c r="CH37" s="11"/>
      <c r="CI37" s="11"/>
      <c r="CJ37" s="11"/>
      <c r="CK37" s="11"/>
      <c r="CL37" s="11"/>
      <c r="CM37" s="11"/>
      <c r="CN37" s="11"/>
      <c r="CO37" s="11"/>
      <c r="CP37" s="11"/>
      <c r="CQ37" s="20">
        <v>10</v>
      </c>
      <c r="CR37" s="11"/>
      <c r="CS37" s="11"/>
      <c r="CT37" s="11"/>
      <c r="CU37" s="11"/>
      <c r="CV37" s="11"/>
      <c r="CW37" s="11"/>
      <c r="CX37" s="11"/>
      <c r="CY37" s="11"/>
      <c r="CZ37" s="11"/>
      <c r="DA37" s="11"/>
      <c r="DB37" s="11"/>
      <c r="DC37" s="11"/>
      <c r="DD37" s="11"/>
    </row>
    <row r="38" spans="1:108" ht="21.75" customHeight="1" x14ac:dyDescent="0.25">
      <c r="A38" s="6" t="s">
        <v>32</v>
      </c>
      <c r="B38" s="7" t="s">
        <v>656</v>
      </c>
      <c r="C38" s="8" t="s">
        <v>339</v>
      </c>
      <c r="D38" s="8" t="s">
        <v>204</v>
      </c>
      <c r="E38" s="8" t="s">
        <v>300</v>
      </c>
      <c r="F38" s="8" t="s">
        <v>301</v>
      </c>
      <c r="G38" s="8" t="s">
        <v>313</v>
      </c>
      <c r="H38" s="8" t="s">
        <v>303</v>
      </c>
      <c r="I38" s="8" t="s">
        <v>300</v>
      </c>
      <c r="J38" s="21">
        <v>90</v>
      </c>
      <c r="K38" s="21">
        <v>70</v>
      </c>
      <c r="L38" s="8"/>
      <c r="M38" s="8"/>
      <c r="N38" s="8"/>
      <c r="O38" s="8"/>
      <c r="P38" s="8"/>
      <c r="Q38" s="7"/>
      <c r="R38" s="8" t="s">
        <v>340</v>
      </c>
      <c r="S38" s="8"/>
      <c r="T38" s="8"/>
      <c r="U38" s="8"/>
      <c r="V38" s="8" t="s">
        <v>305</v>
      </c>
      <c r="W38" s="8" t="s">
        <v>306</v>
      </c>
      <c r="X38" s="21">
        <v>0</v>
      </c>
      <c r="Y38" s="8" t="b">
        <v>0</v>
      </c>
      <c r="Z38" s="8" t="b">
        <v>0</v>
      </c>
      <c r="AA38" s="8"/>
      <c r="AB38" s="8" t="s">
        <v>218</v>
      </c>
      <c r="AC38" s="8" t="s">
        <v>341</v>
      </c>
      <c r="AD38" s="8" t="s">
        <v>341</v>
      </c>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row>
    <row r="39" spans="1:108" ht="21.75" customHeight="1" x14ac:dyDescent="0.25">
      <c r="A39" s="6" t="s">
        <v>32</v>
      </c>
      <c r="B39" s="10" t="s">
        <v>656</v>
      </c>
      <c r="C39" s="11" t="s">
        <v>342</v>
      </c>
      <c r="D39" s="11" t="s">
        <v>299</v>
      </c>
      <c r="E39" s="11" t="s">
        <v>300</v>
      </c>
      <c r="F39" s="11" t="s">
        <v>301</v>
      </c>
      <c r="G39" s="11" t="s">
        <v>313</v>
      </c>
      <c r="H39" s="11" t="s">
        <v>333</v>
      </c>
      <c r="I39" s="11"/>
      <c r="J39" s="20">
        <v>90</v>
      </c>
      <c r="K39" s="20">
        <v>70</v>
      </c>
      <c r="L39" s="11"/>
      <c r="M39" s="11"/>
      <c r="N39" s="11"/>
      <c r="O39" s="11"/>
      <c r="P39" s="11"/>
      <c r="Q39" s="10"/>
      <c r="R39" s="11" t="s">
        <v>343</v>
      </c>
      <c r="S39" s="11"/>
      <c r="T39" s="11"/>
      <c r="U39" s="11"/>
      <c r="V39" s="11" t="s">
        <v>305</v>
      </c>
      <c r="W39" s="11" t="s">
        <v>306</v>
      </c>
      <c r="X39" s="20">
        <v>0</v>
      </c>
      <c r="Y39" s="11" t="b">
        <v>0</v>
      </c>
      <c r="Z39" s="11" t="b">
        <v>0</v>
      </c>
      <c r="AA39" s="11"/>
      <c r="AB39" s="11" t="s">
        <v>218</v>
      </c>
      <c r="AC39" s="11" t="s">
        <v>344</v>
      </c>
      <c r="AD39" s="11" t="s">
        <v>344</v>
      </c>
      <c r="AE39" s="20">
        <v>80</v>
      </c>
      <c r="AF39" s="20">
        <v>80</v>
      </c>
      <c r="AG39" s="20">
        <v>80</v>
      </c>
      <c r="AH39" s="20">
        <v>80</v>
      </c>
      <c r="AI39" s="20">
        <v>80</v>
      </c>
      <c r="AJ39" s="11"/>
      <c r="AK39" s="11"/>
      <c r="AL39" s="11"/>
      <c r="AM39" s="11"/>
      <c r="AN39" s="11"/>
      <c r="AO39" s="11"/>
      <c r="AP39" s="11"/>
      <c r="AQ39" s="11"/>
      <c r="AR39" s="11"/>
      <c r="AS39" s="11"/>
      <c r="AT39" s="11"/>
      <c r="AU39" s="20">
        <v>80</v>
      </c>
      <c r="AV39" s="11"/>
      <c r="AW39" s="11"/>
      <c r="AX39" s="11"/>
      <c r="AY39" s="11"/>
      <c r="AZ39" s="11"/>
      <c r="BA39" s="11"/>
      <c r="BB39" s="11"/>
      <c r="BC39" s="11"/>
      <c r="BD39" s="11"/>
      <c r="BE39" s="11"/>
      <c r="BF39" s="11"/>
      <c r="BG39" s="20">
        <v>80</v>
      </c>
      <c r="BH39" s="11"/>
      <c r="BI39" s="11"/>
      <c r="BJ39" s="11"/>
      <c r="BK39" s="11"/>
      <c r="BL39" s="11"/>
      <c r="BM39" s="11"/>
      <c r="BN39" s="11"/>
      <c r="BO39" s="11"/>
      <c r="BP39" s="11"/>
      <c r="BQ39" s="11"/>
      <c r="BR39" s="11"/>
      <c r="BS39" s="20">
        <v>80</v>
      </c>
      <c r="BT39" s="11"/>
      <c r="BU39" s="11"/>
      <c r="BV39" s="11"/>
      <c r="BW39" s="11"/>
      <c r="BX39" s="11"/>
      <c r="BY39" s="11"/>
      <c r="BZ39" s="11"/>
      <c r="CA39" s="11"/>
      <c r="CB39" s="11"/>
      <c r="CC39" s="11"/>
      <c r="CD39" s="11"/>
      <c r="CE39" s="20">
        <v>80</v>
      </c>
      <c r="CF39" s="11"/>
      <c r="CG39" s="11"/>
      <c r="CH39" s="11"/>
      <c r="CI39" s="11"/>
      <c r="CJ39" s="11"/>
      <c r="CK39" s="11"/>
      <c r="CL39" s="11"/>
      <c r="CM39" s="11"/>
      <c r="CN39" s="11"/>
      <c r="CO39" s="11"/>
      <c r="CP39" s="11"/>
      <c r="CQ39" s="20">
        <v>80</v>
      </c>
      <c r="CR39" s="11"/>
      <c r="CS39" s="11"/>
      <c r="CT39" s="11"/>
      <c r="CU39" s="11"/>
      <c r="CV39" s="11"/>
      <c r="CW39" s="11"/>
      <c r="CX39" s="11"/>
      <c r="CY39" s="11"/>
      <c r="CZ39" s="11"/>
      <c r="DA39" s="11"/>
      <c r="DB39" s="11"/>
      <c r="DC39" s="11"/>
      <c r="DD39" s="11"/>
    </row>
    <row r="40" spans="1:108" ht="21.75" customHeight="1" x14ac:dyDescent="0.25">
      <c r="A40" s="6" t="s">
        <v>32</v>
      </c>
      <c r="B40" s="7" t="s">
        <v>656</v>
      </c>
      <c r="C40" s="8" t="s">
        <v>342</v>
      </c>
      <c r="D40" s="8" t="s">
        <v>308</v>
      </c>
      <c r="E40" s="8" t="s">
        <v>300</v>
      </c>
      <c r="F40" s="8" t="s">
        <v>301</v>
      </c>
      <c r="G40" s="8" t="s">
        <v>313</v>
      </c>
      <c r="H40" s="8" t="s">
        <v>333</v>
      </c>
      <c r="I40" s="8"/>
      <c r="J40" s="21">
        <v>90</v>
      </c>
      <c r="K40" s="21">
        <v>70</v>
      </c>
      <c r="L40" s="8"/>
      <c r="M40" s="8"/>
      <c r="N40" s="8"/>
      <c r="O40" s="8"/>
      <c r="P40" s="8"/>
      <c r="Q40" s="7"/>
      <c r="R40" s="8" t="s">
        <v>343</v>
      </c>
      <c r="S40" s="8"/>
      <c r="T40" s="8"/>
      <c r="U40" s="8"/>
      <c r="V40" s="8" t="s">
        <v>305</v>
      </c>
      <c r="W40" s="8" t="s">
        <v>306</v>
      </c>
      <c r="X40" s="21">
        <v>0</v>
      </c>
      <c r="Y40" s="8" t="b">
        <v>0</v>
      </c>
      <c r="Z40" s="8" t="b">
        <v>0</v>
      </c>
      <c r="AA40" s="8"/>
      <c r="AB40" s="8" t="s">
        <v>218</v>
      </c>
      <c r="AC40" s="8" t="s">
        <v>344</v>
      </c>
      <c r="AD40" s="8" t="s">
        <v>344</v>
      </c>
      <c r="AE40" s="21">
        <v>80</v>
      </c>
      <c r="AF40" s="21">
        <v>80</v>
      </c>
      <c r="AG40" s="21">
        <v>80</v>
      </c>
      <c r="AH40" s="21">
        <v>80</v>
      </c>
      <c r="AI40" s="21">
        <v>80</v>
      </c>
      <c r="AJ40" s="8"/>
      <c r="AK40" s="8"/>
      <c r="AL40" s="8"/>
      <c r="AM40" s="8"/>
      <c r="AN40" s="8"/>
      <c r="AO40" s="8"/>
      <c r="AP40" s="8"/>
      <c r="AQ40" s="8"/>
      <c r="AR40" s="8"/>
      <c r="AS40" s="8"/>
      <c r="AT40" s="8"/>
      <c r="AU40" s="21">
        <v>80</v>
      </c>
      <c r="AV40" s="8"/>
      <c r="AW40" s="8"/>
      <c r="AX40" s="8"/>
      <c r="AY40" s="8"/>
      <c r="AZ40" s="8"/>
      <c r="BA40" s="8"/>
      <c r="BB40" s="8"/>
      <c r="BC40" s="8"/>
      <c r="BD40" s="8"/>
      <c r="BE40" s="8"/>
      <c r="BF40" s="8"/>
      <c r="BG40" s="21">
        <v>80</v>
      </c>
      <c r="BH40" s="8"/>
      <c r="BI40" s="8"/>
      <c r="BJ40" s="8"/>
      <c r="BK40" s="8"/>
      <c r="BL40" s="8"/>
      <c r="BM40" s="8"/>
      <c r="BN40" s="8"/>
      <c r="BO40" s="8"/>
      <c r="BP40" s="8"/>
      <c r="BQ40" s="8"/>
      <c r="BR40" s="8"/>
      <c r="BS40" s="21">
        <v>80</v>
      </c>
      <c r="BT40" s="8"/>
      <c r="BU40" s="8"/>
      <c r="BV40" s="8"/>
      <c r="BW40" s="8"/>
      <c r="BX40" s="8"/>
      <c r="BY40" s="8"/>
      <c r="BZ40" s="8"/>
      <c r="CA40" s="8"/>
      <c r="CB40" s="8"/>
      <c r="CC40" s="8"/>
      <c r="CD40" s="8"/>
      <c r="CE40" s="21">
        <v>80</v>
      </c>
      <c r="CF40" s="8"/>
      <c r="CG40" s="8"/>
      <c r="CH40" s="8"/>
      <c r="CI40" s="8"/>
      <c r="CJ40" s="8"/>
      <c r="CK40" s="8"/>
      <c r="CL40" s="8"/>
      <c r="CM40" s="8"/>
      <c r="CN40" s="8"/>
      <c r="CO40" s="8"/>
      <c r="CP40" s="8"/>
      <c r="CQ40" s="21">
        <v>80</v>
      </c>
      <c r="CR40" s="8"/>
      <c r="CS40" s="8"/>
      <c r="CT40" s="8"/>
      <c r="CU40" s="8"/>
      <c r="CV40" s="8"/>
      <c r="CW40" s="8"/>
      <c r="CX40" s="8"/>
      <c r="CY40" s="8"/>
      <c r="CZ40" s="8"/>
      <c r="DA40" s="8"/>
      <c r="DB40" s="8"/>
      <c r="DC40" s="8"/>
      <c r="DD40" s="8"/>
    </row>
    <row r="41" spans="1:108" ht="21.75" customHeight="1" x14ac:dyDescent="0.25">
      <c r="A41" s="6" t="s">
        <v>32</v>
      </c>
      <c r="B41" s="10" t="s">
        <v>656</v>
      </c>
      <c r="C41" s="11" t="s">
        <v>342</v>
      </c>
      <c r="D41" s="11" t="s">
        <v>204</v>
      </c>
      <c r="E41" s="11" t="s">
        <v>300</v>
      </c>
      <c r="F41" s="11" t="s">
        <v>301</v>
      </c>
      <c r="G41" s="11" t="s">
        <v>313</v>
      </c>
      <c r="H41" s="11" t="s">
        <v>333</v>
      </c>
      <c r="I41" s="11"/>
      <c r="J41" s="20">
        <v>90</v>
      </c>
      <c r="K41" s="20">
        <v>70</v>
      </c>
      <c r="L41" s="11"/>
      <c r="M41" s="11"/>
      <c r="N41" s="11"/>
      <c r="O41" s="11"/>
      <c r="P41" s="11"/>
      <c r="Q41" s="10"/>
      <c r="R41" s="11" t="s">
        <v>343</v>
      </c>
      <c r="S41" s="11"/>
      <c r="T41" s="11"/>
      <c r="U41" s="11"/>
      <c r="V41" s="11" t="s">
        <v>305</v>
      </c>
      <c r="W41" s="11" t="s">
        <v>306</v>
      </c>
      <c r="X41" s="20">
        <v>0</v>
      </c>
      <c r="Y41" s="11" t="b">
        <v>0</v>
      </c>
      <c r="Z41" s="11" t="b">
        <v>0</v>
      </c>
      <c r="AA41" s="11"/>
      <c r="AB41" s="11" t="s">
        <v>218</v>
      </c>
      <c r="AC41" s="11" t="s">
        <v>344</v>
      </c>
      <c r="AD41" s="11" t="s">
        <v>344</v>
      </c>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11"/>
      <c r="CF41" s="11"/>
      <c r="CG41" s="11"/>
      <c r="CH41" s="11"/>
      <c r="CI41" s="11"/>
      <c r="CJ41" s="11"/>
      <c r="CK41" s="11"/>
      <c r="CL41" s="11"/>
      <c r="CM41" s="11"/>
      <c r="CN41" s="11"/>
      <c r="CO41" s="11"/>
      <c r="CP41" s="11"/>
      <c r="CQ41" s="11"/>
      <c r="CR41" s="11"/>
      <c r="CS41" s="11"/>
      <c r="CT41" s="11"/>
      <c r="CU41" s="11"/>
      <c r="CV41" s="11"/>
      <c r="CW41" s="11"/>
      <c r="CX41" s="11"/>
      <c r="CY41" s="11"/>
      <c r="CZ41" s="11"/>
      <c r="DA41" s="11"/>
      <c r="DB41" s="11"/>
      <c r="DC41" s="11"/>
      <c r="DD41" s="11"/>
    </row>
    <row r="42" spans="1:108" ht="21.75" customHeight="1" x14ac:dyDescent="0.25">
      <c r="A42" s="6" t="s">
        <v>32</v>
      </c>
      <c r="B42" s="7" t="s">
        <v>656</v>
      </c>
      <c r="C42" s="8" t="s">
        <v>345</v>
      </c>
      <c r="D42" s="8" t="s">
        <v>299</v>
      </c>
      <c r="E42" s="8" t="s">
        <v>300</v>
      </c>
      <c r="F42" s="8" t="s">
        <v>301</v>
      </c>
      <c r="G42" s="8" t="s">
        <v>313</v>
      </c>
      <c r="H42" s="8" t="s">
        <v>303</v>
      </c>
      <c r="I42" s="8" t="s">
        <v>300</v>
      </c>
      <c r="J42" s="21">
        <v>90</v>
      </c>
      <c r="K42" s="21">
        <v>70</v>
      </c>
      <c r="L42" s="8"/>
      <c r="M42" s="8"/>
      <c r="N42" s="8"/>
      <c r="O42" s="8"/>
      <c r="P42" s="8"/>
      <c r="Q42" s="7"/>
      <c r="R42" s="8" t="s">
        <v>346</v>
      </c>
      <c r="S42" s="8"/>
      <c r="T42" s="8"/>
      <c r="U42" s="8"/>
      <c r="V42" s="8" t="s">
        <v>305</v>
      </c>
      <c r="W42" s="8" t="s">
        <v>306</v>
      </c>
      <c r="X42" s="21">
        <v>0</v>
      </c>
      <c r="Y42" s="8" t="b">
        <v>0</v>
      </c>
      <c r="Z42" s="8" t="b">
        <v>0</v>
      </c>
      <c r="AA42" s="8"/>
      <c r="AB42" s="8" t="s">
        <v>218</v>
      </c>
      <c r="AC42" s="8" t="s">
        <v>347</v>
      </c>
      <c r="AD42" s="8" t="s">
        <v>347</v>
      </c>
      <c r="AE42" s="8"/>
      <c r="AF42" s="21">
        <v>90</v>
      </c>
      <c r="AG42" s="21">
        <v>90</v>
      </c>
      <c r="AH42" s="21">
        <v>90</v>
      </c>
      <c r="AI42" s="21">
        <v>90</v>
      </c>
      <c r="AJ42" s="8"/>
      <c r="AK42" s="8"/>
      <c r="AL42" s="8"/>
      <c r="AM42" s="8"/>
      <c r="AN42" s="8"/>
      <c r="AO42" s="8"/>
      <c r="AP42" s="8"/>
      <c r="AQ42" s="8"/>
      <c r="AR42" s="8"/>
      <c r="AS42" s="8"/>
      <c r="AT42" s="8"/>
      <c r="AU42" s="8"/>
      <c r="AV42" s="8"/>
      <c r="AW42" s="8"/>
      <c r="AX42" s="8"/>
      <c r="AY42" s="8"/>
      <c r="AZ42" s="8"/>
      <c r="BA42" s="8"/>
      <c r="BB42" s="8"/>
      <c r="BC42" s="8"/>
      <c r="BD42" s="8"/>
      <c r="BE42" s="8"/>
      <c r="BF42" s="8"/>
      <c r="BG42" s="21">
        <v>90</v>
      </c>
      <c r="BH42" s="8"/>
      <c r="BI42" s="8"/>
      <c r="BJ42" s="8"/>
      <c r="BK42" s="8"/>
      <c r="BL42" s="8"/>
      <c r="BM42" s="8"/>
      <c r="BN42" s="8"/>
      <c r="BO42" s="8"/>
      <c r="BP42" s="8"/>
      <c r="BQ42" s="8"/>
      <c r="BR42" s="8"/>
      <c r="BS42" s="21">
        <v>90</v>
      </c>
      <c r="BT42" s="8"/>
      <c r="BU42" s="8"/>
      <c r="BV42" s="8"/>
      <c r="BW42" s="8"/>
      <c r="BX42" s="8"/>
      <c r="BY42" s="8"/>
      <c r="BZ42" s="8"/>
      <c r="CA42" s="8"/>
      <c r="CB42" s="8"/>
      <c r="CC42" s="8"/>
      <c r="CD42" s="8"/>
      <c r="CE42" s="21">
        <v>90</v>
      </c>
      <c r="CF42" s="8"/>
      <c r="CG42" s="8"/>
      <c r="CH42" s="8"/>
      <c r="CI42" s="8"/>
      <c r="CJ42" s="8"/>
      <c r="CK42" s="8"/>
      <c r="CL42" s="8"/>
      <c r="CM42" s="8"/>
      <c r="CN42" s="8"/>
      <c r="CO42" s="8"/>
      <c r="CP42" s="8"/>
      <c r="CQ42" s="21">
        <v>90</v>
      </c>
      <c r="CR42" s="8"/>
      <c r="CS42" s="8"/>
      <c r="CT42" s="8"/>
      <c r="CU42" s="8"/>
      <c r="CV42" s="8"/>
      <c r="CW42" s="8"/>
      <c r="CX42" s="8"/>
      <c r="CY42" s="8"/>
      <c r="CZ42" s="8"/>
      <c r="DA42" s="8"/>
      <c r="DB42" s="8"/>
      <c r="DC42" s="8"/>
      <c r="DD42" s="8"/>
    </row>
    <row r="43" spans="1:108" ht="21.75" customHeight="1" x14ac:dyDescent="0.25">
      <c r="A43" s="6" t="s">
        <v>32</v>
      </c>
      <c r="B43" s="10" t="s">
        <v>656</v>
      </c>
      <c r="C43" s="11" t="s">
        <v>345</v>
      </c>
      <c r="D43" s="11" t="s">
        <v>308</v>
      </c>
      <c r="E43" s="11" t="s">
        <v>300</v>
      </c>
      <c r="F43" s="11" t="s">
        <v>301</v>
      </c>
      <c r="G43" s="11" t="s">
        <v>313</v>
      </c>
      <c r="H43" s="11" t="s">
        <v>303</v>
      </c>
      <c r="I43" s="11" t="s">
        <v>300</v>
      </c>
      <c r="J43" s="20">
        <v>90</v>
      </c>
      <c r="K43" s="20">
        <v>70</v>
      </c>
      <c r="L43" s="11"/>
      <c r="M43" s="11"/>
      <c r="N43" s="11"/>
      <c r="O43" s="11"/>
      <c r="P43" s="11"/>
      <c r="Q43" s="10"/>
      <c r="R43" s="11" t="s">
        <v>346</v>
      </c>
      <c r="S43" s="11"/>
      <c r="T43" s="11"/>
      <c r="U43" s="11"/>
      <c r="V43" s="11" t="s">
        <v>305</v>
      </c>
      <c r="W43" s="11" t="s">
        <v>306</v>
      </c>
      <c r="X43" s="20">
        <v>0</v>
      </c>
      <c r="Y43" s="11" t="b">
        <v>0</v>
      </c>
      <c r="Z43" s="11" t="b">
        <v>0</v>
      </c>
      <c r="AA43" s="11"/>
      <c r="AB43" s="11" t="s">
        <v>218</v>
      </c>
      <c r="AC43" s="11" t="s">
        <v>347</v>
      </c>
      <c r="AD43" s="11" t="s">
        <v>347</v>
      </c>
      <c r="AE43" s="11"/>
      <c r="AF43" s="20">
        <v>90</v>
      </c>
      <c r="AG43" s="20">
        <v>90</v>
      </c>
      <c r="AH43" s="20">
        <v>90</v>
      </c>
      <c r="AI43" s="20">
        <v>90</v>
      </c>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20">
        <v>90</v>
      </c>
      <c r="BH43" s="11"/>
      <c r="BI43" s="11"/>
      <c r="BJ43" s="11"/>
      <c r="BK43" s="11"/>
      <c r="BL43" s="11"/>
      <c r="BM43" s="11"/>
      <c r="BN43" s="11"/>
      <c r="BO43" s="11"/>
      <c r="BP43" s="11"/>
      <c r="BQ43" s="11"/>
      <c r="BR43" s="11"/>
      <c r="BS43" s="20">
        <v>90</v>
      </c>
      <c r="BT43" s="11"/>
      <c r="BU43" s="11"/>
      <c r="BV43" s="11"/>
      <c r="BW43" s="11"/>
      <c r="BX43" s="11"/>
      <c r="BY43" s="11"/>
      <c r="BZ43" s="11"/>
      <c r="CA43" s="11"/>
      <c r="CB43" s="11"/>
      <c r="CC43" s="11"/>
      <c r="CD43" s="11"/>
      <c r="CE43" s="20">
        <v>90</v>
      </c>
      <c r="CF43" s="11"/>
      <c r="CG43" s="11"/>
      <c r="CH43" s="11"/>
      <c r="CI43" s="11"/>
      <c r="CJ43" s="11"/>
      <c r="CK43" s="11"/>
      <c r="CL43" s="11"/>
      <c r="CM43" s="11"/>
      <c r="CN43" s="11"/>
      <c r="CO43" s="11"/>
      <c r="CP43" s="11"/>
      <c r="CQ43" s="20">
        <v>90</v>
      </c>
      <c r="CR43" s="11"/>
      <c r="CS43" s="11"/>
      <c r="CT43" s="11"/>
      <c r="CU43" s="11"/>
      <c r="CV43" s="11"/>
      <c r="CW43" s="11"/>
      <c r="CX43" s="11"/>
      <c r="CY43" s="11"/>
      <c r="CZ43" s="11"/>
      <c r="DA43" s="11"/>
      <c r="DB43" s="11"/>
      <c r="DC43" s="11"/>
      <c r="DD43" s="11"/>
    </row>
    <row r="44" spans="1:108" ht="21.75" customHeight="1" x14ac:dyDescent="0.25">
      <c r="A44" s="6" t="s">
        <v>32</v>
      </c>
      <c r="B44" s="7" t="s">
        <v>656</v>
      </c>
      <c r="C44" s="8" t="s">
        <v>345</v>
      </c>
      <c r="D44" s="8" t="s">
        <v>204</v>
      </c>
      <c r="E44" s="8" t="s">
        <v>300</v>
      </c>
      <c r="F44" s="8" t="s">
        <v>301</v>
      </c>
      <c r="G44" s="8" t="s">
        <v>313</v>
      </c>
      <c r="H44" s="8" t="s">
        <v>303</v>
      </c>
      <c r="I44" s="8" t="s">
        <v>300</v>
      </c>
      <c r="J44" s="21">
        <v>90</v>
      </c>
      <c r="K44" s="21">
        <v>70</v>
      </c>
      <c r="L44" s="8"/>
      <c r="M44" s="8"/>
      <c r="N44" s="8"/>
      <c r="O44" s="8"/>
      <c r="P44" s="8"/>
      <c r="Q44" s="7"/>
      <c r="R44" s="8" t="s">
        <v>346</v>
      </c>
      <c r="S44" s="8"/>
      <c r="T44" s="8"/>
      <c r="U44" s="8"/>
      <c r="V44" s="8" t="s">
        <v>305</v>
      </c>
      <c r="W44" s="8" t="s">
        <v>306</v>
      </c>
      <c r="X44" s="21">
        <v>0</v>
      </c>
      <c r="Y44" s="8" t="b">
        <v>0</v>
      </c>
      <c r="Z44" s="8" t="b">
        <v>0</v>
      </c>
      <c r="AA44" s="8"/>
      <c r="AB44" s="8" t="s">
        <v>218</v>
      </c>
      <c r="AC44" s="8" t="s">
        <v>347</v>
      </c>
      <c r="AD44" s="8" t="s">
        <v>347</v>
      </c>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row>
    <row r="45" spans="1:108" ht="15" customHeight="1" x14ac:dyDescent="0.25">
      <c r="A45" s="6" t="s">
        <v>36</v>
      </c>
      <c r="B45" s="10" t="s">
        <v>37</v>
      </c>
      <c r="C45" s="11" t="s">
        <v>348</v>
      </c>
      <c r="D45" s="11" t="s">
        <v>299</v>
      </c>
      <c r="E45" s="11" t="s">
        <v>300</v>
      </c>
      <c r="F45" s="11" t="s">
        <v>349</v>
      </c>
      <c r="G45" s="11" t="s">
        <v>313</v>
      </c>
      <c r="H45" s="11" t="s">
        <v>303</v>
      </c>
      <c r="I45" s="11"/>
      <c r="J45" s="20">
        <v>90</v>
      </c>
      <c r="K45" s="20">
        <v>70</v>
      </c>
      <c r="L45" s="11"/>
      <c r="M45" s="11"/>
      <c r="N45" s="11"/>
      <c r="O45" s="11"/>
      <c r="P45" s="11"/>
      <c r="Q45" s="10"/>
      <c r="R45" s="11" t="s">
        <v>350</v>
      </c>
      <c r="S45" s="11"/>
      <c r="T45" s="11"/>
      <c r="U45" s="11"/>
      <c r="V45" s="11" t="s">
        <v>305</v>
      </c>
      <c r="W45" s="11" t="s">
        <v>306</v>
      </c>
      <c r="X45" s="20">
        <v>0</v>
      </c>
      <c r="Y45" s="11" t="b">
        <v>0</v>
      </c>
      <c r="Z45" s="11" t="b">
        <v>0</v>
      </c>
      <c r="AA45" s="11"/>
      <c r="AB45" s="11" t="s">
        <v>218</v>
      </c>
      <c r="AC45" s="11" t="s">
        <v>351</v>
      </c>
      <c r="AD45" s="11" t="s">
        <v>351</v>
      </c>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c r="BU45" s="11"/>
      <c r="BV45" s="11"/>
      <c r="BW45" s="11"/>
      <c r="BX45" s="11"/>
      <c r="BY45" s="11"/>
      <c r="BZ45" s="11"/>
      <c r="CA45" s="11"/>
      <c r="CB45" s="11"/>
      <c r="CC45" s="11"/>
      <c r="CD45" s="11"/>
      <c r="CE45" s="11"/>
      <c r="CF45" s="11"/>
      <c r="CG45" s="11"/>
      <c r="CH45" s="11"/>
      <c r="CI45" s="11"/>
      <c r="CJ45" s="11"/>
      <c r="CK45" s="11"/>
      <c r="CL45" s="11"/>
      <c r="CM45" s="11"/>
      <c r="CN45" s="11"/>
      <c r="CO45" s="11"/>
      <c r="CP45" s="11"/>
      <c r="CQ45" s="11"/>
      <c r="CR45" s="11"/>
      <c r="CS45" s="11"/>
      <c r="CT45" s="11"/>
      <c r="CU45" s="11"/>
      <c r="CV45" s="11"/>
      <c r="CW45" s="11"/>
      <c r="CX45" s="11"/>
      <c r="CY45" s="11"/>
      <c r="CZ45" s="11"/>
      <c r="DA45" s="11"/>
      <c r="DB45" s="11"/>
      <c r="DC45" s="11"/>
      <c r="DD45" s="11"/>
    </row>
    <row r="46" spans="1:108" ht="15" customHeight="1" x14ac:dyDescent="0.25">
      <c r="A46" s="6" t="s">
        <v>36</v>
      </c>
      <c r="B46" s="7" t="s">
        <v>37</v>
      </c>
      <c r="C46" s="8" t="s">
        <v>348</v>
      </c>
      <c r="D46" s="8" t="s">
        <v>308</v>
      </c>
      <c r="E46" s="8" t="s">
        <v>300</v>
      </c>
      <c r="F46" s="8" t="s">
        <v>349</v>
      </c>
      <c r="G46" s="8" t="s">
        <v>313</v>
      </c>
      <c r="H46" s="8" t="s">
        <v>303</v>
      </c>
      <c r="I46" s="8"/>
      <c r="J46" s="21">
        <v>90</v>
      </c>
      <c r="K46" s="21">
        <v>70</v>
      </c>
      <c r="L46" s="8"/>
      <c r="M46" s="8"/>
      <c r="N46" s="8"/>
      <c r="O46" s="8"/>
      <c r="P46" s="8"/>
      <c r="Q46" s="7"/>
      <c r="R46" s="8" t="s">
        <v>350</v>
      </c>
      <c r="S46" s="8"/>
      <c r="T46" s="8"/>
      <c r="U46" s="8"/>
      <c r="V46" s="8" t="s">
        <v>305</v>
      </c>
      <c r="W46" s="8" t="s">
        <v>306</v>
      </c>
      <c r="X46" s="21">
        <v>0</v>
      </c>
      <c r="Y46" s="8" t="b">
        <v>0</v>
      </c>
      <c r="Z46" s="8" t="b">
        <v>0</v>
      </c>
      <c r="AA46" s="8"/>
      <c r="AB46" s="8" t="s">
        <v>218</v>
      </c>
      <c r="AC46" s="8" t="s">
        <v>351</v>
      </c>
      <c r="AD46" s="8" t="s">
        <v>351</v>
      </c>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row>
    <row r="47" spans="1:108" ht="15" customHeight="1" x14ac:dyDescent="0.25">
      <c r="A47" s="6" t="s">
        <v>36</v>
      </c>
      <c r="B47" s="10" t="s">
        <v>37</v>
      </c>
      <c r="C47" s="11" t="s">
        <v>348</v>
      </c>
      <c r="D47" s="11" t="s">
        <v>204</v>
      </c>
      <c r="E47" s="11" t="s">
        <v>300</v>
      </c>
      <c r="F47" s="11" t="s">
        <v>349</v>
      </c>
      <c r="G47" s="11" t="s">
        <v>313</v>
      </c>
      <c r="H47" s="11" t="s">
        <v>303</v>
      </c>
      <c r="I47" s="11"/>
      <c r="J47" s="20">
        <v>90</v>
      </c>
      <c r="K47" s="20">
        <v>70</v>
      </c>
      <c r="L47" s="11"/>
      <c r="M47" s="11"/>
      <c r="N47" s="11"/>
      <c r="O47" s="11"/>
      <c r="P47" s="11"/>
      <c r="Q47" s="10"/>
      <c r="R47" s="11" t="s">
        <v>350</v>
      </c>
      <c r="S47" s="11"/>
      <c r="T47" s="11"/>
      <c r="U47" s="11"/>
      <c r="V47" s="11" t="s">
        <v>305</v>
      </c>
      <c r="W47" s="11" t="s">
        <v>306</v>
      </c>
      <c r="X47" s="20">
        <v>0</v>
      </c>
      <c r="Y47" s="11" t="b">
        <v>0</v>
      </c>
      <c r="Z47" s="11" t="b">
        <v>0</v>
      </c>
      <c r="AA47" s="11"/>
      <c r="AB47" s="11" t="s">
        <v>218</v>
      </c>
      <c r="AC47" s="11" t="s">
        <v>351</v>
      </c>
      <c r="AD47" s="11" t="s">
        <v>351</v>
      </c>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c r="BR47" s="11"/>
      <c r="BS47" s="11"/>
      <c r="BT47" s="11"/>
      <c r="BU47" s="11"/>
      <c r="BV47" s="11"/>
      <c r="BW47" s="11"/>
      <c r="BX47" s="11"/>
      <c r="BY47" s="11"/>
      <c r="BZ47" s="11"/>
      <c r="CA47" s="11"/>
      <c r="CB47" s="11"/>
      <c r="CC47" s="11"/>
      <c r="CD47" s="11"/>
      <c r="CE47" s="11"/>
      <c r="CF47" s="11"/>
      <c r="CG47" s="11"/>
      <c r="CH47" s="11"/>
      <c r="CI47" s="11"/>
      <c r="CJ47" s="11"/>
      <c r="CK47" s="11"/>
      <c r="CL47" s="11"/>
      <c r="CM47" s="11"/>
      <c r="CN47" s="11"/>
      <c r="CO47" s="11"/>
      <c r="CP47" s="11"/>
      <c r="CQ47" s="11"/>
      <c r="CR47" s="11"/>
      <c r="CS47" s="11"/>
      <c r="CT47" s="11"/>
      <c r="CU47" s="11"/>
      <c r="CV47" s="11"/>
      <c r="CW47" s="11"/>
      <c r="CX47" s="11"/>
      <c r="CY47" s="11"/>
      <c r="CZ47" s="11"/>
      <c r="DA47" s="11"/>
      <c r="DB47" s="11"/>
      <c r="DC47" s="11"/>
      <c r="DD47" s="11"/>
    </row>
    <row r="48" spans="1:108" ht="15" customHeight="1" x14ac:dyDescent="0.25">
      <c r="A48" s="6" t="s">
        <v>36</v>
      </c>
      <c r="B48" s="7" t="s">
        <v>37</v>
      </c>
      <c r="C48" s="8" t="s">
        <v>352</v>
      </c>
      <c r="D48" s="8" t="s">
        <v>299</v>
      </c>
      <c r="E48" s="8" t="s">
        <v>300</v>
      </c>
      <c r="F48" s="8" t="s">
        <v>349</v>
      </c>
      <c r="G48" s="8" t="s">
        <v>313</v>
      </c>
      <c r="H48" s="8" t="s">
        <v>333</v>
      </c>
      <c r="I48" s="8"/>
      <c r="J48" s="21">
        <v>90</v>
      </c>
      <c r="K48" s="21">
        <v>70</v>
      </c>
      <c r="L48" s="8"/>
      <c r="M48" s="8"/>
      <c r="N48" s="8"/>
      <c r="O48" s="8"/>
      <c r="P48" s="8"/>
      <c r="Q48" s="7"/>
      <c r="R48" s="25" t="s">
        <v>353</v>
      </c>
      <c r="S48" s="8"/>
      <c r="T48" s="8"/>
      <c r="U48" s="8"/>
      <c r="V48" s="8" t="s">
        <v>305</v>
      </c>
      <c r="W48" s="8" t="s">
        <v>306</v>
      </c>
      <c r="X48" s="21">
        <v>0</v>
      </c>
      <c r="Y48" s="8" t="b">
        <v>0</v>
      </c>
      <c r="Z48" s="8" t="b">
        <v>0</v>
      </c>
      <c r="AA48" s="8"/>
      <c r="AB48" s="8" t="s">
        <v>218</v>
      </c>
      <c r="AC48" s="8" t="s">
        <v>354</v>
      </c>
      <c r="AD48" s="8" t="s">
        <v>354</v>
      </c>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row>
    <row r="49" spans="1:108" ht="15" customHeight="1" x14ac:dyDescent="0.25">
      <c r="A49" s="6" t="s">
        <v>36</v>
      </c>
      <c r="B49" s="10" t="s">
        <v>37</v>
      </c>
      <c r="C49" s="11" t="s">
        <v>352</v>
      </c>
      <c r="D49" s="11" t="s">
        <v>308</v>
      </c>
      <c r="E49" s="11" t="s">
        <v>300</v>
      </c>
      <c r="F49" s="11" t="s">
        <v>349</v>
      </c>
      <c r="G49" s="11" t="s">
        <v>313</v>
      </c>
      <c r="H49" s="11" t="s">
        <v>333</v>
      </c>
      <c r="I49" s="11"/>
      <c r="J49" s="20">
        <v>90</v>
      </c>
      <c r="K49" s="20">
        <v>70</v>
      </c>
      <c r="L49" s="11"/>
      <c r="M49" s="11"/>
      <c r="N49" s="11"/>
      <c r="O49" s="11"/>
      <c r="P49" s="11"/>
      <c r="Q49" s="10"/>
      <c r="R49" s="26" t="s">
        <v>353</v>
      </c>
      <c r="S49" s="11"/>
      <c r="T49" s="11"/>
      <c r="U49" s="11"/>
      <c r="V49" s="11" t="s">
        <v>305</v>
      </c>
      <c r="W49" s="11" t="s">
        <v>306</v>
      </c>
      <c r="X49" s="20">
        <v>0</v>
      </c>
      <c r="Y49" s="11" t="b">
        <v>0</v>
      </c>
      <c r="Z49" s="11" t="b">
        <v>0</v>
      </c>
      <c r="AA49" s="11"/>
      <c r="AB49" s="11" t="s">
        <v>218</v>
      </c>
      <c r="AC49" s="11" t="s">
        <v>354</v>
      </c>
      <c r="AD49" s="11" t="s">
        <v>354</v>
      </c>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c r="BP49" s="11"/>
      <c r="BQ49" s="11"/>
      <c r="BR49" s="11"/>
      <c r="BS49" s="11"/>
      <c r="BT49" s="11"/>
      <c r="BU49" s="11"/>
      <c r="BV49" s="11"/>
      <c r="BW49" s="11"/>
      <c r="BX49" s="11"/>
      <c r="BY49" s="11"/>
      <c r="BZ49" s="11"/>
      <c r="CA49" s="11"/>
      <c r="CB49" s="11"/>
      <c r="CC49" s="11"/>
      <c r="CD49" s="11"/>
      <c r="CE49" s="11"/>
      <c r="CF49" s="11"/>
      <c r="CG49" s="11"/>
      <c r="CH49" s="11"/>
      <c r="CI49" s="11"/>
      <c r="CJ49" s="11"/>
      <c r="CK49" s="11"/>
      <c r="CL49" s="11"/>
      <c r="CM49" s="11"/>
      <c r="CN49" s="11"/>
      <c r="CO49" s="11"/>
      <c r="CP49" s="11"/>
      <c r="CQ49" s="11"/>
      <c r="CR49" s="11"/>
      <c r="CS49" s="11"/>
      <c r="CT49" s="11"/>
      <c r="CU49" s="11"/>
      <c r="CV49" s="11"/>
      <c r="CW49" s="11"/>
      <c r="CX49" s="11"/>
      <c r="CY49" s="11"/>
      <c r="CZ49" s="11"/>
      <c r="DA49" s="11"/>
      <c r="DB49" s="11"/>
      <c r="DC49" s="11"/>
      <c r="DD49" s="11"/>
    </row>
    <row r="50" spans="1:108" ht="15" customHeight="1" x14ac:dyDescent="0.25">
      <c r="A50" s="6" t="s">
        <v>36</v>
      </c>
      <c r="B50" s="7" t="s">
        <v>37</v>
      </c>
      <c r="C50" s="8" t="s">
        <v>352</v>
      </c>
      <c r="D50" s="8" t="s">
        <v>204</v>
      </c>
      <c r="E50" s="8" t="s">
        <v>300</v>
      </c>
      <c r="F50" s="8" t="s">
        <v>349</v>
      </c>
      <c r="G50" s="8" t="s">
        <v>313</v>
      </c>
      <c r="H50" s="8" t="s">
        <v>333</v>
      </c>
      <c r="I50" s="8"/>
      <c r="J50" s="21">
        <v>90</v>
      </c>
      <c r="K50" s="21">
        <v>70</v>
      </c>
      <c r="L50" s="8"/>
      <c r="M50" s="8"/>
      <c r="N50" s="8"/>
      <c r="O50" s="8"/>
      <c r="P50" s="8"/>
      <c r="Q50" s="7"/>
      <c r="R50" s="25" t="s">
        <v>353</v>
      </c>
      <c r="S50" s="8"/>
      <c r="T50" s="8"/>
      <c r="U50" s="8"/>
      <c r="V50" s="8" t="s">
        <v>305</v>
      </c>
      <c r="W50" s="8" t="s">
        <v>306</v>
      </c>
      <c r="X50" s="21">
        <v>0</v>
      </c>
      <c r="Y50" s="8" t="b">
        <v>0</v>
      </c>
      <c r="Z50" s="8" t="b">
        <v>0</v>
      </c>
      <c r="AA50" s="8"/>
      <c r="AB50" s="8" t="s">
        <v>218</v>
      </c>
      <c r="AC50" s="8" t="s">
        <v>354</v>
      </c>
      <c r="AD50" s="8" t="s">
        <v>354</v>
      </c>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c r="CY50" s="8"/>
      <c r="CZ50" s="8"/>
      <c r="DA50" s="8"/>
      <c r="DB50" s="8"/>
      <c r="DC50" s="8"/>
      <c r="DD50" s="8"/>
    </row>
    <row r="51" spans="1:108" ht="15" customHeight="1" x14ac:dyDescent="0.25">
      <c r="A51" s="6" t="s">
        <v>36</v>
      </c>
      <c r="B51" s="10" t="s">
        <v>37</v>
      </c>
      <c r="C51" s="11" t="s">
        <v>355</v>
      </c>
      <c r="D51" s="11" t="s">
        <v>299</v>
      </c>
      <c r="E51" s="11" t="s">
        <v>300</v>
      </c>
      <c r="F51" s="11" t="s">
        <v>349</v>
      </c>
      <c r="G51" s="11" t="s">
        <v>313</v>
      </c>
      <c r="H51" s="11" t="s">
        <v>303</v>
      </c>
      <c r="I51" s="11"/>
      <c r="J51" s="20">
        <v>90</v>
      </c>
      <c r="K51" s="20">
        <v>70</v>
      </c>
      <c r="L51" s="11"/>
      <c r="M51" s="11"/>
      <c r="N51" s="11"/>
      <c r="O51" s="11"/>
      <c r="P51" s="11"/>
      <c r="Q51" s="10"/>
      <c r="R51" s="11" t="s">
        <v>356</v>
      </c>
      <c r="S51" s="11"/>
      <c r="T51" s="11"/>
      <c r="U51" s="11"/>
      <c r="V51" s="11" t="s">
        <v>305</v>
      </c>
      <c r="W51" s="11" t="s">
        <v>306</v>
      </c>
      <c r="X51" s="20">
        <v>0</v>
      </c>
      <c r="Y51" s="11" t="b">
        <v>0</v>
      </c>
      <c r="Z51" s="11" t="b">
        <v>0</v>
      </c>
      <c r="AA51" s="11"/>
      <c r="AB51" s="11" t="s">
        <v>218</v>
      </c>
      <c r="AC51" s="11" t="s">
        <v>357</v>
      </c>
      <c r="AD51" s="11" t="s">
        <v>357</v>
      </c>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c r="BQ51" s="11"/>
      <c r="BR51" s="11"/>
      <c r="BS51" s="11"/>
      <c r="BT51" s="11"/>
      <c r="BU51" s="11"/>
      <c r="BV51" s="11"/>
      <c r="BW51" s="11"/>
      <c r="BX51" s="11"/>
      <c r="BY51" s="11"/>
      <c r="BZ51" s="11"/>
      <c r="CA51" s="11"/>
      <c r="CB51" s="11"/>
      <c r="CC51" s="11"/>
      <c r="CD51" s="11"/>
      <c r="CE51" s="11"/>
      <c r="CF51" s="11"/>
      <c r="CG51" s="11"/>
      <c r="CH51" s="11"/>
      <c r="CI51" s="11"/>
      <c r="CJ51" s="11"/>
      <c r="CK51" s="11"/>
      <c r="CL51" s="11"/>
      <c r="CM51" s="11"/>
      <c r="CN51" s="11"/>
      <c r="CO51" s="11"/>
      <c r="CP51" s="11"/>
      <c r="CQ51" s="11"/>
      <c r="CR51" s="11"/>
      <c r="CS51" s="11"/>
      <c r="CT51" s="11"/>
      <c r="CU51" s="11"/>
      <c r="CV51" s="11"/>
      <c r="CW51" s="11"/>
      <c r="CX51" s="11"/>
      <c r="CY51" s="11"/>
      <c r="CZ51" s="11"/>
      <c r="DA51" s="11"/>
      <c r="DB51" s="11"/>
      <c r="DC51" s="11"/>
      <c r="DD51" s="11"/>
    </row>
    <row r="52" spans="1:108" ht="15" customHeight="1" x14ac:dyDescent="0.25">
      <c r="A52" s="6" t="s">
        <v>36</v>
      </c>
      <c r="B52" s="7" t="s">
        <v>37</v>
      </c>
      <c r="C52" s="8" t="s">
        <v>355</v>
      </c>
      <c r="D52" s="8" t="s">
        <v>308</v>
      </c>
      <c r="E52" s="8" t="s">
        <v>300</v>
      </c>
      <c r="F52" s="8" t="s">
        <v>349</v>
      </c>
      <c r="G52" s="8" t="s">
        <v>313</v>
      </c>
      <c r="H52" s="8" t="s">
        <v>303</v>
      </c>
      <c r="I52" s="8"/>
      <c r="J52" s="21">
        <v>90</v>
      </c>
      <c r="K52" s="21">
        <v>70</v>
      </c>
      <c r="L52" s="8"/>
      <c r="M52" s="8"/>
      <c r="N52" s="8"/>
      <c r="O52" s="8"/>
      <c r="P52" s="8"/>
      <c r="Q52" s="7"/>
      <c r="R52" s="8" t="s">
        <v>356</v>
      </c>
      <c r="S52" s="8"/>
      <c r="T52" s="8"/>
      <c r="U52" s="8"/>
      <c r="V52" s="8" t="s">
        <v>305</v>
      </c>
      <c r="W52" s="8" t="s">
        <v>306</v>
      </c>
      <c r="X52" s="21">
        <v>0</v>
      </c>
      <c r="Y52" s="8" t="b">
        <v>0</v>
      </c>
      <c r="Z52" s="8" t="b">
        <v>0</v>
      </c>
      <c r="AA52" s="8"/>
      <c r="AB52" s="8" t="s">
        <v>218</v>
      </c>
      <c r="AC52" s="8" t="s">
        <v>357</v>
      </c>
      <c r="AD52" s="8" t="s">
        <v>357</v>
      </c>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row>
    <row r="53" spans="1:108" ht="15" customHeight="1" x14ac:dyDescent="0.25">
      <c r="A53" s="6" t="s">
        <v>36</v>
      </c>
      <c r="B53" s="10" t="s">
        <v>37</v>
      </c>
      <c r="C53" s="11" t="s">
        <v>355</v>
      </c>
      <c r="D53" s="11" t="s">
        <v>204</v>
      </c>
      <c r="E53" s="11" t="s">
        <v>300</v>
      </c>
      <c r="F53" s="11" t="s">
        <v>349</v>
      </c>
      <c r="G53" s="11" t="s">
        <v>313</v>
      </c>
      <c r="H53" s="11" t="s">
        <v>303</v>
      </c>
      <c r="I53" s="11"/>
      <c r="J53" s="20">
        <v>90</v>
      </c>
      <c r="K53" s="20">
        <v>70</v>
      </c>
      <c r="L53" s="11"/>
      <c r="M53" s="11"/>
      <c r="N53" s="11"/>
      <c r="O53" s="11"/>
      <c r="P53" s="11"/>
      <c r="Q53" s="10"/>
      <c r="R53" s="11" t="s">
        <v>356</v>
      </c>
      <c r="S53" s="11"/>
      <c r="T53" s="11"/>
      <c r="U53" s="11"/>
      <c r="V53" s="11" t="s">
        <v>305</v>
      </c>
      <c r="W53" s="11" t="s">
        <v>306</v>
      </c>
      <c r="X53" s="20">
        <v>0</v>
      </c>
      <c r="Y53" s="11" t="b">
        <v>0</v>
      </c>
      <c r="Z53" s="11" t="b">
        <v>0</v>
      </c>
      <c r="AA53" s="11"/>
      <c r="AB53" s="11" t="s">
        <v>218</v>
      </c>
      <c r="AC53" s="11" t="s">
        <v>357</v>
      </c>
      <c r="AD53" s="11" t="s">
        <v>357</v>
      </c>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1"/>
      <c r="BP53" s="11"/>
      <c r="BQ53" s="11"/>
      <c r="BR53" s="11"/>
      <c r="BS53" s="11"/>
      <c r="BT53" s="11"/>
      <c r="BU53" s="11"/>
      <c r="BV53" s="11"/>
      <c r="BW53" s="11"/>
      <c r="BX53" s="11"/>
      <c r="BY53" s="11"/>
      <c r="BZ53" s="11"/>
      <c r="CA53" s="11"/>
      <c r="CB53" s="11"/>
      <c r="CC53" s="11"/>
      <c r="CD53" s="11"/>
      <c r="CE53" s="11"/>
      <c r="CF53" s="11"/>
      <c r="CG53" s="11"/>
      <c r="CH53" s="11"/>
      <c r="CI53" s="11"/>
      <c r="CJ53" s="11"/>
      <c r="CK53" s="11"/>
      <c r="CL53" s="11"/>
      <c r="CM53" s="11"/>
      <c r="CN53" s="11"/>
      <c r="CO53" s="11"/>
      <c r="CP53" s="11"/>
      <c r="CQ53" s="11"/>
      <c r="CR53" s="11"/>
      <c r="CS53" s="11"/>
      <c r="CT53" s="11"/>
      <c r="CU53" s="11"/>
      <c r="CV53" s="11"/>
      <c r="CW53" s="11"/>
      <c r="CX53" s="11"/>
      <c r="CY53" s="11"/>
      <c r="CZ53" s="11"/>
      <c r="DA53" s="11"/>
      <c r="DB53" s="11"/>
      <c r="DC53" s="11"/>
      <c r="DD53" s="11"/>
    </row>
    <row r="54" spans="1:108" ht="21.75" customHeight="1" x14ac:dyDescent="0.25">
      <c r="A54" s="6" t="s">
        <v>42</v>
      </c>
      <c r="B54" s="7" t="s">
        <v>655</v>
      </c>
      <c r="C54" s="8" t="s">
        <v>358</v>
      </c>
      <c r="D54" s="8" t="s">
        <v>299</v>
      </c>
      <c r="E54" s="8" t="s">
        <v>300</v>
      </c>
      <c r="F54" s="8" t="s">
        <v>349</v>
      </c>
      <c r="G54" s="8" t="s">
        <v>313</v>
      </c>
      <c r="H54" s="8" t="s">
        <v>303</v>
      </c>
      <c r="I54" s="8"/>
      <c r="J54" s="21">
        <v>90</v>
      </c>
      <c r="K54" s="21">
        <v>70</v>
      </c>
      <c r="L54" s="8"/>
      <c r="M54" s="8"/>
      <c r="N54" s="8"/>
      <c r="O54" s="8"/>
      <c r="P54" s="8"/>
      <c r="Q54" s="7"/>
      <c r="R54" s="8" t="s">
        <v>359</v>
      </c>
      <c r="S54" s="8"/>
      <c r="T54" s="8"/>
      <c r="U54" s="8"/>
      <c r="V54" s="8" t="s">
        <v>305</v>
      </c>
      <c r="W54" s="8" t="s">
        <v>306</v>
      </c>
      <c r="X54" s="21">
        <v>0</v>
      </c>
      <c r="Y54" s="8" t="b">
        <v>0</v>
      </c>
      <c r="Z54" s="8" t="b">
        <v>0</v>
      </c>
      <c r="AA54" s="8"/>
      <c r="AB54" s="8" t="s">
        <v>218</v>
      </c>
      <c r="AC54" s="8" t="s">
        <v>360</v>
      </c>
      <c r="AD54" s="8" t="s">
        <v>360</v>
      </c>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row>
    <row r="55" spans="1:108" ht="21.75" customHeight="1" x14ac:dyDescent="0.25">
      <c r="A55" s="6" t="s">
        <v>42</v>
      </c>
      <c r="B55" s="10" t="s">
        <v>655</v>
      </c>
      <c r="C55" s="11" t="s">
        <v>358</v>
      </c>
      <c r="D55" s="11" t="s">
        <v>308</v>
      </c>
      <c r="E55" s="11" t="s">
        <v>300</v>
      </c>
      <c r="F55" s="11" t="s">
        <v>349</v>
      </c>
      <c r="G55" s="11" t="s">
        <v>313</v>
      </c>
      <c r="H55" s="11" t="s">
        <v>303</v>
      </c>
      <c r="I55" s="11"/>
      <c r="J55" s="20">
        <v>90</v>
      </c>
      <c r="K55" s="20">
        <v>70</v>
      </c>
      <c r="L55" s="11"/>
      <c r="M55" s="11"/>
      <c r="N55" s="11"/>
      <c r="O55" s="11"/>
      <c r="P55" s="11"/>
      <c r="Q55" s="10"/>
      <c r="R55" s="11" t="s">
        <v>359</v>
      </c>
      <c r="S55" s="11"/>
      <c r="T55" s="11"/>
      <c r="U55" s="11"/>
      <c r="V55" s="11" t="s">
        <v>305</v>
      </c>
      <c r="W55" s="11" t="s">
        <v>306</v>
      </c>
      <c r="X55" s="20">
        <v>0</v>
      </c>
      <c r="Y55" s="11" t="b">
        <v>0</v>
      </c>
      <c r="Z55" s="11" t="b">
        <v>0</v>
      </c>
      <c r="AA55" s="11"/>
      <c r="AB55" s="11" t="s">
        <v>218</v>
      </c>
      <c r="AC55" s="11" t="s">
        <v>360</v>
      </c>
      <c r="AD55" s="11" t="s">
        <v>360</v>
      </c>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row>
    <row r="56" spans="1:108" ht="21.75" customHeight="1" x14ac:dyDescent="0.25">
      <c r="A56" s="6" t="s">
        <v>42</v>
      </c>
      <c r="B56" s="7" t="s">
        <v>655</v>
      </c>
      <c r="C56" s="8" t="s">
        <v>358</v>
      </c>
      <c r="D56" s="8" t="s">
        <v>204</v>
      </c>
      <c r="E56" s="8" t="s">
        <v>300</v>
      </c>
      <c r="F56" s="8" t="s">
        <v>349</v>
      </c>
      <c r="G56" s="8" t="s">
        <v>313</v>
      </c>
      <c r="H56" s="8" t="s">
        <v>303</v>
      </c>
      <c r="I56" s="8"/>
      <c r="J56" s="21">
        <v>90</v>
      </c>
      <c r="K56" s="21">
        <v>70</v>
      </c>
      <c r="L56" s="8"/>
      <c r="M56" s="8"/>
      <c r="N56" s="8"/>
      <c r="O56" s="8"/>
      <c r="P56" s="8"/>
      <c r="Q56" s="7"/>
      <c r="R56" s="8" t="s">
        <v>359</v>
      </c>
      <c r="S56" s="8"/>
      <c r="T56" s="8"/>
      <c r="U56" s="8"/>
      <c r="V56" s="8" t="s">
        <v>305</v>
      </c>
      <c r="W56" s="8" t="s">
        <v>306</v>
      </c>
      <c r="X56" s="21">
        <v>0</v>
      </c>
      <c r="Y56" s="8" t="b">
        <v>0</v>
      </c>
      <c r="Z56" s="8" t="b">
        <v>0</v>
      </c>
      <c r="AA56" s="8"/>
      <c r="AB56" s="8" t="s">
        <v>218</v>
      </c>
      <c r="AC56" s="8" t="s">
        <v>360</v>
      </c>
      <c r="AD56" s="8" t="s">
        <v>360</v>
      </c>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row>
    <row r="57" spans="1:108" ht="21.75" customHeight="1" x14ac:dyDescent="0.25">
      <c r="A57" s="6" t="s">
        <v>42</v>
      </c>
      <c r="B57" s="10" t="s">
        <v>655</v>
      </c>
      <c r="C57" s="11" t="s">
        <v>361</v>
      </c>
      <c r="D57" s="11" t="s">
        <v>299</v>
      </c>
      <c r="E57" s="11" t="s">
        <v>300</v>
      </c>
      <c r="F57" s="11" t="s">
        <v>349</v>
      </c>
      <c r="G57" s="11" t="s">
        <v>313</v>
      </c>
      <c r="H57" s="11" t="s">
        <v>303</v>
      </c>
      <c r="I57" s="11"/>
      <c r="J57" s="20">
        <v>90</v>
      </c>
      <c r="K57" s="20">
        <v>70</v>
      </c>
      <c r="L57" s="11"/>
      <c r="M57" s="11"/>
      <c r="N57" s="11"/>
      <c r="O57" s="11"/>
      <c r="P57" s="11"/>
      <c r="Q57" s="10"/>
      <c r="R57" s="11" t="s">
        <v>362</v>
      </c>
      <c r="S57" s="11"/>
      <c r="T57" s="11"/>
      <c r="U57" s="11"/>
      <c r="V57" s="11" t="s">
        <v>305</v>
      </c>
      <c r="W57" s="11" t="s">
        <v>306</v>
      </c>
      <c r="X57" s="20">
        <v>0</v>
      </c>
      <c r="Y57" s="11" t="b">
        <v>0</v>
      </c>
      <c r="Z57" s="11" t="b">
        <v>0</v>
      </c>
      <c r="AA57" s="11"/>
      <c r="AB57" s="11" t="s">
        <v>218</v>
      </c>
      <c r="AC57" s="11" t="s">
        <v>363</v>
      </c>
      <c r="AD57" s="11" t="s">
        <v>363</v>
      </c>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row>
    <row r="58" spans="1:108" ht="21.75" customHeight="1" x14ac:dyDescent="0.25">
      <c r="A58" s="6" t="s">
        <v>42</v>
      </c>
      <c r="B58" s="7" t="s">
        <v>655</v>
      </c>
      <c r="C58" s="8" t="s">
        <v>361</v>
      </c>
      <c r="D58" s="8" t="s">
        <v>308</v>
      </c>
      <c r="E58" s="8" t="s">
        <v>300</v>
      </c>
      <c r="F58" s="8" t="s">
        <v>349</v>
      </c>
      <c r="G58" s="8" t="s">
        <v>313</v>
      </c>
      <c r="H58" s="8" t="s">
        <v>303</v>
      </c>
      <c r="I58" s="8"/>
      <c r="J58" s="21">
        <v>90</v>
      </c>
      <c r="K58" s="21">
        <v>70</v>
      </c>
      <c r="L58" s="8"/>
      <c r="M58" s="8"/>
      <c r="N58" s="8"/>
      <c r="O58" s="8"/>
      <c r="P58" s="8"/>
      <c r="Q58" s="7"/>
      <c r="R58" s="8" t="s">
        <v>362</v>
      </c>
      <c r="S58" s="8"/>
      <c r="T58" s="8"/>
      <c r="U58" s="8"/>
      <c r="V58" s="8" t="s">
        <v>305</v>
      </c>
      <c r="W58" s="8" t="s">
        <v>306</v>
      </c>
      <c r="X58" s="21">
        <v>0</v>
      </c>
      <c r="Y58" s="8" t="b">
        <v>0</v>
      </c>
      <c r="Z58" s="8" t="b">
        <v>0</v>
      </c>
      <c r="AA58" s="8"/>
      <c r="AB58" s="8" t="s">
        <v>218</v>
      </c>
      <c r="AC58" s="8" t="s">
        <v>363</v>
      </c>
      <c r="AD58" s="8" t="s">
        <v>363</v>
      </c>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row>
    <row r="59" spans="1:108" ht="21.75" customHeight="1" x14ac:dyDescent="0.25">
      <c r="A59" s="6" t="s">
        <v>42</v>
      </c>
      <c r="B59" s="10" t="s">
        <v>655</v>
      </c>
      <c r="C59" s="11" t="s">
        <v>361</v>
      </c>
      <c r="D59" s="11" t="s">
        <v>204</v>
      </c>
      <c r="E59" s="11" t="s">
        <v>300</v>
      </c>
      <c r="F59" s="11" t="s">
        <v>349</v>
      </c>
      <c r="G59" s="11" t="s">
        <v>313</v>
      </c>
      <c r="H59" s="11" t="s">
        <v>303</v>
      </c>
      <c r="I59" s="11"/>
      <c r="J59" s="20">
        <v>90</v>
      </c>
      <c r="K59" s="20">
        <v>70</v>
      </c>
      <c r="L59" s="11"/>
      <c r="M59" s="11"/>
      <c r="N59" s="11"/>
      <c r="O59" s="11"/>
      <c r="P59" s="11"/>
      <c r="Q59" s="10"/>
      <c r="R59" s="11" t="s">
        <v>362</v>
      </c>
      <c r="S59" s="11"/>
      <c r="T59" s="11"/>
      <c r="U59" s="11"/>
      <c r="V59" s="11" t="s">
        <v>305</v>
      </c>
      <c r="W59" s="11" t="s">
        <v>306</v>
      </c>
      <c r="X59" s="20">
        <v>0</v>
      </c>
      <c r="Y59" s="11" t="b">
        <v>0</v>
      </c>
      <c r="Z59" s="11" t="b">
        <v>0</v>
      </c>
      <c r="AA59" s="11"/>
      <c r="AB59" s="11" t="s">
        <v>218</v>
      </c>
      <c r="AC59" s="11" t="s">
        <v>363</v>
      </c>
      <c r="AD59" s="11" t="s">
        <v>363</v>
      </c>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c r="BQ59" s="11"/>
      <c r="BR59" s="11"/>
      <c r="BS59" s="11"/>
      <c r="BT59" s="11"/>
      <c r="BU59" s="11"/>
      <c r="BV59" s="11"/>
      <c r="BW59" s="11"/>
      <c r="BX59" s="11"/>
      <c r="BY59" s="11"/>
      <c r="BZ59" s="11"/>
      <c r="CA59" s="11"/>
      <c r="CB59" s="11"/>
      <c r="CC59" s="11"/>
      <c r="CD59" s="11"/>
      <c r="CE59" s="11"/>
      <c r="CF59" s="11"/>
      <c r="CG59" s="11"/>
      <c r="CH59" s="11"/>
      <c r="CI59" s="11"/>
      <c r="CJ59" s="11"/>
      <c r="CK59" s="11"/>
      <c r="CL59" s="11"/>
      <c r="CM59" s="11"/>
      <c r="CN59" s="11"/>
      <c r="CO59" s="11"/>
      <c r="CP59" s="11"/>
      <c r="CQ59" s="11"/>
      <c r="CR59" s="11"/>
      <c r="CS59" s="11"/>
      <c r="CT59" s="11"/>
      <c r="CU59" s="11"/>
      <c r="CV59" s="11"/>
      <c r="CW59" s="11"/>
      <c r="CX59" s="11"/>
      <c r="CY59" s="11"/>
      <c r="CZ59" s="11"/>
      <c r="DA59" s="11"/>
      <c r="DB59" s="11"/>
      <c r="DC59" s="11"/>
      <c r="DD59" s="11"/>
    </row>
    <row r="60" spans="1:108" ht="21.75" customHeight="1" x14ac:dyDescent="0.25">
      <c r="A60" s="6" t="s">
        <v>42</v>
      </c>
      <c r="B60" s="7" t="s">
        <v>655</v>
      </c>
      <c r="C60" s="8" t="s">
        <v>364</v>
      </c>
      <c r="D60" s="8" t="s">
        <v>299</v>
      </c>
      <c r="E60" s="8" t="s">
        <v>300</v>
      </c>
      <c r="F60" s="8" t="s">
        <v>349</v>
      </c>
      <c r="G60" s="8" t="s">
        <v>313</v>
      </c>
      <c r="H60" s="8" t="s">
        <v>333</v>
      </c>
      <c r="I60" s="8"/>
      <c r="J60" s="21">
        <v>90</v>
      </c>
      <c r="K60" s="21">
        <v>70</v>
      </c>
      <c r="L60" s="8"/>
      <c r="M60" s="8"/>
      <c r="N60" s="8"/>
      <c r="O60" s="8"/>
      <c r="P60" s="8"/>
      <c r="Q60" s="7"/>
      <c r="R60" s="8" t="s">
        <v>365</v>
      </c>
      <c r="S60" s="8"/>
      <c r="T60" s="8"/>
      <c r="U60" s="8"/>
      <c r="V60" s="8" t="s">
        <v>305</v>
      </c>
      <c r="W60" s="8" t="s">
        <v>306</v>
      </c>
      <c r="X60" s="21">
        <v>0</v>
      </c>
      <c r="Y60" s="8" t="b">
        <v>0</v>
      </c>
      <c r="Z60" s="8" t="b">
        <v>0</v>
      </c>
      <c r="AA60" s="8"/>
      <c r="AB60" s="8" t="s">
        <v>218</v>
      </c>
      <c r="AC60" s="8" t="s">
        <v>366</v>
      </c>
      <c r="AD60" s="8" t="s">
        <v>366</v>
      </c>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row>
    <row r="61" spans="1:108" ht="21.75" customHeight="1" x14ac:dyDescent="0.25">
      <c r="A61" s="6" t="s">
        <v>42</v>
      </c>
      <c r="B61" s="10" t="s">
        <v>655</v>
      </c>
      <c r="C61" s="11" t="s">
        <v>364</v>
      </c>
      <c r="D61" s="11" t="s">
        <v>308</v>
      </c>
      <c r="E61" s="11" t="s">
        <v>300</v>
      </c>
      <c r="F61" s="11" t="s">
        <v>349</v>
      </c>
      <c r="G61" s="11" t="s">
        <v>313</v>
      </c>
      <c r="H61" s="11" t="s">
        <v>333</v>
      </c>
      <c r="I61" s="11"/>
      <c r="J61" s="20">
        <v>90</v>
      </c>
      <c r="K61" s="20">
        <v>70</v>
      </c>
      <c r="L61" s="11"/>
      <c r="M61" s="11"/>
      <c r="N61" s="11"/>
      <c r="O61" s="11"/>
      <c r="P61" s="11"/>
      <c r="Q61" s="10"/>
      <c r="R61" s="11" t="s">
        <v>365</v>
      </c>
      <c r="S61" s="11"/>
      <c r="T61" s="11"/>
      <c r="U61" s="11"/>
      <c r="V61" s="11" t="s">
        <v>305</v>
      </c>
      <c r="W61" s="11" t="s">
        <v>306</v>
      </c>
      <c r="X61" s="20">
        <v>0</v>
      </c>
      <c r="Y61" s="11" t="b">
        <v>0</v>
      </c>
      <c r="Z61" s="11" t="b">
        <v>0</v>
      </c>
      <c r="AA61" s="11"/>
      <c r="AB61" s="11" t="s">
        <v>218</v>
      </c>
      <c r="AC61" s="11" t="s">
        <v>366</v>
      </c>
      <c r="AD61" s="11" t="s">
        <v>366</v>
      </c>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c r="CI61" s="11"/>
      <c r="CJ61" s="11"/>
      <c r="CK61" s="11"/>
      <c r="CL61" s="11"/>
      <c r="CM61" s="11"/>
      <c r="CN61" s="11"/>
      <c r="CO61" s="11"/>
      <c r="CP61" s="11"/>
      <c r="CQ61" s="11"/>
      <c r="CR61" s="11"/>
      <c r="CS61" s="11"/>
      <c r="CT61" s="11"/>
      <c r="CU61" s="11"/>
      <c r="CV61" s="11"/>
      <c r="CW61" s="11"/>
      <c r="CX61" s="11"/>
      <c r="CY61" s="11"/>
      <c r="CZ61" s="11"/>
      <c r="DA61" s="11"/>
      <c r="DB61" s="11"/>
      <c r="DC61" s="11"/>
      <c r="DD61" s="11"/>
    </row>
    <row r="62" spans="1:108" ht="21.75" customHeight="1" x14ac:dyDescent="0.25">
      <c r="A62" s="6" t="s">
        <v>42</v>
      </c>
      <c r="B62" s="7" t="s">
        <v>655</v>
      </c>
      <c r="C62" s="8" t="s">
        <v>364</v>
      </c>
      <c r="D62" s="8" t="s">
        <v>204</v>
      </c>
      <c r="E62" s="8" t="s">
        <v>300</v>
      </c>
      <c r="F62" s="8" t="s">
        <v>349</v>
      </c>
      <c r="G62" s="8" t="s">
        <v>313</v>
      </c>
      <c r="H62" s="8" t="s">
        <v>333</v>
      </c>
      <c r="I62" s="8"/>
      <c r="J62" s="21">
        <v>90</v>
      </c>
      <c r="K62" s="21">
        <v>70</v>
      </c>
      <c r="L62" s="8"/>
      <c r="M62" s="8"/>
      <c r="N62" s="8"/>
      <c r="O62" s="8"/>
      <c r="P62" s="8"/>
      <c r="Q62" s="7"/>
      <c r="R62" s="8" t="s">
        <v>365</v>
      </c>
      <c r="S62" s="8"/>
      <c r="T62" s="8"/>
      <c r="U62" s="8"/>
      <c r="V62" s="8" t="s">
        <v>305</v>
      </c>
      <c r="W62" s="8" t="s">
        <v>306</v>
      </c>
      <c r="X62" s="21">
        <v>0</v>
      </c>
      <c r="Y62" s="8" t="b">
        <v>0</v>
      </c>
      <c r="Z62" s="8" t="b">
        <v>0</v>
      </c>
      <c r="AA62" s="8"/>
      <c r="AB62" s="8" t="s">
        <v>218</v>
      </c>
      <c r="AC62" s="8" t="s">
        <v>366</v>
      </c>
      <c r="AD62" s="8" t="s">
        <v>366</v>
      </c>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row>
    <row r="63" spans="1:108" ht="32.25" customHeight="1" x14ac:dyDescent="0.25">
      <c r="A63" s="6" t="s">
        <v>43</v>
      </c>
      <c r="B63" s="10" t="s">
        <v>44</v>
      </c>
      <c r="C63" s="11" t="s">
        <v>367</v>
      </c>
      <c r="D63" s="11" t="s">
        <v>299</v>
      </c>
      <c r="E63" s="11" t="s">
        <v>300</v>
      </c>
      <c r="F63" s="11" t="s">
        <v>301</v>
      </c>
      <c r="G63" s="11" t="s">
        <v>313</v>
      </c>
      <c r="H63" s="11" t="s">
        <v>303</v>
      </c>
      <c r="I63" s="11"/>
      <c r="J63" s="20">
        <v>90</v>
      </c>
      <c r="K63" s="20">
        <v>70</v>
      </c>
      <c r="L63" s="11"/>
      <c r="M63" s="11"/>
      <c r="N63" s="11"/>
      <c r="O63" s="11"/>
      <c r="P63" s="11"/>
      <c r="Q63" s="10"/>
      <c r="R63" s="11" t="s">
        <v>368</v>
      </c>
      <c r="S63" s="11"/>
      <c r="T63" s="11"/>
      <c r="U63" s="11"/>
      <c r="V63" s="11" t="s">
        <v>305</v>
      </c>
      <c r="W63" s="11" t="s">
        <v>306</v>
      </c>
      <c r="X63" s="20">
        <v>0</v>
      </c>
      <c r="Y63" s="11" t="b">
        <v>0</v>
      </c>
      <c r="Z63" s="11" t="b">
        <v>0</v>
      </c>
      <c r="AA63" s="11"/>
      <c r="AB63" s="11" t="s">
        <v>218</v>
      </c>
      <c r="AC63" s="11" t="s">
        <v>369</v>
      </c>
      <c r="AD63" s="11" t="s">
        <v>369</v>
      </c>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c r="BP63" s="11"/>
      <c r="BQ63" s="11"/>
      <c r="BR63" s="11"/>
      <c r="BS63" s="11"/>
      <c r="BT63" s="11"/>
      <c r="BU63" s="11"/>
      <c r="BV63" s="11"/>
      <c r="BW63" s="11"/>
      <c r="BX63" s="11"/>
      <c r="BY63" s="11"/>
      <c r="BZ63" s="11"/>
      <c r="CA63" s="11"/>
      <c r="CB63" s="11"/>
      <c r="CC63" s="11"/>
      <c r="CD63" s="11"/>
      <c r="CE63" s="11"/>
      <c r="CF63" s="11"/>
      <c r="CG63" s="11"/>
      <c r="CH63" s="11"/>
      <c r="CI63" s="11"/>
      <c r="CJ63" s="11"/>
      <c r="CK63" s="11"/>
      <c r="CL63" s="11"/>
      <c r="CM63" s="11"/>
      <c r="CN63" s="11"/>
      <c r="CO63" s="11"/>
      <c r="CP63" s="11"/>
      <c r="CQ63" s="11"/>
      <c r="CR63" s="11"/>
      <c r="CS63" s="11"/>
      <c r="CT63" s="11"/>
      <c r="CU63" s="11"/>
      <c r="CV63" s="11"/>
      <c r="CW63" s="11"/>
      <c r="CX63" s="11"/>
      <c r="CY63" s="11"/>
      <c r="CZ63" s="11"/>
      <c r="DA63" s="11"/>
      <c r="DB63" s="11"/>
      <c r="DC63" s="11"/>
      <c r="DD63" s="11"/>
    </row>
    <row r="64" spans="1:108" ht="32.25" customHeight="1" x14ac:dyDescent="0.25">
      <c r="A64" s="6" t="s">
        <v>43</v>
      </c>
      <c r="B64" s="7" t="s">
        <v>44</v>
      </c>
      <c r="C64" s="8" t="s">
        <v>367</v>
      </c>
      <c r="D64" s="8" t="s">
        <v>308</v>
      </c>
      <c r="E64" s="8" t="s">
        <v>300</v>
      </c>
      <c r="F64" s="8" t="s">
        <v>301</v>
      </c>
      <c r="G64" s="8" t="s">
        <v>313</v>
      </c>
      <c r="H64" s="8" t="s">
        <v>303</v>
      </c>
      <c r="I64" s="8"/>
      <c r="J64" s="21">
        <v>90</v>
      </c>
      <c r="K64" s="21">
        <v>70</v>
      </c>
      <c r="L64" s="8"/>
      <c r="M64" s="8"/>
      <c r="N64" s="8"/>
      <c r="O64" s="8"/>
      <c r="P64" s="8"/>
      <c r="Q64" s="7"/>
      <c r="R64" s="8" t="s">
        <v>368</v>
      </c>
      <c r="S64" s="8"/>
      <c r="T64" s="8"/>
      <c r="U64" s="8"/>
      <c r="V64" s="8" t="s">
        <v>305</v>
      </c>
      <c r="W64" s="8" t="s">
        <v>306</v>
      </c>
      <c r="X64" s="21">
        <v>0</v>
      </c>
      <c r="Y64" s="8" t="b">
        <v>0</v>
      </c>
      <c r="Z64" s="8" t="b">
        <v>0</v>
      </c>
      <c r="AA64" s="8"/>
      <c r="AB64" s="8" t="s">
        <v>218</v>
      </c>
      <c r="AC64" s="8" t="s">
        <v>369</v>
      </c>
      <c r="AD64" s="8" t="s">
        <v>369</v>
      </c>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c r="CN64" s="8"/>
      <c r="CO64" s="8"/>
      <c r="CP64" s="8"/>
      <c r="CQ64" s="8"/>
      <c r="CR64" s="8"/>
      <c r="CS64" s="8"/>
      <c r="CT64" s="8"/>
      <c r="CU64" s="8"/>
      <c r="CV64" s="8"/>
      <c r="CW64" s="8"/>
      <c r="CX64" s="8"/>
      <c r="CY64" s="8"/>
      <c r="CZ64" s="8"/>
      <c r="DA64" s="8"/>
      <c r="DB64" s="8"/>
      <c r="DC64" s="8"/>
      <c r="DD64" s="8"/>
    </row>
    <row r="65" spans="1:108" ht="32.25" customHeight="1" x14ac:dyDescent="0.25">
      <c r="A65" s="6" t="s">
        <v>43</v>
      </c>
      <c r="B65" s="10" t="s">
        <v>44</v>
      </c>
      <c r="C65" s="11" t="s">
        <v>367</v>
      </c>
      <c r="D65" s="11" t="s">
        <v>204</v>
      </c>
      <c r="E65" s="11" t="s">
        <v>300</v>
      </c>
      <c r="F65" s="11" t="s">
        <v>301</v>
      </c>
      <c r="G65" s="11" t="s">
        <v>313</v>
      </c>
      <c r="H65" s="11" t="s">
        <v>303</v>
      </c>
      <c r="I65" s="11"/>
      <c r="J65" s="20">
        <v>90</v>
      </c>
      <c r="K65" s="20">
        <v>70</v>
      </c>
      <c r="L65" s="11"/>
      <c r="M65" s="11"/>
      <c r="N65" s="11"/>
      <c r="O65" s="11"/>
      <c r="P65" s="11"/>
      <c r="Q65" s="10"/>
      <c r="R65" s="11" t="s">
        <v>368</v>
      </c>
      <c r="S65" s="11"/>
      <c r="T65" s="11"/>
      <c r="U65" s="11"/>
      <c r="V65" s="11" t="s">
        <v>305</v>
      </c>
      <c r="W65" s="11" t="s">
        <v>306</v>
      </c>
      <c r="X65" s="20">
        <v>0</v>
      </c>
      <c r="Y65" s="11" t="b">
        <v>0</v>
      </c>
      <c r="Z65" s="11" t="b">
        <v>0</v>
      </c>
      <c r="AA65" s="11"/>
      <c r="AB65" s="11" t="s">
        <v>218</v>
      </c>
      <c r="AC65" s="11" t="s">
        <v>369</v>
      </c>
      <c r="AD65" s="11" t="s">
        <v>369</v>
      </c>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c r="BM65" s="11"/>
      <c r="BN65" s="11"/>
      <c r="BO65" s="11"/>
      <c r="BP65" s="11"/>
      <c r="BQ65" s="11"/>
      <c r="BR65" s="11"/>
      <c r="BS65" s="11"/>
      <c r="BT65" s="11"/>
      <c r="BU65" s="11"/>
      <c r="BV65" s="11"/>
      <c r="BW65" s="11"/>
      <c r="BX65" s="11"/>
      <c r="BY65" s="11"/>
      <c r="BZ65" s="11"/>
      <c r="CA65" s="11"/>
      <c r="CB65" s="11"/>
      <c r="CC65" s="11"/>
      <c r="CD65" s="11"/>
      <c r="CE65" s="11"/>
      <c r="CF65" s="11"/>
      <c r="CG65" s="11"/>
      <c r="CH65" s="11"/>
      <c r="CI65" s="11"/>
      <c r="CJ65" s="11"/>
      <c r="CK65" s="11"/>
      <c r="CL65" s="11"/>
      <c r="CM65" s="11"/>
      <c r="CN65" s="11"/>
      <c r="CO65" s="11"/>
      <c r="CP65" s="11"/>
      <c r="CQ65" s="11"/>
      <c r="CR65" s="11"/>
      <c r="CS65" s="11"/>
      <c r="CT65" s="11"/>
      <c r="CU65" s="11"/>
      <c r="CV65" s="11"/>
      <c r="CW65" s="11"/>
      <c r="CX65" s="11"/>
      <c r="CY65" s="11"/>
      <c r="CZ65" s="11"/>
      <c r="DA65" s="11"/>
      <c r="DB65" s="11"/>
      <c r="DC65" s="11"/>
      <c r="DD65" s="11"/>
    </row>
    <row r="66" spans="1:108" ht="32.25" customHeight="1" x14ac:dyDescent="0.25">
      <c r="A66" s="6" t="s">
        <v>43</v>
      </c>
      <c r="B66" s="7" t="s">
        <v>44</v>
      </c>
      <c r="C66" s="8" t="s">
        <v>370</v>
      </c>
      <c r="D66" s="8" t="s">
        <v>299</v>
      </c>
      <c r="E66" s="8" t="s">
        <v>300</v>
      </c>
      <c r="F66" s="8" t="s">
        <v>301</v>
      </c>
      <c r="G66" s="8" t="s">
        <v>313</v>
      </c>
      <c r="H66" s="8" t="s">
        <v>333</v>
      </c>
      <c r="I66" s="8"/>
      <c r="J66" s="21">
        <v>90</v>
      </c>
      <c r="K66" s="21">
        <v>70</v>
      </c>
      <c r="L66" s="8"/>
      <c r="M66" s="8"/>
      <c r="N66" s="8"/>
      <c r="O66" s="8"/>
      <c r="P66" s="8"/>
      <c r="Q66" s="7"/>
      <c r="R66" s="8" t="s">
        <v>371</v>
      </c>
      <c r="S66" s="8"/>
      <c r="T66" s="8"/>
      <c r="U66" s="8"/>
      <c r="V66" s="8" t="s">
        <v>305</v>
      </c>
      <c r="W66" s="8" t="s">
        <v>306</v>
      </c>
      <c r="X66" s="21">
        <v>0</v>
      </c>
      <c r="Y66" s="8" t="b">
        <v>0</v>
      </c>
      <c r="Z66" s="8" t="b">
        <v>0</v>
      </c>
      <c r="AA66" s="8"/>
      <c r="AB66" s="8" t="s">
        <v>218</v>
      </c>
      <c r="AC66" s="8" t="s">
        <v>372</v>
      </c>
      <c r="AD66" s="8" t="s">
        <v>372</v>
      </c>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c r="CQ66" s="8"/>
      <c r="CR66" s="8"/>
      <c r="CS66" s="8"/>
      <c r="CT66" s="8"/>
      <c r="CU66" s="8"/>
      <c r="CV66" s="8"/>
      <c r="CW66" s="8"/>
      <c r="CX66" s="8"/>
      <c r="CY66" s="8"/>
      <c r="CZ66" s="8"/>
      <c r="DA66" s="8"/>
      <c r="DB66" s="8"/>
      <c r="DC66" s="8"/>
      <c r="DD66" s="8"/>
    </row>
    <row r="67" spans="1:108" ht="32.25" customHeight="1" x14ac:dyDescent="0.25">
      <c r="A67" s="6" t="s">
        <v>43</v>
      </c>
      <c r="B67" s="10" t="s">
        <v>44</v>
      </c>
      <c r="C67" s="11" t="s">
        <v>370</v>
      </c>
      <c r="D67" s="11" t="s">
        <v>308</v>
      </c>
      <c r="E67" s="11" t="s">
        <v>300</v>
      </c>
      <c r="F67" s="11" t="s">
        <v>301</v>
      </c>
      <c r="G67" s="11" t="s">
        <v>313</v>
      </c>
      <c r="H67" s="11" t="s">
        <v>333</v>
      </c>
      <c r="I67" s="11"/>
      <c r="J67" s="20">
        <v>90</v>
      </c>
      <c r="K67" s="20">
        <v>70</v>
      </c>
      <c r="L67" s="11"/>
      <c r="M67" s="11"/>
      <c r="N67" s="11"/>
      <c r="O67" s="11"/>
      <c r="P67" s="11"/>
      <c r="Q67" s="10"/>
      <c r="R67" s="11" t="s">
        <v>371</v>
      </c>
      <c r="S67" s="11"/>
      <c r="T67" s="11"/>
      <c r="U67" s="11"/>
      <c r="V67" s="11" t="s">
        <v>305</v>
      </c>
      <c r="W67" s="11" t="s">
        <v>306</v>
      </c>
      <c r="X67" s="20">
        <v>0</v>
      </c>
      <c r="Y67" s="11" t="b">
        <v>0</v>
      </c>
      <c r="Z67" s="11" t="b">
        <v>0</v>
      </c>
      <c r="AA67" s="11"/>
      <c r="AB67" s="11" t="s">
        <v>218</v>
      </c>
      <c r="AC67" s="11" t="s">
        <v>372</v>
      </c>
      <c r="AD67" s="11" t="s">
        <v>372</v>
      </c>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O67" s="11"/>
      <c r="BP67" s="11"/>
      <c r="BQ67" s="11"/>
      <c r="BR67" s="11"/>
      <c r="BS67" s="11"/>
      <c r="BT67" s="11"/>
      <c r="BU67" s="11"/>
      <c r="BV67" s="11"/>
      <c r="BW67" s="11"/>
      <c r="BX67" s="11"/>
      <c r="BY67" s="11"/>
      <c r="BZ67" s="11"/>
      <c r="CA67" s="11"/>
      <c r="CB67" s="11"/>
      <c r="CC67" s="11"/>
      <c r="CD67" s="11"/>
      <c r="CE67" s="11"/>
      <c r="CF67" s="11"/>
      <c r="CG67" s="11"/>
      <c r="CH67" s="11"/>
      <c r="CI67" s="11"/>
      <c r="CJ67" s="11"/>
      <c r="CK67" s="11"/>
      <c r="CL67" s="11"/>
      <c r="CM67" s="11"/>
      <c r="CN67" s="11"/>
      <c r="CO67" s="11"/>
      <c r="CP67" s="11"/>
      <c r="CQ67" s="11"/>
      <c r="CR67" s="11"/>
      <c r="CS67" s="11"/>
      <c r="CT67" s="11"/>
      <c r="CU67" s="11"/>
      <c r="CV67" s="11"/>
      <c r="CW67" s="11"/>
      <c r="CX67" s="11"/>
      <c r="CY67" s="11"/>
      <c r="CZ67" s="11"/>
      <c r="DA67" s="11"/>
      <c r="DB67" s="11"/>
      <c r="DC67" s="11"/>
      <c r="DD67" s="11"/>
    </row>
    <row r="68" spans="1:108" ht="32.25" customHeight="1" x14ac:dyDescent="0.25">
      <c r="A68" s="6" t="s">
        <v>43</v>
      </c>
      <c r="B68" s="7" t="s">
        <v>44</v>
      </c>
      <c r="C68" s="8" t="s">
        <v>370</v>
      </c>
      <c r="D68" s="8" t="s">
        <v>204</v>
      </c>
      <c r="E68" s="8" t="s">
        <v>300</v>
      </c>
      <c r="F68" s="8" t="s">
        <v>301</v>
      </c>
      <c r="G68" s="8" t="s">
        <v>313</v>
      </c>
      <c r="H68" s="8" t="s">
        <v>333</v>
      </c>
      <c r="I68" s="8"/>
      <c r="J68" s="21">
        <v>90</v>
      </c>
      <c r="K68" s="21">
        <v>70</v>
      </c>
      <c r="L68" s="8"/>
      <c r="M68" s="8"/>
      <c r="N68" s="8"/>
      <c r="O68" s="8"/>
      <c r="P68" s="8"/>
      <c r="Q68" s="7"/>
      <c r="R68" s="8" t="s">
        <v>371</v>
      </c>
      <c r="S68" s="8"/>
      <c r="T68" s="8"/>
      <c r="U68" s="8"/>
      <c r="V68" s="8" t="s">
        <v>305</v>
      </c>
      <c r="W68" s="8" t="s">
        <v>306</v>
      </c>
      <c r="X68" s="21">
        <v>0</v>
      </c>
      <c r="Y68" s="8" t="b">
        <v>0</v>
      </c>
      <c r="Z68" s="8" t="b">
        <v>0</v>
      </c>
      <c r="AA68" s="8"/>
      <c r="AB68" s="8" t="s">
        <v>218</v>
      </c>
      <c r="AC68" s="8" t="s">
        <v>372</v>
      </c>
      <c r="AD68" s="8" t="s">
        <v>372</v>
      </c>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8"/>
      <c r="CP68" s="8"/>
      <c r="CQ68" s="8"/>
      <c r="CR68" s="8"/>
      <c r="CS68" s="8"/>
      <c r="CT68" s="8"/>
      <c r="CU68" s="8"/>
      <c r="CV68" s="8"/>
      <c r="CW68" s="8"/>
      <c r="CX68" s="8"/>
      <c r="CY68" s="8"/>
      <c r="CZ68" s="8"/>
      <c r="DA68" s="8"/>
      <c r="DB68" s="8"/>
      <c r="DC68" s="8"/>
      <c r="DD68" s="8"/>
    </row>
    <row r="69" spans="1:108" ht="32.25" customHeight="1" x14ac:dyDescent="0.25">
      <c r="A69" s="6" t="s">
        <v>43</v>
      </c>
      <c r="B69" s="10" t="s">
        <v>44</v>
      </c>
      <c r="C69" s="11" t="s">
        <v>373</v>
      </c>
      <c r="D69" s="11" t="s">
        <v>299</v>
      </c>
      <c r="E69" s="11" t="s">
        <v>300</v>
      </c>
      <c r="F69" s="11" t="s">
        <v>301</v>
      </c>
      <c r="G69" s="11" t="s">
        <v>313</v>
      </c>
      <c r="H69" s="11" t="s">
        <v>333</v>
      </c>
      <c r="I69" s="11"/>
      <c r="J69" s="20">
        <v>90</v>
      </c>
      <c r="K69" s="20">
        <v>70</v>
      </c>
      <c r="L69" s="11"/>
      <c r="M69" s="11"/>
      <c r="N69" s="11"/>
      <c r="O69" s="11"/>
      <c r="P69" s="11"/>
      <c r="Q69" s="10"/>
      <c r="R69" s="11" t="s">
        <v>374</v>
      </c>
      <c r="S69" s="11"/>
      <c r="T69" s="11"/>
      <c r="U69" s="11"/>
      <c r="V69" s="11" t="s">
        <v>305</v>
      </c>
      <c r="W69" s="11" t="s">
        <v>306</v>
      </c>
      <c r="X69" s="20">
        <v>0</v>
      </c>
      <c r="Y69" s="11" t="b">
        <v>0</v>
      </c>
      <c r="Z69" s="11" t="b">
        <v>0</v>
      </c>
      <c r="AA69" s="11"/>
      <c r="AB69" s="11" t="s">
        <v>218</v>
      </c>
      <c r="AC69" s="11" t="s">
        <v>375</v>
      </c>
      <c r="AD69" s="11" t="s">
        <v>375</v>
      </c>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1"/>
      <c r="BO69" s="11"/>
      <c r="BP69" s="11"/>
      <c r="BQ69" s="11"/>
      <c r="BR69" s="11"/>
      <c r="BS69" s="11"/>
      <c r="BT69" s="11"/>
      <c r="BU69" s="11"/>
      <c r="BV69" s="11"/>
      <c r="BW69" s="11"/>
      <c r="BX69" s="11"/>
      <c r="BY69" s="11"/>
      <c r="BZ69" s="11"/>
      <c r="CA69" s="11"/>
      <c r="CB69" s="11"/>
      <c r="CC69" s="11"/>
      <c r="CD69" s="11"/>
      <c r="CE69" s="11"/>
      <c r="CF69" s="11"/>
      <c r="CG69" s="11"/>
      <c r="CH69" s="11"/>
      <c r="CI69" s="11"/>
      <c r="CJ69" s="11"/>
      <c r="CK69" s="11"/>
      <c r="CL69" s="11"/>
      <c r="CM69" s="11"/>
      <c r="CN69" s="11"/>
      <c r="CO69" s="11"/>
      <c r="CP69" s="11"/>
      <c r="CQ69" s="11"/>
      <c r="CR69" s="11"/>
      <c r="CS69" s="11"/>
      <c r="CT69" s="11"/>
      <c r="CU69" s="11"/>
      <c r="CV69" s="11"/>
      <c r="CW69" s="11"/>
      <c r="CX69" s="11"/>
      <c r="CY69" s="11"/>
      <c r="CZ69" s="11"/>
      <c r="DA69" s="11"/>
      <c r="DB69" s="11"/>
      <c r="DC69" s="11"/>
      <c r="DD69" s="11"/>
    </row>
    <row r="70" spans="1:108" ht="32.25" customHeight="1" x14ac:dyDescent="0.25">
      <c r="A70" s="6" t="s">
        <v>43</v>
      </c>
      <c r="B70" s="7" t="s">
        <v>44</v>
      </c>
      <c r="C70" s="8" t="s">
        <v>373</v>
      </c>
      <c r="D70" s="8" t="s">
        <v>308</v>
      </c>
      <c r="E70" s="8" t="s">
        <v>300</v>
      </c>
      <c r="F70" s="8" t="s">
        <v>301</v>
      </c>
      <c r="G70" s="8" t="s">
        <v>313</v>
      </c>
      <c r="H70" s="8" t="s">
        <v>333</v>
      </c>
      <c r="I70" s="8"/>
      <c r="J70" s="21">
        <v>90</v>
      </c>
      <c r="K70" s="21">
        <v>70</v>
      </c>
      <c r="L70" s="8"/>
      <c r="M70" s="8"/>
      <c r="N70" s="8"/>
      <c r="O70" s="8"/>
      <c r="P70" s="8"/>
      <c r="Q70" s="7"/>
      <c r="R70" s="8" t="s">
        <v>374</v>
      </c>
      <c r="S70" s="8"/>
      <c r="T70" s="8"/>
      <c r="U70" s="8"/>
      <c r="V70" s="8" t="s">
        <v>305</v>
      </c>
      <c r="W70" s="8" t="s">
        <v>306</v>
      </c>
      <c r="X70" s="21">
        <v>0</v>
      </c>
      <c r="Y70" s="8" t="b">
        <v>0</v>
      </c>
      <c r="Z70" s="8" t="b">
        <v>0</v>
      </c>
      <c r="AA70" s="8"/>
      <c r="AB70" s="8" t="s">
        <v>218</v>
      </c>
      <c r="AC70" s="8" t="s">
        <v>375</v>
      </c>
      <c r="AD70" s="8" t="s">
        <v>375</v>
      </c>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c r="CO70" s="8"/>
      <c r="CP70" s="8"/>
      <c r="CQ70" s="8"/>
      <c r="CR70" s="8"/>
      <c r="CS70" s="8"/>
      <c r="CT70" s="8"/>
      <c r="CU70" s="8"/>
      <c r="CV70" s="8"/>
      <c r="CW70" s="8"/>
      <c r="CX70" s="8"/>
      <c r="CY70" s="8"/>
      <c r="CZ70" s="8"/>
      <c r="DA70" s="8"/>
      <c r="DB70" s="8"/>
      <c r="DC70" s="8"/>
      <c r="DD70" s="8"/>
    </row>
    <row r="71" spans="1:108" ht="32.25" customHeight="1" x14ac:dyDescent="0.25">
      <c r="A71" s="6" t="s">
        <v>43</v>
      </c>
      <c r="B71" s="10" t="s">
        <v>44</v>
      </c>
      <c r="C71" s="11" t="s">
        <v>373</v>
      </c>
      <c r="D71" s="11" t="s">
        <v>204</v>
      </c>
      <c r="E71" s="11" t="s">
        <v>300</v>
      </c>
      <c r="F71" s="11" t="s">
        <v>301</v>
      </c>
      <c r="G71" s="11" t="s">
        <v>313</v>
      </c>
      <c r="H71" s="11" t="s">
        <v>333</v>
      </c>
      <c r="I71" s="11"/>
      <c r="J71" s="20">
        <v>90</v>
      </c>
      <c r="K71" s="20">
        <v>70</v>
      </c>
      <c r="L71" s="11"/>
      <c r="M71" s="11"/>
      <c r="N71" s="11"/>
      <c r="O71" s="11"/>
      <c r="P71" s="11"/>
      <c r="Q71" s="10"/>
      <c r="R71" s="11" t="s">
        <v>374</v>
      </c>
      <c r="S71" s="11"/>
      <c r="T71" s="11"/>
      <c r="U71" s="11"/>
      <c r="V71" s="11" t="s">
        <v>305</v>
      </c>
      <c r="W71" s="11" t="s">
        <v>306</v>
      </c>
      <c r="X71" s="20">
        <v>0</v>
      </c>
      <c r="Y71" s="11" t="b">
        <v>0</v>
      </c>
      <c r="Z71" s="11" t="b">
        <v>0</v>
      </c>
      <c r="AA71" s="11"/>
      <c r="AB71" s="11" t="s">
        <v>218</v>
      </c>
      <c r="AC71" s="11" t="s">
        <v>375</v>
      </c>
      <c r="AD71" s="11" t="s">
        <v>375</v>
      </c>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c r="BP71" s="11"/>
      <c r="BQ71" s="11"/>
      <c r="BR71" s="11"/>
      <c r="BS71" s="11"/>
      <c r="BT71" s="11"/>
      <c r="BU71" s="11"/>
      <c r="BV71" s="11"/>
      <c r="BW71" s="11"/>
      <c r="BX71" s="11"/>
      <c r="BY71" s="11"/>
      <c r="BZ71" s="11"/>
      <c r="CA71" s="11"/>
      <c r="CB71" s="11"/>
      <c r="CC71" s="11"/>
      <c r="CD71" s="11"/>
      <c r="CE71" s="11"/>
      <c r="CF71" s="11"/>
      <c r="CG71" s="11"/>
      <c r="CH71" s="11"/>
      <c r="CI71" s="11"/>
      <c r="CJ71" s="11"/>
      <c r="CK71" s="11"/>
      <c r="CL71" s="11"/>
      <c r="CM71" s="11"/>
      <c r="CN71" s="11"/>
      <c r="CO71" s="11"/>
      <c r="CP71" s="11"/>
      <c r="CQ71" s="11"/>
      <c r="CR71" s="11"/>
      <c r="CS71" s="11"/>
      <c r="CT71" s="11"/>
      <c r="CU71" s="11"/>
      <c r="CV71" s="11"/>
      <c r="CW71" s="11"/>
      <c r="CX71" s="11"/>
      <c r="CY71" s="11"/>
      <c r="CZ71" s="11"/>
      <c r="DA71" s="11"/>
      <c r="DB71" s="11"/>
      <c r="DC71" s="11"/>
      <c r="DD71" s="11"/>
    </row>
    <row r="72" spans="1:108" ht="24" x14ac:dyDescent="0.25">
      <c r="A72" s="6" t="s">
        <v>664</v>
      </c>
      <c r="B72" s="10" t="s">
        <v>663</v>
      </c>
      <c r="C72" s="11" t="s">
        <v>298</v>
      </c>
      <c r="D72" s="11" t="s">
        <v>299</v>
      </c>
      <c r="E72" s="11" t="s">
        <v>300</v>
      </c>
      <c r="F72" s="11" t="s">
        <v>301</v>
      </c>
      <c r="G72" s="11" t="s">
        <v>302</v>
      </c>
      <c r="H72" s="11" t="s">
        <v>303</v>
      </c>
      <c r="I72" s="11" t="s">
        <v>300</v>
      </c>
      <c r="J72" s="20">
        <v>90</v>
      </c>
      <c r="K72" s="20">
        <v>70</v>
      </c>
      <c r="L72" s="11"/>
      <c r="M72" s="11"/>
      <c r="N72" s="11"/>
      <c r="O72" s="11"/>
      <c r="P72" s="11"/>
      <c r="Q72" s="10"/>
      <c r="R72" s="26" t="s">
        <v>786</v>
      </c>
      <c r="S72" s="11"/>
      <c r="T72" s="11"/>
      <c r="U72" s="11"/>
      <c r="V72" s="11" t="s">
        <v>305</v>
      </c>
      <c r="W72" s="11" t="s">
        <v>306</v>
      </c>
      <c r="X72" s="20">
        <v>0</v>
      </c>
      <c r="Y72" s="11" t="b">
        <v>0</v>
      </c>
      <c r="Z72" s="11" t="b">
        <v>0</v>
      </c>
      <c r="AA72" s="11"/>
      <c r="AB72" s="11" t="s">
        <v>218</v>
      </c>
      <c r="AC72" s="11" t="s">
        <v>307</v>
      </c>
      <c r="AD72" s="11" t="s">
        <v>307</v>
      </c>
      <c r="AE72" s="20">
        <v>50</v>
      </c>
      <c r="AF72" s="20">
        <v>100</v>
      </c>
      <c r="AG72" s="20">
        <v>100</v>
      </c>
      <c r="AH72" s="20">
        <v>100</v>
      </c>
      <c r="AI72" s="20">
        <v>100</v>
      </c>
      <c r="AJ72" s="11"/>
      <c r="AK72" s="11"/>
      <c r="AL72" s="11"/>
      <c r="AM72" s="11"/>
      <c r="AN72" s="11"/>
      <c r="AO72" s="11"/>
      <c r="AP72" s="11"/>
      <c r="AQ72" s="11"/>
      <c r="AR72" s="11"/>
      <c r="AS72" s="11"/>
      <c r="AT72" s="11"/>
      <c r="AU72" s="20">
        <v>50</v>
      </c>
      <c r="AV72" s="11"/>
      <c r="AW72" s="11"/>
      <c r="AX72" s="11"/>
      <c r="AY72" s="11"/>
      <c r="AZ72" s="11"/>
      <c r="BA72" s="11"/>
      <c r="BB72" s="11"/>
      <c r="BC72" s="11"/>
      <c r="BD72" s="11"/>
      <c r="BE72" s="11"/>
      <c r="BF72" s="11"/>
      <c r="BG72" s="20">
        <v>100</v>
      </c>
      <c r="BH72" s="11"/>
      <c r="BI72" s="11"/>
      <c r="BJ72" s="11"/>
      <c r="BK72" s="11"/>
      <c r="BL72" s="11"/>
      <c r="BM72" s="11"/>
      <c r="BN72" s="11"/>
      <c r="BO72" s="11"/>
      <c r="BP72" s="11"/>
      <c r="BQ72" s="11"/>
      <c r="BR72" s="11"/>
      <c r="BS72" s="20">
        <v>100</v>
      </c>
      <c r="BT72" s="11"/>
      <c r="BU72" s="11"/>
      <c r="BV72" s="11"/>
      <c r="BW72" s="11"/>
      <c r="BX72" s="11"/>
      <c r="BY72" s="11"/>
      <c r="BZ72" s="11"/>
      <c r="CA72" s="11"/>
      <c r="CB72" s="11"/>
      <c r="CC72" s="11"/>
      <c r="CD72" s="11"/>
      <c r="CE72" s="20">
        <v>100</v>
      </c>
      <c r="CF72" s="11"/>
      <c r="CG72" s="11"/>
      <c r="CH72" s="11"/>
      <c r="CI72" s="11"/>
      <c r="CJ72" s="11"/>
      <c r="CK72" s="11"/>
      <c r="CL72" s="11"/>
      <c r="CM72" s="11"/>
      <c r="CN72" s="11"/>
      <c r="CO72" s="11"/>
      <c r="CP72" s="11"/>
      <c r="CQ72" s="20">
        <v>100</v>
      </c>
      <c r="CR72" s="11"/>
      <c r="CS72" s="11"/>
      <c r="CT72" s="11"/>
      <c r="CU72" s="11"/>
      <c r="CV72" s="11"/>
      <c r="CW72" s="11"/>
      <c r="CX72" s="11"/>
      <c r="CY72" s="11"/>
      <c r="CZ72" s="11"/>
      <c r="DA72" s="11"/>
      <c r="DB72" s="11"/>
      <c r="DC72" s="11"/>
      <c r="DD72" s="11"/>
    </row>
    <row r="73" spans="1:108" ht="24" x14ac:dyDescent="0.25">
      <c r="A73" s="6" t="s">
        <v>664</v>
      </c>
      <c r="B73" s="7" t="s">
        <v>663</v>
      </c>
      <c r="C73" s="8" t="s">
        <v>298</v>
      </c>
      <c r="D73" s="8" t="s">
        <v>308</v>
      </c>
      <c r="E73" s="8" t="s">
        <v>300</v>
      </c>
      <c r="F73" s="8" t="s">
        <v>301</v>
      </c>
      <c r="G73" s="8" t="s">
        <v>302</v>
      </c>
      <c r="H73" s="8" t="s">
        <v>303</v>
      </c>
      <c r="I73" s="8" t="s">
        <v>300</v>
      </c>
      <c r="J73" s="21">
        <v>90</v>
      </c>
      <c r="K73" s="21">
        <v>70</v>
      </c>
      <c r="L73" s="8"/>
      <c r="M73" s="8"/>
      <c r="N73" s="8"/>
      <c r="O73" s="8"/>
      <c r="P73" s="8"/>
      <c r="Q73" s="7"/>
      <c r="R73" s="25" t="s">
        <v>786</v>
      </c>
      <c r="S73" s="8"/>
      <c r="T73" s="8"/>
      <c r="U73" s="8"/>
      <c r="V73" s="8" t="s">
        <v>305</v>
      </c>
      <c r="W73" s="8" t="s">
        <v>306</v>
      </c>
      <c r="X73" s="21">
        <v>0</v>
      </c>
      <c r="Y73" s="8" t="b">
        <v>0</v>
      </c>
      <c r="Z73" s="8" t="b">
        <v>0</v>
      </c>
      <c r="AA73" s="8"/>
      <c r="AB73" s="8" t="s">
        <v>218</v>
      </c>
      <c r="AC73" s="8" t="s">
        <v>307</v>
      </c>
      <c r="AD73" s="8" t="s">
        <v>307</v>
      </c>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c r="CN73" s="8"/>
      <c r="CO73" s="8"/>
      <c r="CP73" s="8"/>
      <c r="CQ73" s="8"/>
      <c r="CR73" s="8"/>
      <c r="CS73" s="8"/>
      <c r="CT73" s="8"/>
      <c r="CU73" s="8"/>
      <c r="CV73" s="8"/>
      <c r="CW73" s="8"/>
      <c r="CX73" s="8"/>
      <c r="CY73" s="8"/>
      <c r="CZ73" s="8"/>
      <c r="DA73" s="8"/>
      <c r="DB73" s="8"/>
      <c r="DC73" s="8"/>
      <c r="DD73" s="8"/>
    </row>
    <row r="74" spans="1:108" ht="24" x14ac:dyDescent="0.25">
      <c r="A74" s="6" t="s">
        <v>664</v>
      </c>
      <c r="B74" s="10" t="s">
        <v>663</v>
      </c>
      <c r="C74" s="11" t="s">
        <v>298</v>
      </c>
      <c r="D74" s="11" t="s">
        <v>204</v>
      </c>
      <c r="E74" s="11" t="s">
        <v>300</v>
      </c>
      <c r="F74" s="11" t="s">
        <v>301</v>
      </c>
      <c r="G74" s="11" t="s">
        <v>302</v>
      </c>
      <c r="H74" s="11" t="s">
        <v>303</v>
      </c>
      <c r="I74" s="11" t="s">
        <v>300</v>
      </c>
      <c r="J74" s="20">
        <v>90</v>
      </c>
      <c r="K74" s="20">
        <v>70</v>
      </c>
      <c r="L74" s="11"/>
      <c r="M74" s="11"/>
      <c r="N74" s="11"/>
      <c r="O74" s="11"/>
      <c r="P74" s="11"/>
      <c r="Q74" s="10"/>
      <c r="R74" s="26" t="s">
        <v>786</v>
      </c>
      <c r="S74" s="11"/>
      <c r="T74" s="11"/>
      <c r="U74" s="11"/>
      <c r="V74" s="11" t="s">
        <v>305</v>
      </c>
      <c r="W74" s="11" t="s">
        <v>306</v>
      </c>
      <c r="X74" s="20">
        <v>0</v>
      </c>
      <c r="Y74" s="11" t="b">
        <v>0</v>
      </c>
      <c r="Z74" s="11" t="b">
        <v>0</v>
      </c>
      <c r="AA74" s="11"/>
      <c r="AB74" s="11" t="s">
        <v>218</v>
      </c>
      <c r="AC74" s="11" t="s">
        <v>307</v>
      </c>
      <c r="AD74" s="11" t="s">
        <v>307</v>
      </c>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U74" s="11"/>
      <c r="BV74" s="11"/>
      <c r="BW74" s="11"/>
      <c r="BX74" s="11"/>
      <c r="BY74" s="11"/>
      <c r="BZ74" s="11"/>
      <c r="CA74" s="11"/>
      <c r="CB74" s="11"/>
      <c r="CC74" s="11"/>
      <c r="CD74" s="11"/>
      <c r="CE74" s="11"/>
      <c r="CF74" s="11"/>
      <c r="CG74" s="11"/>
      <c r="CH74" s="11"/>
      <c r="CI74" s="11"/>
      <c r="CJ74" s="11"/>
      <c r="CK74" s="11"/>
      <c r="CL74" s="11"/>
      <c r="CM74" s="11"/>
      <c r="CN74" s="11"/>
      <c r="CO74" s="11"/>
      <c r="CP74" s="11"/>
      <c r="CQ74" s="11"/>
      <c r="CR74" s="11"/>
      <c r="CS74" s="11"/>
      <c r="CT74" s="11"/>
      <c r="CU74" s="11"/>
      <c r="CV74" s="11"/>
      <c r="CW74" s="11"/>
      <c r="CX74" s="11"/>
      <c r="CY74" s="11"/>
      <c r="CZ74" s="11"/>
      <c r="DA74" s="11"/>
      <c r="DB74" s="11"/>
      <c r="DC74" s="11"/>
      <c r="DD74" s="11"/>
    </row>
    <row r="75" spans="1:108" ht="24" x14ac:dyDescent="0.25">
      <c r="A75" s="6" t="s">
        <v>664</v>
      </c>
      <c r="B75" s="7" t="s">
        <v>663</v>
      </c>
      <c r="C75" s="8" t="s">
        <v>309</v>
      </c>
      <c r="D75" s="8" t="s">
        <v>299</v>
      </c>
      <c r="E75" s="8" t="s">
        <v>300</v>
      </c>
      <c r="F75" s="8" t="s">
        <v>301</v>
      </c>
      <c r="G75" s="8" t="s">
        <v>302</v>
      </c>
      <c r="H75" s="8" t="s">
        <v>303</v>
      </c>
      <c r="I75" s="8" t="s">
        <v>300</v>
      </c>
      <c r="J75" s="21">
        <v>90</v>
      </c>
      <c r="K75" s="21">
        <v>70</v>
      </c>
      <c r="L75" s="8"/>
      <c r="M75" s="8"/>
      <c r="N75" s="8"/>
      <c r="O75" s="8"/>
      <c r="P75" s="8"/>
      <c r="Q75" s="7" t="s">
        <v>310</v>
      </c>
      <c r="R75" s="8" t="s">
        <v>787</v>
      </c>
      <c r="S75" s="8"/>
      <c r="T75" s="8"/>
      <c r="U75" s="8"/>
      <c r="V75" s="8" t="s">
        <v>305</v>
      </c>
      <c r="W75" s="8" t="s">
        <v>306</v>
      </c>
      <c r="X75" s="21">
        <v>0</v>
      </c>
      <c r="Y75" s="8" t="b">
        <v>0</v>
      </c>
      <c r="Z75" s="8" t="b">
        <v>0</v>
      </c>
      <c r="AA75" s="8"/>
      <c r="AB75" s="8" t="s">
        <v>218</v>
      </c>
      <c r="AC75" s="8" t="s">
        <v>312</v>
      </c>
      <c r="AD75" s="8" t="s">
        <v>312</v>
      </c>
      <c r="AE75" s="8"/>
      <c r="AF75" s="21">
        <v>25</v>
      </c>
      <c r="AG75" s="21">
        <v>25</v>
      </c>
      <c r="AH75" s="21">
        <v>25</v>
      </c>
      <c r="AI75" s="21">
        <v>25</v>
      </c>
      <c r="AJ75" s="8"/>
      <c r="AK75" s="8"/>
      <c r="AL75" s="8"/>
      <c r="AM75" s="8"/>
      <c r="AN75" s="8"/>
      <c r="AO75" s="8"/>
      <c r="AP75" s="8"/>
      <c r="AQ75" s="8"/>
      <c r="AR75" s="8"/>
      <c r="AS75" s="8"/>
      <c r="AT75" s="8"/>
      <c r="AU75" s="8"/>
      <c r="AV75" s="8"/>
      <c r="AW75" s="8"/>
      <c r="AX75" s="8"/>
      <c r="AY75" s="8"/>
      <c r="AZ75" s="8"/>
      <c r="BA75" s="8"/>
      <c r="BB75" s="8"/>
      <c r="BC75" s="8"/>
      <c r="BD75" s="8"/>
      <c r="BE75" s="8"/>
      <c r="BF75" s="8"/>
      <c r="BG75" s="21">
        <v>25</v>
      </c>
      <c r="BH75" s="8"/>
      <c r="BI75" s="8"/>
      <c r="BJ75" s="8"/>
      <c r="BK75" s="8"/>
      <c r="BL75" s="8"/>
      <c r="BM75" s="8"/>
      <c r="BN75" s="8"/>
      <c r="BO75" s="8"/>
      <c r="BP75" s="8"/>
      <c r="BQ75" s="8"/>
      <c r="BR75" s="8"/>
      <c r="BS75" s="21">
        <v>25</v>
      </c>
      <c r="BT75" s="8"/>
      <c r="BU75" s="8"/>
      <c r="BV75" s="8"/>
      <c r="BW75" s="8"/>
      <c r="BX75" s="8"/>
      <c r="BY75" s="8"/>
      <c r="BZ75" s="8"/>
      <c r="CA75" s="8"/>
      <c r="CB75" s="8"/>
      <c r="CC75" s="8"/>
      <c r="CD75" s="8"/>
      <c r="CE75" s="21">
        <v>25</v>
      </c>
      <c r="CF75" s="8"/>
      <c r="CG75" s="8"/>
      <c r="CH75" s="8"/>
      <c r="CI75" s="8"/>
      <c r="CJ75" s="8"/>
      <c r="CK75" s="8"/>
      <c r="CL75" s="8"/>
      <c r="CM75" s="8"/>
      <c r="CN75" s="8"/>
      <c r="CO75" s="8"/>
      <c r="CP75" s="8"/>
      <c r="CQ75" s="21">
        <v>25</v>
      </c>
      <c r="CR75" s="8"/>
      <c r="CS75" s="8"/>
      <c r="CT75" s="8"/>
      <c r="CU75" s="8"/>
      <c r="CV75" s="8"/>
      <c r="CW75" s="8"/>
      <c r="CX75" s="8"/>
      <c r="CY75" s="8"/>
      <c r="CZ75" s="8"/>
      <c r="DA75" s="8"/>
      <c r="DB75" s="8"/>
      <c r="DC75" s="8"/>
      <c r="DD75" s="8"/>
    </row>
    <row r="76" spans="1:108" ht="24" x14ac:dyDescent="0.25">
      <c r="A76" s="6" t="s">
        <v>664</v>
      </c>
      <c r="B76" s="10" t="s">
        <v>663</v>
      </c>
      <c r="C76" s="11" t="s">
        <v>309</v>
      </c>
      <c r="D76" s="11" t="s">
        <v>308</v>
      </c>
      <c r="E76" s="11" t="s">
        <v>300</v>
      </c>
      <c r="F76" s="11" t="s">
        <v>301</v>
      </c>
      <c r="G76" s="11" t="s">
        <v>302</v>
      </c>
      <c r="H76" s="11" t="s">
        <v>303</v>
      </c>
      <c r="I76" s="11" t="s">
        <v>300</v>
      </c>
      <c r="J76" s="20">
        <v>90</v>
      </c>
      <c r="K76" s="20">
        <v>70</v>
      </c>
      <c r="L76" s="11"/>
      <c r="M76" s="11"/>
      <c r="N76" s="11"/>
      <c r="O76" s="11"/>
      <c r="P76" s="11"/>
      <c r="Q76" s="10" t="s">
        <v>310</v>
      </c>
      <c r="R76" s="11" t="s">
        <v>787</v>
      </c>
      <c r="S76" s="11"/>
      <c r="T76" s="11"/>
      <c r="U76" s="11"/>
      <c r="V76" s="11" t="s">
        <v>305</v>
      </c>
      <c r="W76" s="11" t="s">
        <v>306</v>
      </c>
      <c r="X76" s="20">
        <v>0</v>
      </c>
      <c r="Y76" s="11" t="b">
        <v>0</v>
      </c>
      <c r="Z76" s="11" t="b">
        <v>0</v>
      </c>
      <c r="AA76" s="11"/>
      <c r="AB76" s="11" t="s">
        <v>218</v>
      </c>
      <c r="AC76" s="11" t="s">
        <v>312</v>
      </c>
      <c r="AD76" s="11" t="s">
        <v>312</v>
      </c>
      <c r="AE76" s="20">
        <v>5</v>
      </c>
      <c r="AF76" s="20">
        <v>29.99</v>
      </c>
      <c r="AG76" s="20">
        <v>29.98</v>
      </c>
      <c r="AH76" s="20">
        <v>30</v>
      </c>
      <c r="AI76" s="20">
        <v>30</v>
      </c>
      <c r="AJ76" s="11"/>
      <c r="AK76" s="11"/>
      <c r="AL76" s="11"/>
      <c r="AM76" s="11"/>
      <c r="AN76" s="11"/>
      <c r="AO76" s="11"/>
      <c r="AP76" s="11"/>
      <c r="AQ76" s="11"/>
      <c r="AR76" s="11"/>
      <c r="AS76" s="11"/>
      <c r="AT76" s="11"/>
      <c r="AU76" s="20">
        <v>5</v>
      </c>
      <c r="AV76" s="11"/>
      <c r="AW76" s="11"/>
      <c r="AX76" s="11"/>
      <c r="AY76" s="11"/>
      <c r="AZ76" s="11"/>
      <c r="BA76" s="11"/>
      <c r="BB76" s="11"/>
      <c r="BC76" s="11"/>
      <c r="BD76" s="11"/>
      <c r="BE76" s="11"/>
      <c r="BF76" s="11"/>
      <c r="BG76" s="20">
        <v>29.99</v>
      </c>
      <c r="BH76" s="11"/>
      <c r="BI76" s="11"/>
      <c r="BJ76" s="11"/>
      <c r="BK76" s="11"/>
      <c r="BL76" s="11"/>
      <c r="BM76" s="11"/>
      <c r="BN76" s="11"/>
      <c r="BO76" s="11"/>
      <c r="BP76" s="11"/>
      <c r="BQ76" s="11"/>
      <c r="BR76" s="11"/>
      <c r="BS76" s="20">
        <v>29.98</v>
      </c>
      <c r="BT76" s="11"/>
      <c r="BU76" s="11"/>
      <c r="BV76" s="11"/>
      <c r="BW76" s="11"/>
      <c r="BX76" s="11"/>
      <c r="BY76" s="11"/>
      <c r="BZ76" s="11"/>
      <c r="CA76" s="11"/>
      <c r="CB76" s="11"/>
      <c r="CC76" s="11"/>
      <c r="CD76" s="11"/>
      <c r="CE76" s="20">
        <v>30</v>
      </c>
      <c r="CF76" s="11"/>
      <c r="CG76" s="11"/>
      <c r="CH76" s="11"/>
      <c r="CI76" s="11"/>
      <c r="CJ76" s="11"/>
      <c r="CK76" s="11"/>
      <c r="CL76" s="11"/>
      <c r="CM76" s="11"/>
      <c r="CN76" s="11"/>
      <c r="CO76" s="11"/>
      <c r="CP76" s="11"/>
      <c r="CQ76" s="20">
        <v>30</v>
      </c>
      <c r="CR76" s="11"/>
      <c r="CS76" s="11"/>
      <c r="CT76" s="11"/>
      <c r="CU76" s="11"/>
      <c r="CV76" s="11"/>
      <c r="CW76" s="11"/>
      <c r="CX76" s="11"/>
      <c r="CY76" s="11"/>
      <c r="CZ76" s="11"/>
      <c r="DA76" s="11"/>
      <c r="DB76" s="11"/>
      <c r="DC76" s="11"/>
      <c r="DD76" s="11"/>
    </row>
    <row r="77" spans="1:108" ht="24" x14ac:dyDescent="0.25">
      <c r="A77" s="6" t="s">
        <v>664</v>
      </c>
      <c r="B77" s="7" t="s">
        <v>663</v>
      </c>
      <c r="C77" s="8" t="s">
        <v>309</v>
      </c>
      <c r="D77" s="8" t="s">
        <v>204</v>
      </c>
      <c r="E77" s="8" t="s">
        <v>300</v>
      </c>
      <c r="F77" s="8" t="s">
        <v>301</v>
      </c>
      <c r="G77" s="8" t="s">
        <v>302</v>
      </c>
      <c r="H77" s="8" t="s">
        <v>303</v>
      </c>
      <c r="I77" s="8" t="s">
        <v>300</v>
      </c>
      <c r="J77" s="21">
        <v>90</v>
      </c>
      <c r="K77" s="21">
        <v>70</v>
      </c>
      <c r="L77" s="8"/>
      <c r="M77" s="8"/>
      <c r="N77" s="8"/>
      <c r="O77" s="8"/>
      <c r="P77" s="8"/>
      <c r="Q77" s="7" t="s">
        <v>310</v>
      </c>
      <c r="R77" s="8" t="s">
        <v>787</v>
      </c>
      <c r="S77" s="8"/>
      <c r="T77" s="8"/>
      <c r="U77" s="8"/>
      <c r="V77" s="8" t="s">
        <v>305</v>
      </c>
      <c r="W77" s="8" t="s">
        <v>306</v>
      </c>
      <c r="X77" s="21">
        <v>0</v>
      </c>
      <c r="Y77" s="8" t="b">
        <v>0</v>
      </c>
      <c r="Z77" s="8" t="b">
        <v>0</v>
      </c>
      <c r="AA77" s="8"/>
      <c r="AB77" s="8" t="s">
        <v>218</v>
      </c>
      <c r="AC77" s="8" t="s">
        <v>312</v>
      </c>
      <c r="AD77" s="8" t="s">
        <v>312</v>
      </c>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c r="CC77" s="8"/>
      <c r="CD77" s="8"/>
      <c r="CE77" s="8"/>
      <c r="CF77" s="8"/>
      <c r="CG77" s="8"/>
      <c r="CH77" s="8"/>
      <c r="CI77" s="8"/>
      <c r="CJ77" s="8"/>
      <c r="CK77" s="8"/>
      <c r="CL77" s="8"/>
      <c r="CM77" s="8"/>
      <c r="CN77" s="8"/>
      <c r="CO77" s="8"/>
      <c r="CP77" s="8"/>
      <c r="CQ77" s="8"/>
      <c r="CR77" s="8"/>
      <c r="CS77" s="8"/>
      <c r="CT77" s="8"/>
      <c r="CU77" s="8"/>
      <c r="CV77" s="8"/>
      <c r="CW77" s="8"/>
      <c r="CX77" s="8"/>
      <c r="CY77" s="8"/>
      <c r="CZ77" s="8"/>
      <c r="DA77" s="8"/>
      <c r="DB77" s="8"/>
      <c r="DC77" s="8"/>
      <c r="DD77" s="8"/>
    </row>
    <row r="78" spans="1:108" ht="24" x14ac:dyDescent="0.25">
      <c r="A78" s="6" t="s">
        <v>664</v>
      </c>
      <c r="B78" s="10" t="s">
        <v>663</v>
      </c>
      <c r="C78" s="11" t="s">
        <v>206</v>
      </c>
      <c r="D78" s="11" t="s">
        <v>299</v>
      </c>
      <c r="E78" s="11" t="s">
        <v>300</v>
      </c>
      <c r="F78" s="11" t="s">
        <v>301</v>
      </c>
      <c r="G78" s="11" t="s">
        <v>313</v>
      </c>
      <c r="H78" s="11" t="s">
        <v>303</v>
      </c>
      <c r="I78" s="11" t="s">
        <v>314</v>
      </c>
      <c r="J78" s="20">
        <v>90</v>
      </c>
      <c r="K78" s="20">
        <v>70</v>
      </c>
      <c r="L78" s="11"/>
      <c r="M78" s="11"/>
      <c r="N78" s="11"/>
      <c r="O78" s="11"/>
      <c r="P78" s="11"/>
      <c r="Q78" s="10"/>
      <c r="R78" s="11" t="s">
        <v>788</v>
      </c>
      <c r="S78" s="11"/>
      <c r="T78" s="11"/>
      <c r="U78" s="11"/>
      <c r="V78" s="11" t="s">
        <v>305</v>
      </c>
      <c r="W78" s="11" t="s">
        <v>306</v>
      </c>
      <c r="X78" s="20">
        <v>0</v>
      </c>
      <c r="Y78" s="11" t="b">
        <v>0</v>
      </c>
      <c r="Z78" s="11" t="b">
        <v>0</v>
      </c>
      <c r="AA78" s="11"/>
      <c r="AB78" s="11" t="s">
        <v>218</v>
      </c>
      <c r="AC78" s="11" t="s">
        <v>316</v>
      </c>
      <c r="AD78" s="11" t="s">
        <v>316</v>
      </c>
      <c r="AE78" s="20">
        <v>70</v>
      </c>
      <c r="AF78" s="20">
        <v>75.2</v>
      </c>
      <c r="AG78" s="20">
        <v>77.5</v>
      </c>
      <c r="AH78" s="20">
        <v>77.5</v>
      </c>
      <c r="AI78" s="20">
        <v>77.5</v>
      </c>
      <c r="AJ78" s="11"/>
      <c r="AK78" s="11"/>
      <c r="AL78" s="11"/>
      <c r="AM78" s="11"/>
      <c r="AN78" s="11"/>
      <c r="AO78" s="11"/>
      <c r="AP78" s="11"/>
      <c r="AQ78" s="11"/>
      <c r="AR78" s="11"/>
      <c r="AS78" s="11"/>
      <c r="AT78" s="11"/>
      <c r="AU78" s="20">
        <v>70</v>
      </c>
      <c r="AV78" s="11"/>
      <c r="AW78" s="11"/>
      <c r="AX78" s="11"/>
      <c r="AY78" s="11"/>
      <c r="AZ78" s="11"/>
      <c r="BA78" s="11"/>
      <c r="BB78" s="11"/>
      <c r="BC78" s="11"/>
      <c r="BD78" s="11"/>
      <c r="BE78" s="11"/>
      <c r="BF78" s="11"/>
      <c r="BG78" s="20">
        <v>75.2</v>
      </c>
      <c r="BH78" s="11"/>
      <c r="BI78" s="11"/>
      <c r="BJ78" s="11"/>
      <c r="BK78" s="11"/>
      <c r="BL78" s="11"/>
      <c r="BM78" s="11"/>
      <c r="BN78" s="11"/>
      <c r="BO78" s="11"/>
      <c r="BP78" s="11"/>
      <c r="BQ78" s="11"/>
      <c r="BR78" s="11"/>
      <c r="BS78" s="20">
        <v>77.5</v>
      </c>
      <c r="BT78" s="11"/>
      <c r="BU78" s="11"/>
      <c r="BV78" s="11"/>
      <c r="BW78" s="11"/>
      <c r="BX78" s="11"/>
      <c r="BY78" s="11"/>
      <c r="BZ78" s="11"/>
      <c r="CA78" s="11"/>
      <c r="CB78" s="11"/>
      <c r="CC78" s="11"/>
      <c r="CD78" s="11"/>
      <c r="CE78" s="20">
        <v>77.5</v>
      </c>
      <c r="CF78" s="11"/>
      <c r="CG78" s="11"/>
      <c r="CH78" s="11"/>
      <c r="CI78" s="11"/>
      <c r="CJ78" s="11"/>
      <c r="CK78" s="11"/>
      <c r="CL78" s="11"/>
      <c r="CM78" s="11"/>
      <c r="CN78" s="11"/>
      <c r="CO78" s="11"/>
      <c r="CP78" s="11"/>
      <c r="CQ78" s="20">
        <v>77.5</v>
      </c>
      <c r="CR78" s="11"/>
      <c r="CS78" s="11"/>
      <c r="CT78" s="11"/>
      <c r="CU78" s="11"/>
      <c r="CV78" s="11"/>
      <c r="CW78" s="11"/>
      <c r="CX78" s="11"/>
      <c r="CY78" s="11"/>
      <c r="CZ78" s="11"/>
      <c r="DA78" s="11"/>
      <c r="DB78" s="11"/>
      <c r="DC78" s="11"/>
      <c r="DD78" s="11"/>
    </row>
    <row r="79" spans="1:108" ht="24" x14ac:dyDescent="0.25">
      <c r="A79" s="6" t="s">
        <v>664</v>
      </c>
      <c r="B79" s="7" t="s">
        <v>663</v>
      </c>
      <c r="C79" s="8" t="s">
        <v>206</v>
      </c>
      <c r="D79" s="8" t="s">
        <v>308</v>
      </c>
      <c r="E79" s="8" t="s">
        <v>300</v>
      </c>
      <c r="F79" s="8" t="s">
        <v>301</v>
      </c>
      <c r="G79" s="8" t="s">
        <v>313</v>
      </c>
      <c r="H79" s="8" t="s">
        <v>303</v>
      </c>
      <c r="I79" s="8" t="s">
        <v>314</v>
      </c>
      <c r="J79" s="21">
        <v>90</v>
      </c>
      <c r="K79" s="21">
        <v>70</v>
      </c>
      <c r="L79" s="8"/>
      <c r="M79" s="8"/>
      <c r="N79" s="8"/>
      <c r="O79" s="8"/>
      <c r="P79" s="8"/>
      <c r="Q79" s="7"/>
      <c r="R79" s="8" t="s">
        <v>788</v>
      </c>
      <c r="S79" s="8"/>
      <c r="T79" s="8"/>
      <c r="U79" s="8"/>
      <c r="V79" s="8" t="s">
        <v>305</v>
      </c>
      <c r="W79" s="8" t="s">
        <v>306</v>
      </c>
      <c r="X79" s="21">
        <v>0</v>
      </c>
      <c r="Y79" s="8" t="b">
        <v>0</v>
      </c>
      <c r="Z79" s="8" t="b">
        <v>0</v>
      </c>
      <c r="AA79" s="8"/>
      <c r="AB79" s="8" t="s">
        <v>218</v>
      </c>
      <c r="AC79" s="8" t="s">
        <v>316</v>
      </c>
      <c r="AD79" s="8" t="s">
        <v>316</v>
      </c>
      <c r="AE79" s="21">
        <v>70</v>
      </c>
      <c r="AF79" s="21">
        <v>76.400000000000006</v>
      </c>
      <c r="AG79" s="21">
        <v>79</v>
      </c>
      <c r="AH79" s="21">
        <v>79</v>
      </c>
      <c r="AI79" s="21">
        <v>79</v>
      </c>
      <c r="AJ79" s="8"/>
      <c r="AK79" s="8"/>
      <c r="AL79" s="8"/>
      <c r="AM79" s="8"/>
      <c r="AN79" s="8"/>
      <c r="AO79" s="8"/>
      <c r="AP79" s="8"/>
      <c r="AQ79" s="8"/>
      <c r="AR79" s="8"/>
      <c r="AS79" s="8"/>
      <c r="AT79" s="8"/>
      <c r="AU79" s="21">
        <v>70</v>
      </c>
      <c r="AV79" s="8"/>
      <c r="AW79" s="8"/>
      <c r="AX79" s="8"/>
      <c r="AY79" s="8"/>
      <c r="AZ79" s="8"/>
      <c r="BA79" s="8"/>
      <c r="BB79" s="8"/>
      <c r="BC79" s="8"/>
      <c r="BD79" s="8"/>
      <c r="BE79" s="8"/>
      <c r="BF79" s="8"/>
      <c r="BG79" s="21">
        <v>76.400000000000006</v>
      </c>
      <c r="BH79" s="8"/>
      <c r="BI79" s="8"/>
      <c r="BJ79" s="8"/>
      <c r="BK79" s="8"/>
      <c r="BL79" s="8"/>
      <c r="BM79" s="8"/>
      <c r="BN79" s="8"/>
      <c r="BO79" s="8"/>
      <c r="BP79" s="8"/>
      <c r="BQ79" s="8"/>
      <c r="BR79" s="8"/>
      <c r="BS79" s="21">
        <v>79</v>
      </c>
      <c r="BT79" s="8"/>
      <c r="BU79" s="8"/>
      <c r="BV79" s="8"/>
      <c r="BW79" s="8"/>
      <c r="BX79" s="8"/>
      <c r="BY79" s="8"/>
      <c r="BZ79" s="8"/>
      <c r="CA79" s="8"/>
      <c r="CB79" s="8"/>
      <c r="CC79" s="8"/>
      <c r="CD79" s="8"/>
      <c r="CE79" s="21">
        <v>79</v>
      </c>
      <c r="CF79" s="8"/>
      <c r="CG79" s="8"/>
      <c r="CH79" s="8"/>
      <c r="CI79" s="8"/>
      <c r="CJ79" s="8"/>
      <c r="CK79" s="8"/>
      <c r="CL79" s="8"/>
      <c r="CM79" s="8"/>
      <c r="CN79" s="8"/>
      <c r="CO79" s="8"/>
      <c r="CP79" s="8"/>
      <c r="CQ79" s="21">
        <v>79</v>
      </c>
      <c r="CR79" s="8"/>
      <c r="CS79" s="8"/>
      <c r="CT79" s="8"/>
      <c r="CU79" s="8"/>
      <c r="CV79" s="8"/>
      <c r="CW79" s="8"/>
      <c r="CX79" s="8"/>
      <c r="CY79" s="8"/>
      <c r="CZ79" s="8"/>
      <c r="DA79" s="8"/>
      <c r="DB79" s="8"/>
      <c r="DC79" s="8"/>
      <c r="DD79" s="8"/>
    </row>
    <row r="80" spans="1:108" ht="24" x14ac:dyDescent="0.25">
      <c r="A80" s="6" t="s">
        <v>664</v>
      </c>
      <c r="B80" s="10" t="s">
        <v>663</v>
      </c>
      <c r="C80" s="11" t="s">
        <v>206</v>
      </c>
      <c r="D80" s="11" t="s">
        <v>204</v>
      </c>
      <c r="E80" s="11" t="s">
        <v>300</v>
      </c>
      <c r="F80" s="11" t="s">
        <v>301</v>
      </c>
      <c r="G80" s="11" t="s">
        <v>313</v>
      </c>
      <c r="H80" s="11" t="s">
        <v>303</v>
      </c>
      <c r="I80" s="11" t="s">
        <v>314</v>
      </c>
      <c r="J80" s="20">
        <v>90</v>
      </c>
      <c r="K80" s="20">
        <v>70</v>
      </c>
      <c r="L80" s="11"/>
      <c r="M80" s="11"/>
      <c r="N80" s="11"/>
      <c r="O80" s="11"/>
      <c r="P80" s="11"/>
      <c r="Q80" s="10"/>
      <c r="R80" s="11" t="s">
        <v>788</v>
      </c>
      <c r="S80" s="11"/>
      <c r="T80" s="11"/>
      <c r="U80" s="11"/>
      <c r="V80" s="11" t="s">
        <v>305</v>
      </c>
      <c r="W80" s="11" t="s">
        <v>306</v>
      </c>
      <c r="X80" s="20">
        <v>0</v>
      </c>
      <c r="Y80" s="11" t="b">
        <v>0</v>
      </c>
      <c r="Z80" s="11" t="b">
        <v>0</v>
      </c>
      <c r="AA80" s="11"/>
      <c r="AB80" s="11" t="s">
        <v>218</v>
      </c>
      <c r="AC80" s="11" t="s">
        <v>316</v>
      </c>
      <c r="AD80" s="11" t="s">
        <v>316</v>
      </c>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1"/>
      <c r="BO80" s="11"/>
      <c r="BP80" s="11"/>
      <c r="BQ80" s="11"/>
      <c r="BR80" s="11"/>
      <c r="BS80" s="11"/>
      <c r="BT80" s="11"/>
      <c r="BU80" s="11"/>
      <c r="BV80" s="11"/>
      <c r="BW80" s="11"/>
      <c r="BX80" s="11"/>
      <c r="BY80" s="11"/>
      <c r="BZ80" s="11"/>
      <c r="CA80" s="11"/>
      <c r="CB80" s="11"/>
      <c r="CC80" s="11"/>
      <c r="CD80" s="11"/>
      <c r="CE80" s="11"/>
      <c r="CF80" s="11"/>
      <c r="CG80" s="11"/>
      <c r="CH80" s="11"/>
      <c r="CI80" s="11"/>
      <c r="CJ80" s="11"/>
      <c r="CK80" s="11"/>
      <c r="CL80" s="11"/>
      <c r="CM80" s="11"/>
      <c r="CN80" s="11"/>
      <c r="CO80" s="11"/>
      <c r="CP80" s="11"/>
      <c r="CQ80" s="11"/>
      <c r="CR80" s="11"/>
      <c r="CS80" s="11"/>
      <c r="CT80" s="11"/>
      <c r="CU80" s="11"/>
      <c r="CV80" s="11"/>
      <c r="CW80" s="11"/>
      <c r="CX80" s="11"/>
      <c r="CY80" s="11"/>
      <c r="CZ80" s="11"/>
      <c r="DA80" s="11"/>
      <c r="DB80" s="11"/>
      <c r="DC80" s="11"/>
      <c r="DD80" s="11"/>
    </row>
    <row r="81" spans="1:108" ht="24" x14ac:dyDescent="0.25">
      <c r="A81" s="6" t="s">
        <v>664</v>
      </c>
      <c r="B81" s="7" t="s">
        <v>663</v>
      </c>
      <c r="C81" s="8" t="s">
        <v>317</v>
      </c>
      <c r="D81" s="8" t="s">
        <v>299</v>
      </c>
      <c r="E81" s="8" t="s">
        <v>300</v>
      </c>
      <c r="F81" s="8" t="s">
        <v>318</v>
      </c>
      <c r="G81" s="8" t="s">
        <v>313</v>
      </c>
      <c r="H81" s="8" t="s">
        <v>303</v>
      </c>
      <c r="I81" s="8" t="s">
        <v>196</v>
      </c>
      <c r="J81" s="21">
        <v>90</v>
      </c>
      <c r="K81" s="21">
        <v>70</v>
      </c>
      <c r="L81" s="8"/>
      <c r="M81" s="8"/>
      <c r="N81" s="8"/>
      <c r="O81" s="8"/>
      <c r="P81" s="8"/>
      <c r="Q81" s="7"/>
      <c r="R81" s="8" t="s">
        <v>789</v>
      </c>
      <c r="S81" s="8"/>
      <c r="T81" s="8"/>
      <c r="U81" s="8"/>
      <c r="V81" s="8" t="s">
        <v>305</v>
      </c>
      <c r="W81" s="8" t="s">
        <v>306</v>
      </c>
      <c r="X81" s="21">
        <v>0</v>
      </c>
      <c r="Y81" s="8" t="b">
        <v>0</v>
      </c>
      <c r="Z81" s="8" t="b">
        <v>0</v>
      </c>
      <c r="AA81" s="8"/>
      <c r="AB81" s="8" t="s">
        <v>218</v>
      </c>
      <c r="AC81" s="8" t="s">
        <v>320</v>
      </c>
      <c r="AD81" s="8" t="s">
        <v>320</v>
      </c>
      <c r="AE81" s="21">
        <v>359.2</v>
      </c>
      <c r="AF81" s="21">
        <v>434.2</v>
      </c>
      <c r="AG81" s="21">
        <v>479</v>
      </c>
      <c r="AH81" s="21">
        <v>479</v>
      </c>
      <c r="AI81" s="21">
        <v>479</v>
      </c>
      <c r="AJ81" s="21">
        <v>29.94</v>
      </c>
      <c r="AK81" s="21">
        <v>29.94</v>
      </c>
      <c r="AL81" s="21">
        <v>29.94</v>
      </c>
      <c r="AM81" s="21">
        <v>29.94</v>
      </c>
      <c r="AN81" s="21">
        <v>29.94</v>
      </c>
      <c r="AO81" s="21">
        <v>29.94</v>
      </c>
      <c r="AP81" s="21">
        <v>29.94</v>
      </c>
      <c r="AQ81" s="21">
        <v>29.94</v>
      </c>
      <c r="AR81" s="21">
        <v>29.94</v>
      </c>
      <c r="AS81" s="21">
        <v>29.94</v>
      </c>
      <c r="AT81" s="21">
        <v>29.94</v>
      </c>
      <c r="AU81" s="21">
        <v>29.94</v>
      </c>
      <c r="AV81" s="21">
        <v>36.18</v>
      </c>
      <c r="AW81" s="21">
        <v>36.18</v>
      </c>
      <c r="AX81" s="21">
        <v>36.18</v>
      </c>
      <c r="AY81" s="21">
        <v>36.18</v>
      </c>
      <c r="AZ81" s="21">
        <v>36.18</v>
      </c>
      <c r="BA81" s="21">
        <v>36.18</v>
      </c>
      <c r="BB81" s="21">
        <v>36.18</v>
      </c>
      <c r="BC81" s="21">
        <v>36.18</v>
      </c>
      <c r="BD81" s="21">
        <v>36.18</v>
      </c>
      <c r="BE81" s="21">
        <v>36.18</v>
      </c>
      <c r="BF81" s="21">
        <v>36.18</v>
      </c>
      <c r="BG81" s="21">
        <v>36.18</v>
      </c>
      <c r="BH81" s="21">
        <v>39.92</v>
      </c>
      <c r="BI81" s="21">
        <v>39.92</v>
      </c>
      <c r="BJ81" s="21">
        <v>39.92</v>
      </c>
      <c r="BK81" s="21">
        <v>39.92</v>
      </c>
      <c r="BL81" s="21">
        <v>39.92</v>
      </c>
      <c r="BM81" s="21">
        <v>39.92</v>
      </c>
      <c r="BN81" s="21">
        <v>39.92</v>
      </c>
      <c r="BO81" s="21">
        <v>39.92</v>
      </c>
      <c r="BP81" s="21">
        <v>39.92</v>
      </c>
      <c r="BQ81" s="21">
        <v>39.92</v>
      </c>
      <c r="BR81" s="21">
        <v>39.92</v>
      </c>
      <c r="BS81" s="21">
        <v>39.92</v>
      </c>
      <c r="BT81" s="21">
        <v>39.92</v>
      </c>
      <c r="BU81" s="21">
        <v>39.92</v>
      </c>
      <c r="BV81" s="21">
        <v>39.92</v>
      </c>
      <c r="BW81" s="21">
        <v>39.92</v>
      </c>
      <c r="BX81" s="21">
        <v>39.92</v>
      </c>
      <c r="BY81" s="21">
        <v>39.92</v>
      </c>
      <c r="BZ81" s="21">
        <v>39.92</v>
      </c>
      <c r="CA81" s="21">
        <v>39.92</v>
      </c>
      <c r="CB81" s="21">
        <v>39.92</v>
      </c>
      <c r="CC81" s="21">
        <v>39.92</v>
      </c>
      <c r="CD81" s="21">
        <v>39.92</v>
      </c>
      <c r="CE81" s="21">
        <v>39.92</v>
      </c>
      <c r="CF81" s="21">
        <v>39.92</v>
      </c>
      <c r="CG81" s="21">
        <v>39.92</v>
      </c>
      <c r="CH81" s="21">
        <v>39.92</v>
      </c>
      <c r="CI81" s="21">
        <v>39.92</v>
      </c>
      <c r="CJ81" s="21">
        <v>39.92</v>
      </c>
      <c r="CK81" s="21">
        <v>39.92</v>
      </c>
      <c r="CL81" s="21">
        <v>39.92</v>
      </c>
      <c r="CM81" s="21">
        <v>39.92</v>
      </c>
      <c r="CN81" s="21">
        <v>39.92</v>
      </c>
      <c r="CO81" s="21">
        <v>39.92</v>
      </c>
      <c r="CP81" s="21">
        <v>39.92</v>
      </c>
      <c r="CQ81" s="21">
        <v>39.92</v>
      </c>
      <c r="CR81" s="8"/>
      <c r="CS81" s="8"/>
      <c r="CT81" s="8"/>
      <c r="CU81" s="8"/>
      <c r="CV81" s="8"/>
      <c r="CW81" s="8"/>
      <c r="CX81" s="8"/>
      <c r="CY81" s="8"/>
      <c r="CZ81" s="8"/>
      <c r="DA81" s="8"/>
      <c r="DB81" s="8"/>
      <c r="DC81" s="8"/>
      <c r="DD81" s="8"/>
    </row>
    <row r="82" spans="1:108" ht="24" x14ac:dyDescent="0.25">
      <c r="A82" s="6" t="s">
        <v>664</v>
      </c>
      <c r="B82" s="10" t="s">
        <v>663</v>
      </c>
      <c r="C82" s="11" t="s">
        <v>317</v>
      </c>
      <c r="D82" s="11" t="s">
        <v>308</v>
      </c>
      <c r="E82" s="11" t="s">
        <v>300</v>
      </c>
      <c r="F82" s="11" t="s">
        <v>318</v>
      </c>
      <c r="G82" s="11" t="s">
        <v>313</v>
      </c>
      <c r="H82" s="11" t="s">
        <v>303</v>
      </c>
      <c r="I82" s="11" t="s">
        <v>196</v>
      </c>
      <c r="J82" s="20">
        <v>90</v>
      </c>
      <c r="K82" s="20">
        <v>70</v>
      </c>
      <c r="L82" s="11"/>
      <c r="M82" s="11"/>
      <c r="N82" s="11"/>
      <c r="O82" s="11"/>
      <c r="P82" s="11"/>
      <c r="Q82" s="10"/>
      <c r="R82" s="11" t="s">
        <v>789</v>
      </c>
      <c r="S82" s="11"/>
      <c r="T82" s="11"/>
      <c r="U82" s="11"/>
      <c r="V82" s="11" t="s">
        <v>305</v>
      </c>
      <c r="W82" s="11" t="s">
        <v>306</v>
      </c>
      <c r="X82" s="20">
        <v>0</v>
      </c>
      <c r="Y82" s="11" t="b">
        <v>0</v>
      </c>
      <c r="Z82" s="11" t="b">
        <v>0</v>
      </c>
      <c r="AA82" s="11"/>
      <c r="AB82" s="11" t="s">
        <v>218</v>
      </c>
      <c r="AC82" s="11" t="s">
        <v>320</v>
      </c>
      <c r="AD82" s="11" t="s">
        <v>320</v>
      </c>
      <c r="AE82" s="20">
        <v>359.2</v>
      </c>
      <c r="AF82" s="20">
        <v>455.6</v>
      </c>
      <c r="AG82" s="20">
        <v>513.20000000000005</v>
      </c>
      <c r="AH82" s="20">
        <v>513.20000000000005</v>
      </c>
      <c r="AI82" s="20">
        <v>513.20000000000005</v>
      </c>
      <c r="AJ82" s="20">
        <v>29.94</v>
      </c>
      <c r="AK82" s="20">
        <v>29.94</v>
      </c>
      <c r="AL82" s="20">
        <v>29.94</v>
      </c>
      <c r="AM82" s="20">
        <v>29.94</v>
      </c>
      <c r="AN82" s="20">
        <v>29.94</v>
      </c>
      <c r="AO82" s="20">
        <v>29.94</v>
      </c>
      <c r="AP82" s="20">
        <v>29.94</v>
      </c>
      <c r="AQ82" s="20">
        <v>29.94</v>
      </c>
      <c r="AR82" s="20">
        <v>29.94</v>
      </c>
      <c r="AS82" s="20">
        <v>29.94</v>
      </c>
      <c r="AT82" s="20">
        <v>29.94</v>
      </c>
      <c r="AU82" s="20">
        <v>29.94</v>
      </c>
      <c r="AV82" s="20">
        <v>37.96</v>
      </c>
      <c r="AW82" s="20">
        <v>37.96</v>
      </c>
      <c r="AX82" s="20">
        <v>37.96</v>
      </c>
      <c r="AY82" s="20">
        <v>37.96</v>
      </c>
      <c r="AZ82" s="20">
        <v>37.96</v>
      </c>
      <c r="BA82" s="20">
        <v>37.96</v>
      </c>
      <c r="BB82" s="20">
        <v>37.96</v>
      </c>
      <c r="BC82" s="20">
        <v>37.96</v>
      </c>
      <c r="BD82" s="20">
        <v>37.96</v>
      </c>
      <c r="BE82" s="20">
        <v>37.96</v>
      </c>
      <c r="BF82" s="20">
        <v>37.96</v>
      </c>
      <c r="BG82" s="20">
        <v>37.96</v>
      </c>
      <c r="BH82" s="20">
        <v>42.76</v>
      </c>
      <c r="BI82" s="20">
        <v>42.76</v>
      </c>
      <c r="BJ82" s="20">
        <v>42.76</v>
      </c>
      <c r="BK82" s="20">
        <v>42.76</v>
      </c>
      <c r="BL82" s="20">
        <v>42.76</v>
      </c>
      <c r="BM82" s="20">
        <v>42.76</v>
      </c>
      <c r="BN82" s="20">
        <v>42.76</v>
      </c>
      <c r="BO82" s="20">
        <v>42.76</v>
      </c>
      <c r="BP82" s="20">
        <v>42.76</v>
      </c>
      <c r="BQ82" s="20">
        <v>42.76</v>
      </c>
      <c r="BR82" s="20">
        <v>42.76</v>
      </c>
      <c r="BS82" s="20">
        <v>42.76</v>
      </c>
      <c r="BT82" s="20">
        <v>42.76</v>
      </c>
      <c r="BU82" s="20">
        <v>42.76</v>
      </c>
      <c r="BV82" s="20">
        <v>42.76</v>
      </c>
      <c r="BW82" s="20">
        <v>42.76</v>
      </c>
      <c r="BX82" s="20">
        <v>42.76</v>
      </c>
      <c r="BY82" s="20">
        <v>42.76</v>
      </c>
      <c r="BZ82" s="20">
        <v>42.76</v>
      </c>
      <c r="CA82" s="20">
        <v>42.76</v>
      </c>
      <c r="CB82" s="20">
        <v>42.76</v>
      </c>
      <c r="CC82" s="20">
        <v>42.76</v>
      </c>
      <c r="CD82" s="20">
        <v>42.76</v>
      </c>
      <c r="CE82" s="20">
        <v>42.76</v>
      </c>
      <c r="CF82" s="20">
        <v>42.76</v>
      </c>
      <c r="CG82" s="20">
        <v>42.76</v>
      </c>
      <c r="CH82" s="20">
        <v>42.76</v>
      </c>
      <c r="CI82" s="20">
        <v>42.76</v>
      </c>
      <c r="CJ82" s="20">
        <v>42.76</v>
      </c>
      <c r="CK82" s="20">
        <v>42.76</v>
      </c>
      <c r="CL82" s="20">
        <v>42.76</v>
      </c>
      <c r="CM82" s="20">
        <v>42.76</v>
      </c>
      <c r="CN82" s="20">
        <v>42.76</v>
      </c>
      <c r="CO82" s="20">
        <v>42.76</v>
      </c>
      <c r="CP82" s="20">
        <v>42.76</v>
      </c>
      <c r="CQ82" s="20">
        <v>42.76</v>
      </c>
      <c r="CR82" s="11"/>
      <c r="CS82" s="11"/>
      <c r="CT82" s="11"/>
      <c r="CU82" s="11"/>
      <c r="CV82" s="11"/>
      <c r="CW82" s="11"/>
      <c r="CX82" s="11"/>
      <c r="CY82" s="11"/>
      <c r="CZ82" s="11"/>
      <c r="DA82" s="11"/>
      <c r="DB82" s="11"/>
      <c r="DC82" s="11"/>
      <c r="DD82" s="11"/>
    </row>
    <row r="83" spans="1:108" ht="24" x14ac:dyDescent="0.25">
      <c r="A83" s="6" t="s">
        <v>664</v>
      </c>
      <c r="B83" s="7" t="s">
        <v>663</v>
      </c>
      <c r="C83" s="8" t="s">
        <v>317</v>
      </c>
      <c r="D83" s="8" t="s">
        <v>204</v>
      </c>
      <c r="E83" s="8" t="s">
        <v>300</v>
      </c>
      <c r="F83" s="8" t="s">
        <v>318</v>
      </c>
      <c r="G83" s="8" t="s">
        <v>313</v>
      </c>
      <c r="H83" s="8" t="s">
        <v>303</v>
      </c>
      <c r="I83" s="8" t="s">
        <v>196</v>
      </c>
      <c r="J83" s="21">
        <v>90</v>
      </c>
      <c r="K83" s="21">
        <v>70</v>
      </c>
      <c r="L83" s="8"/>
      <c r="M83" s="8"/>
      <c r="N83" s="8"/>
      <c r="O83" s="8"/>
      <c r="P83" s="8"/>
      <c r="Q83" s="7"/>
      <c r="R83" s="8" t="s">
        <v>789</v>
      </c>
      <c r="S83" s="8"/>
      <c r="T83" s="8"/>
      <c r="U83" s="8"/>
      <c r="V83" s="8" t="s">
        <v>305</v>
      </c>
      <c r="W83" s="8" t="s">
        <v>306</v>
      </c>
      <c r="X83" s="21">
        <v>0</v>
      </c>
      <c r="Y83" s="8" t="b">
        <v>0</v>
      </c>
      <c r="Z83" s="8" t="b">
        <v>0</v>
      </c>
      <c r="AA83" s="8"/>
      <c r="AB83" s="8" t="s">
        <v>218</v>
      </c>
      <c r="AC83" s="8" t="s">
        <v>320</v>
      </c>
      <c r="AD83" s="8" t="s">
        <v>320</v>
      </c>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c r="BU83" s="8"/>
      <c r="BV83" s="8"/>
      <c r="BW83" s="8"/>
      <c r="BX83" s="8"/>
      <c r="BY83" s="8"/>
      <c r="BZ83" s="8"/>
      <c r="CA83" s="8"/>
      <c r="CB83" s="8"/>
      <c r="CC83" s="8"/>
      <c r="CD83" s="8"/>
      <c r="CE83" s="8"/>
      <c r="CF83" s="8"/>
      <c r="CG83" s="8"/>
      <c r="CH83" s="8"/>
      <c r="CI83" s="8"/>
      <c r="CJ83" s="8"/>
      <c r="CK83" s="8"/>
      <c r="CL83" s="8"/>
      <c r="CM83" s="8"/>
      <c r="CN83" s="8"/>
      <c r="CO83" s="8"/>
      <c r="CP83" s="8"/>
      <c r="CQ83" s="8"/>
      <c r="CR83" s="8"/>
      <c r="CS83" s="8"/>
      <c r="CT83" s="8"/>
      <c r="CU83" s="8"/>
      <c r="CV83" s="8"/>
      <c r="CW83" s="8"/>
      <c r="CX83" s="8"/>
      <c r="CY83" s="8"/>
      <c r="CZ83" s="8"/>
      <c r="DA83" s="8"/>
      <c r="DB83" s="8"/>
      <c r="DC83" s="8"/>
      <c r="DD83" s="8"/>
    </row>
    <row r="84" spans="1:108" ht="24" x14ac:dyDescent="0.25">
      <c r="A84" s="6" t="s">
        <v>668</v>
      </c>
      <c r="B84" s="7" t="s">
        <v>667</v>
      </c>
      <c r="C84" s="8" t="s">
        <v>327</v>
      </c>
      <c r="D84" s="8" t="s">
        <v>299</v>
      </c>
      <c r="E84" s="8" t="s">
        <v>300</v>
      </c>
      <c r="F84" s="8" t="s">
        <v>318</v>
      </c>
      <c r="G84" s="8" t="s">
        <v>313</v>
      </c>
      <c r="H84" s="8" t="s">
        <v>303</v>
      </c>
      <c r="I84" s="8" t="s">
        <v>196</v>
      </c>
      <c r="J84" s="21">
        <v>90</v>
      </c>
      <c r="K84" s="21">
        <v>70</v>
      </c>
      <c r="L84" s="8"/>
      <c r="M84" s="8"/>
      <c r="N84" s="8"/>
      <c r="O84" s="8"/>
      <c r="P84" s="8"/>
      <c r="Q84" s="7"/>
      <c r="R84" s="8" t="s">
        <v>790</v>
      </c>
      <c r="S84" s="8"/>
      <c r="T84" s="8"/>
      <c r="U84" s="8"/>
      <c r="V84" s="8" t="s">
        <v>305</v>
      </c>
      <c r="W84" s="8" t="s">
        <v>306</v>
      </c>
      <c r="X84" s="21">
        <v>0</v>
      </c>
      <c r="Y84" s="8" t="b">
        <v>0</v>
      </c>
      <c r="Z84" s="8" t="b">
        <v>0</v>
      </c>
      <c r="AA84" s="8"/>
      <c r="AB84" s="8" t="s">
        <v>218</v>
      </c>
      <c r="AC84" s="8" t="s">
        <v>329</v>
      </c>
      <c r="AD84" s="8" t="s">
        <v>329</v>
      </c>
      <c r="AE84" s="21">
        <v>193.6</v>
      </c>
      <c r="AF84" s="21">
        <v>175.4</v>
      </c>
      <c r="AG84" s="21">
        <v>164.4</v>
      </c>
      <c r="AH84" s="21">
        <v>164.4</v>
      </c>
      <c r="AI84" s="21">
        <v>164.4</v>
      </c>
      <c r="AJ84" s="8"/>
      <c r="AK84" s="8"/>
      <c r="AL84" s="8"/>
      <c r="AM84" s="8"/>
      <c r="AN84" s="8"/>
      <c r="AO84" s="8"/>
      <c r="AP84" s="8"/>
      <c r="AQ84" s="8"/>
      <c r="AR84" s="8"/>
      <c r="AS84" s="8"/>
      <c r="AT84" s="8"/>
      <c r="AU84" s="21">
        <v>193.6</v>
      </c>
      <c r="AV84" s="8"/>
      <c r="AW84" s="8"/>
      <c r="AX84" s="8"/>
      <c r="AY84" s="8"/>
      <c r="AZ84" s="8"/>
      <c r="BA84" s="8"/>
      <c r="BB84" s="8"/>
      <c r="BC84" s="8"/>
      <c r="BD84" s="8"/>
      <c r="BE84" s="8"/>
      <c r="BF84" s="8"/>
      <c r="BG84" s="21">
        <v>175.4</v>
      </c>
      <c r="BH84" s="8"/>
      <c r="BI84" s="8"/>
      <c r="BJ84" s="8"/>
      <c r="BK84" s="8"/>
      <c r="BL84" s="8"/>
      <c r="BM84" s="8"/>
      <c r="BN84" s="8"/>
      <c r="BO84" s="8"/>
      <c r="BP84" s="8"/>
      <c r="BQ84" s="8"/>
      <c r="BR84" s="8"/>
      <c r="BS84" s="21">
        <v>164.4</v>
      </c>
      <c r="BT84" s="8"/>
      <c r="BU84" s="8"/>
      <c r="BV84" s="8"/>
      <c r="BW84" s="8"/>
      <c r="BX84" s="8"/>
      <c r="BY84" s="8"/>
      <c r="BZ84" s="8"/>
      <c r="CA84" s="8"/>
      <c r="CB84" s="8"/>
      <c r="CC84" s="8"/>
      <c r="CD84" s="8"/>
      <c r="CE84" s="21">
        <v>164.4</v>
      </c>
      <c r="CF84" s="8"/>
      <c r="CG84" s="8"/>
      <c r="CH84" s="8"/>
      <c r="CI84" s="8"/>
      <c r="CJ84" s="8"/>
      <c r="CK84" s="8"/>
      <c r="CL84" s="8"/>
      <c r="CM84" s="8"/>
      <c r="CN84" s="8"/>
      <c r="CO84" s="8"/>
      <c r="CP84" s="8"/>
      <c r="CQ84" s="21">
        <v>164.4</v>
      </c>
      <c r="CR84" s="8"/>
      <c r="CS84" s="8"/>
      <c r="CT84" s="8"/>
      <c r="CU84" s="8"/>
      <c r="CV84" s="8"/>
      <c r="CW84" s="8"/>
      <c r="CX84" s="8"/>
      <c r="CY84" s="8"/>
      <c r="CZ84" s="8"/>
      <c r="DA84" s="8"/>
      <c r="DB84" s="8"/>
      <c r="DC84" s="8"/>
      <c r="DD84" s="8"/>
    </row>
    <row r="85" spans="1:108" ht="24" x14ac:dyDescent="0.25">
      <c r="A85" s="6" t="s">
        <v>668</v>
      </c>
      <c r="B85" s="10" t="s">
        <v>667</v>
      </c>
      <c r="C85" s="11" t="s">
        <v>327</v>
      </c>
      <c r="D85" s="11" t="s">
        <v>308</v>
      </c>
      <c r="E85" s="11" t="s">
        <v>300</v>
      </c>
      <c r="F85" s="11" t="s">
        <v>318</v>
      </c>
      <c r="G85" s="11" t="s">
        <v>313</v>
      </c>
      <c r="H85" s="11" t="s">
        <v>303</v>
      </c>
      <c r="I85" s="11" t="s">
        <v>196</v>
      </c>
      <c r="J85" s="20">
        <v>90</v>
      </c>
      <c r="K85" s="20">
        <v>70</v>
      </c>
      <c r="L85" s="11"/>
      <c r="M85" s="11"/>
      <c r="N85" s="11"/>
      <c r="O85" s="11"/>
      <c r="P85" s="11"/>
      <c r="Q85" s="10"/>
      <c r="R85" s="11" t="s">
        <v>790</v>
      </c>
      <c r="S85" s="11"/>
      <c r="T85" s="11"/>
      <c r="U85" s="11"/>
      <c r="V85" s="11" t="s">
        <v>305</v>
      </c>
      <c r="W85" s="11" t="s">
        <v>306</v>
      </c>
      <c r="X85" s="20">
        <v>0</v>
      </c>
      <c r="Y85" s="11" t="b">
        <v>0</v>
      </c>
      <c r="Z85" s="11" t="b">
        <v>0</v>
      </c>
      <c r="AA85" s="11"/>
      <c r="AB85" s="11" t="s">
        <v>218</v>
      </c>
      <c r="AC85" s="11" t="s">
        <v>329</v>
      </c>
      <c r="AD85" s="11" t="s">
        <v>329</v>
      </c>
      <c r="AE85" s="20">
        <v>193.6</v>
      </c>
      <c r="AF85" s="20">
        <v>169.4</v>
      </c>
      <c r="AG85" s="20">
        <v>154.80000000000001</v>
      </c>
      <c r="AH85" s="20">
        <v>154.80000000000001</v>
      </c>
      <c r="AI85" s="20">
        <v>154.80000000000001</v>
      </c>
      <c r="AJ85" s="11"/>
      <c r="AK85" s="11"/>
      <c r="AL85" s="11"/>
      <c r="AM85" s="11"/>
      <c r="AN85" s="11"/>
      <c r="AO85" s="11"/>
      <c r="AP85" s="11"/>
      <c r="AQ85" s="11"/>
      <c r="AR85" s="11"/>
      <c r="AS85" s="11"/>
      <c r="AT85" s="11"/>
      <c r="AU85" s="20">
        <v>193.6</v>
      </c>
      <c r="AV85" s="11"/>
      <c r="AW85" s="11"/>
      <c r="AX85" s="11"/>
      <c r="AY85" s="11"/>
      <c r="AZ85" s="11"/>
      <c r="BA85" s="11"/>
      <c r="BB85" s="11"/>
      <c r="BC85" s="11"/>
      <c r="BD85" s="11"/>
      <c r="BE85" s="11"/>
      <c r="BF85" s="11"/>
      <c r="BG85" s="20">
        <v>169.4</v>
      </c>
      <c r="BH85" s="11"/>
      <c r="BI85" s="11"/>
      <c r="BJ85" s="11"/>
      <c r="BK85" s="11"/>
      <c r="BL85" s="11"/>
      <c r="BM85" s="11"/>
      <c r="BN85" s="11"/>
      <c r="BO85" s="11"/>
      <c r="BP85" s="11"/>
      <c r="BQ85" s="11"/>
      <c r="BR85" s="11"/>
      <c r="BS85" s="20">
        <v>154.80000000000001</v>
      </c>
      <c r="BT85" s="11"/>
      <c r="BU85" s="11"/>
      <c r="BV85" s="11"/>
      <c r="BW85" s="11"/>
      <c r="BX85" s="11"/>
      <c r="BY85" s="11"/>
      <c r="BZ85" s="11"/>
      <c r="CA85" s="11"/>
      <c r="CB85" s="11"/>
      <c r="CC85" s="11"/>
      <c r="CD85" s="11"/>
      <c r="CE85" s="20">
        <v>154.80000000000001</v>
      </c>
      <c r="CF85" s="11"/>
      <c r="CG85" s="11"/>
      <c r="CH85" s="11"/>
      <c r="CI85" s="11"/>
      <c r="CJ85" s="11"/>
      <c r="CK85" s="11"/>
      <c r="CL85" s="11"/>
      <c r="CM85" s="11"/>
      <c r="CN85" s="11"/>
      <c r="CO85" s="11"/>
      <c r="CP85" s="11"/>
      <c r="CQ85" s="20">
        <v>154.80000000000001</v>
      </c>
      <c r="CR85" s="11"/>
      <c r="CS85" s="11"/>
      <c r="CT85" s="11"/>
      <c r="CU85" s="11"/>
      <c r="CV85" s="11"/>
      <c r="CW85" s="11"/>
      <c r="CX85" s="11"/>
      <c r="CY85" s="11"/>
      <c r="CZ85" s="11"/>
      <c r="DA85" s="11"/>
      <c r="DB85" s="11"/>
      <c r="DC85" s="11"/>
      <c r="DD85" s="11"/>
    </row>
    <row r="86" spans="1:108" ht="24" x14ac:dyDescent="0.25">
      <c r="A86" s="6" t="s">
        <v>668</v>
      </c>
      <c r="B86" s="7" t="s">
        <v>667</v>
      </c>
      <c r="C86" s="8" t="s">
        <v>327</v>
      </c>
      <c r="D86" s="8" t="s">
        <v>204</v>
      </c>
      <c r="E86" s="8" t="s">
        <v>300</v>
      </c>
      <c r="F86" s="8" t="s">
        <v>318</v>
      </c>
      <c r="G86" s="8" t="s">
        <v>313</v>
      </c>
      <c r="H86" s="8" t="s">
        <v>303</v>
      </c>
      <c r="I86" s="8" t="s">
        <v>196</v>
      </c>
      <c r="J86" s="21">
        <v>90</v>
      </c>
      <c r="K86" s="21">
        <v>70</v>
      </c>
      <c r="L86" s="8"/>
      <c r="M86" s="8"/>
      <c r="N86" s="8"/>
      <c r="O86" s="8"/>
      <c r="P86" s="8"/>
      <c r="Q86" s="7"/>
      <c r="R86" s="8" t="s">
        <v>790</v>
      </c>
      <c r="S86" s="8"/>
      <c r="T86" s="8"/>
      <c r="U86" s="8"/>
      <c r="V86" s="8" t="s">
        <v>305</v>
      </c>
      <c r="W86" s="8" t="s">
        <v>306</v>
      </c>
      <c r="X86" s="21">
        <v>0</v>
      </c>
      <c r="Y86" s="8" t="b">
        <v>0</v>
      </c>
      <c r="Z86" s="8" t="b">
        <v>0</v>
      </c>
      <c r="AA86" s="8"/>
      <c r="AB86" s="8" t="s">
        <v>218</v>
      </c>
      <c r="AC86" s="8" t="s">
        <v>329</v>
      </c>
      <c r="AD86" s="8" t="s">
        <v>329</v>
      </c>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c r="BU86" s="8"/>
      <c r="BV86" s="8"/>
      <c r="BW86" s="8"/>
      <c r="BX86" s="8"/>
      <c r="BY86" s="8"/>
      <c r="BZ86" s="8"/>
      <c r="CA86" s="8"/>
      <c r="CB86" s="8"/>
      <c r="CC86" s="8"/>
      <c r="CD86" s="8"/>
      <c r="CE86" s="8"/>
      <c r="CF86" s="8"/>
      <c r="CG86" s="8"/>
      <c r="CH86" s="8"/>
      <c r="CI86" s="8"/>
      <c r="CJ86" s="8"/>
      <c r="CK86" s="8"/>
      <c r="CL86" s="8"/>
      <c r="CM86" s="8"/>
      <c r="CN86" s="8"/>
      <c r="CO86" s="8"/>
      <c r="CP86" s="8"/>
      <c r="CQ86" s="8"/>
      <c r="CR86" s="8"/>
      <c r="CS86" s="8"/>
      <c r="CT86" s="8"/>
      <c r="CU86" s="8"/>
      <c r="CV86" s="8"/>
      <c r="CW86" s="8"/>
      <c r="CX86" s="8"/>
      <c r="CY86" s="8"/>
      <c r="CZ86" s="8"/>
      <c r="DA86" s="8"/>
      <c r="DB86" s="8"/>
      <c r="DC86" s="8"/>
      <c r="DD86" s="8"/>
    </row>
    <row r="87" spans="1:108" ht="24" x14ac:dyDescent="0.25">
      <c r="A87" s="6" t="s">
        <v>668</v>
      </c>
      <c r="B87" s="10" t="s">
        <v>667</v>
      </c>
      <c r="C87" s="11" t="s">
        <v>206</v>
      </c>
      <c r="D87" s="11" t="s">
        <v>299</v>
      </c>
      <c r="E87" s="11" t="s">
        <v>300</v>
      </c>
      <c r="F87" s="11" t="s">
        <v>301</v>
      </c>
      <c r="G87" s="11" t="s">
        <v>313</v>
      </c>
      <c r="H87" s="11" t="s">
        <v>303</v>
      </c>
      <c r="I87" s="11" t="s">
        <v>314</v>
      </c>
      <c r="J87" s="20">
        <v>90</v>
      </c>
      <c r="K87" s="20">
        <v>70</v>
      </c>
      <c r="L87" s="11"/>
      <c r="M87" s="11"/>
      <c r="N87" s="11"/>
      <c r="O87" s="11"/>
      <c r="P87" s="11"/>
      <c r="Q87" s="10"/>
      <c r="R87" s="11" t="s">
        <v>791</v>
      </c>
      <c r="S87" s="11"/>
      <c r="T87" s="11"/>
      <c r="U87" s="11"/>
      <c r="V87" s="11" t="s">
        <v>305</v>
      </c>
      <c r="W87" s="11" t="s">
        <v>306</v>
      </c>
      <c r="X87" s="20">
        <v>0</v>
      </c>
      <c r="Y87" s="11" t="b">
        <v>0</v>
      </c>
      <c r="Z87" s="11" t="b">
        <v>0</v>
      </c>
      <c r="AA87" s="11"/>
      <c r="AB87" s="11" t="s">
        <v>218</v>
      </c>
      <c r="AC87" s="11" t="s">
        <v>331</v>
      </c>
      <c r="AD87" s="11" t="s">
        <v>331</v>
      </c>
      <c r="AE87" s="20">
        <v>32.700000000000003</v>
      </c>
      <c r="AF87" s="20">
        <v>39</v>
      </c>
      <c r="AG87" s="20">
        <v>42.8</v>
      </c>
      <c r="AH87" s="20">
        <v>42.8</v>
      </c>
      <c r="AI87" s="20">
        <v>42.8</v>
      </c>
      <c r="AJ87" s="11"/>
      <c r="AK87" s="11"/>
      <c r="AL87" s="11"/>
      <c r="AM87" s="11"/>
      <c r="AN87" s="11"/>
      <c r="AO87" s="11"/>
      <c r="AP87" s="11"/>
      <c r="AQ87" s="11"/>
      <c r="AR87" s="11"/>
      <c r="AS87" s="11"/>
      <c r="AT87" s="11"/>
      <c r="AU87" s="20">
        <v>32.700000000000003</v>
      </c>
      <c r="AV87" s="11"/>
      <c r="AW87" s="11"/>
      <c r="AX87" s="11"/>
      <c r="AY87" s="11"/>
      <c r="AZ87" s="11"/>
      <c r="BA87" s="11"/>
      <c r="BB87" s="11"/>
      <c r="BC87" s="11"/>
      <c r="BD87" s="11"/>
      <c r="BE87" s="11"/>
      <c r="BF87" s="11"/>
      <c r="BG87" s="20">
        <v>39</v>
      </c>
      <c r="BH87" s="11"/>
      <c r="BI87" s="11"/>
      <c r="BJ87" s="11"/>
      <c r="BK87" s="11"/>
      <c r="BL87" s="11"/>
      <c r="BM87" s="11"/>
      <c r="BN87" s="11"/>
      <c r="BO87" s="11"/>
      <c r="BP87" s="11"/>
      <c r="BQ87" s="11"/>
      <c r="BR87" s="11"/>
      <c r="BS87" s="20">
        <v>42.8</v>
      </c>
      <c r="BT87" s="11"/>
      <c r="BU87" s="11"/>
      <c r="BV87" s="11"/>
      <c r="BW87" s="11"/>
      <c r="BX87" s="11"/>
      <c r="BY87" s="11"/>
      <c r="BZ87" s="11"/>
      <c r="CA87" s="11"/>
      <c r="CB87" s="11"/>
      <c r="CC87" s="11"/>
      <c r="CD87" s="11"/>
      <c r="CE87" s="20">
        <v>42.8</v>
      </c>
      <c r="CF87" s="11"/>
      <c r="CG87" s="11"/>
      <c r="CH87" s="11"/>
      <c r="CI87" s="11"/>
      <c r="CJ87" s="11"/>
      <c r="CK87" s="11"/>
      <c r="CL87" s="11"/>
      <c r="CM87" s="11"/>
      <c r="CN87" s="11"/>
      <c r="CO87" s="11"/>
      <c r="CP87" s="11"/>
      <c r="CQ87" s="20">
        <v>42.8</v>
      </c>
      <c r="CR87" s="11"/>
      <c r="CS87" s="11"/>
      <c r="CT87" s="11"/>
      <c r="CU87" s="11"/>
      <c r="CV87" s="11"/>
      <c r="CW87" s="11"/>
      <c r="CX87" s="11"/>
      <c r="CY87" s="11"/>
      <c r="CZ87" s="11"/>
      <c r="DA87" s="11"/>
      <c r="DB87" s="11"/>
      <c r="DC87" s="11"/>
      <c r="DD87" s="11"/>
    </row>
    <row r="88" spans="1:108" ht="24" x14ac:dyDescent="0.25">
      <c r="A88" s="6" t="s">
        <v>668</v>
      </c>
      <c r="B88" s="7" t="s">
        <v>667</v>
      </c>
      <c r="C88" s="8" t="s">
        <v>206</v>
      </c>
      <c r="D88" s="8" t="s">
        <v>308</v>
      </c>
      <c r="E88" s="8" t="s">
        <v>300</v>
      </c>
      <c r="F88" s="8" t="s">
        <v>301</v>
      </c>
      <c r="G88" s="8" t="s">
        <v>313</v>
      </c>
      <c r="H88" s="8" t="s">
        <v>303</v>
      </c>
      <c r="I88" s="8" t="s">
        <v>314</v>
      </c>
      <c r="J88" s="21">
        <v>90</v>
      </c>
      <c r="K88" s="21">
        <v>70</v>
      </c>
      <c r="L88" s="8"/>
      <c r="M88" s="8"/>
      <c r="N88" s="8"/>
      <c r="O88" s="8"/>
      <c r="P88" s="8"/>
      <c r="Q88" s="7"/>
      <c r="R88" s="8" t="s">
        <v>791</v>
      </c>
      <c r="S88" s="8"/>
      <c r="T88" s="8"/>
      <c r="U88" s="8"/>
      <c r="V88" s="8" t="s">
        <v>305</v>
      </c>
      <c r="W88" s="8" t="s">
        <v>306</v>
      </c>
      <c r="X88" s="21">
        <v>0</v>
      </c>
      <c r="Y88" s="8" t="b">
        <v>0</v>
      </c>
      <c r="Z88" s="8" t="b">
        <v>0</v>
      </c>
      <c r="AA88" s="8"/>
      <c r="AB88" s="8" t="s">
        <v>218</v>
      </c>
      <c r="AC88" s="8" t="s">
        <v>331</v>
      </c>
      <c r="AD88" s="8" t="s">
        <v>331</v>
      </c>
      <c r="AE88" s="21">
        <v>32.700000000000003</v>
      </c>
      <c r="AF88" s="21">
        <v>41.1</v>
      </c>
      <c r="AG88" s="21">
        <v>46.2</v>
      </c>
      <c r="AH88" s="21">
        <v>46.2</v>
      </c>
      <c r="AI88" s="21">
        <v>46.2</v>
      </c>
      <c r="AJ88" s="8"/>
      <c r="AK88" s="8"/>
      <c r="AL88" s="8"/>
      <c r="AM88" s="8"/>
      <c r="AN88" s="8"/>
      <c r="AO88" s="8"/>
      <c r="AP88" s="8"/>
      <c r="AQ88" s="8"/>
      <c r="AR88" s="8"/>
      <c r="AS88" s="8"/>
      <c r="AT88" s="8"/>
      <c r="AU88" s="21">
        <v>32.700000000000003</v>
      </c>
      <c r="AV88" s="8"/>
      <c r="AW88" s="8"/>
      <c r="AX88" s="8"/>
      <c r="AY88" s="8"/>
      <c r="AZ88" s="8"/>
      <c r="BA88" s="8"/>
      <c r="BB88" s="8"/>
      <c r="BC88" s="8"/>
      <c r="BD88" s="8"/>
      <c r="BE88" s="8"/>
      <c r="BF88" s="8"/>
      <c r="BG88" s="21">
        <v>41.1</v>
      </c>
      <c r="BH88" s="8"/>
      <c r="BI88" s="8"/>
      <c r="BJ88" s="8"/>
      <c r="BK88" s="8"/>
      <c r="BL88" s="8"/>
      <c r="BM88" s="8"/>
      <c r="BN88" s="8"/>
      <c r="BO88" s="8"/>
      <c r="BP88" s="8"/>
      <c r="BQ88" s="8"/>
      <c r="BR88" s="8"/>
      <c r="BS88" s="21">
        <v>46.2</v>
      </c>
      <c r="BT88" s="8"/>
      <c r="BU88" s="8"/>
      <c r="BV88" s="8"/>
      <c r="BW88" s="8"/>
      <c r="BX88" s="8"/>
      <c r="BY88" s="8"/>
      <c r="BZ88" s="8"/>
      <c r="CA88" s="8"/>
      <c r="CB88" s="8"/>
      <c r="CC88" s="8"/>
      <c r="CD88" s="8"/>
      <c r="CE88" s="21">
        <v>46.2</v>
      </c>
      <c r="CF88" s="8"/>
      <c r="CG88" s="8"/>
      <c r="CH88" s="8"/>
      <c r="CI88" s="8"/>
      <c r="CJ88" s="8"/>
      <c r="CK88" s="8"/>
      <c r="CL88" s="8"/>
      <c r="CM88" s="8"/>
      <c r="CN88" s="8"/>
      <c r="CO88" s="8"/>
      <c r="CP88" s="8"/>
      <c r="CQ88" s="21">
        <v>46.2</v>
      </c>
      <c r="CR88" s="8"/>
      <c r="CS88" s="8"/>
      <c r="CT88" s="8"/>
      <c r="CU88" s="8"/>
      <c r="CV88" s="8"/>
      <c r="CW88" s="8"/>
      <c r="CX88" s="8"/>
      <c r="CY88" s="8"/>
      <c r="CZ88" s="8"/>
      <c r="DA88" s="8"/>
      <c r="DB88" s="8"/>
      <c r="DC88" s="8"/>
      <c r="DD88" s="8"/>
    </row>
    <row r="89" spans="1:108" ht="24" x14ac:dyDescent="0.25">
      <c r="A89" s="6" t="s">
        <v>668</v>
      </c>
      <c r="B89" s="10" t="s">
        <v>667</v>
      </c>
      <c r="C89" s="11" t="s">
        <v>206</v>
      </c>
      <c r="D89" s="11" t="s">
        <v>204</v>
      </c>
      <c r="E89" s="11" t="s">
        <v>300</v>
      </c>
      <c r="F89" s="11" t="s">
        <v>301</v>
      </c>
      <c r="G89" s="11" t="s">
        <v>313</v>
      </c>
      <c r="H89" s="11" t="s">
        <v>303</v>
      </c>
      <c r="I89" s="11" t="s">
        <v>314</v>
      </c>
      <c r="J89" s="20">
        <v>90</v>
      </c>
      <c r="K89" s="20">
        <v>70</v>
      </c>
      <c r="L89" s="11"/>
      <c r="M89" s="11"/>
      <c r="N89" s="11"/>
      <c r="O89" s="11"/>
      <c r="P89" s="11"/>
      <c r="Q89" s="10"/>
      <c r="R89" s="11" t="s">
        <v>791</v>
      </c>
      <c r="S89" s="11"/>
      <c r="T89" s="11"/>
      <c r="U89" s="11"/>
      <c r="V89" s="11" t="s">
        <v>305</v>
      </c>
      <c r="W89" s="11" t="s">
        <v>306</v>
      </c>
      <c r="X89" s="20">
        <v>0</v>
      </c>
      <c r="Y89" s="11" t="b">
        <v>0</v>
      </c>
      <c r="Z89" s="11" t="b">
        <v>0</v>
      </c>
      <c r="AA89" s="11"/>
      <c r="AB89" s="11" t="s">
        <v>218</v>
      </c>
      <c r="AC89" s="11" t="s">
        <v>331</v>
      </c>
      <c r="AD89" s="11" t="s">
        <v>331</v>
      </c>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c r="BL89" s="11"/>
      <c r="BM89" s="11"/>
      <c r="BN89" s="11"/>
      <c r="BO89" s="11"/>
      <c r="BP89" s="11"/>
      <c r="BQ89" s="11"/>
      <c r="BR89" s="11"/>
      <c r="BS89" s="11"/>
      <c r="BT89" s="11"/>
      <c r="BU89" s="11"/>
      <c r="BV89" s="11"/>
      <c r="BW89" s="11"/>
      <c r="BX89" s="11"/>
      <c r="BY89" s="11"/>
      <c r="BZ89" s="11"/>
      <c r="CA89" s="11"/>
      <c r="CB89" s="11"/>
      <c r="CC89" s="11"/>
      <c r="CD89" s="11"/>
      <c r="CE89" s="11"/>
      <c r="CF89" s="11"/>
      <c r="CG89" s="11"/>
      <c r="CH89" s="11"/>
      <c r="CI89" s="11"/>
      <c r="CJ89" s="11"/>
      <c r="CK89" s="11"/>
      <c r="CL89" s="11"/>
      <c r="CM89" s="11"/>
      <c r="CN89" s="11"/>
      <c r="CO89" s="11"/>
      <c r="CP89" s="11"/>
      <c r="CQ89" s="11"/>
      <c r="CR89" s="11"/>
      <c r="CS89" s="11"/>
      <c r="CT89" s="11"/>
      <c r="CU89" s="11"/>
      <c r="CV89" s="11"/>
      <c r="CW89" s="11"/>
      <c r="CX89" s="11"/>
      <c r="CY89" s="11"/>
      <c r="CZ89" s="11"/>
      <c r="DA89" s="11"/>
      <c r="DB89" s="11"/>
      <c r="DC89" s="11"/>
      <c r="DD89" s="11"/>
    </row>
    <row r="90" spans="1:108" ht="24" x14ac:dyDescent="0.25">
      <c r="A90" s="6" t="s">
        <v>668</v>
      </c>
      <c r="B90" s="7" t="s">
        <v>667</v>
      </c>
      <c r="C90" s="8" t="s">
        <v>332</v>
      </c>
      <c r="D90" s="8" t="s">
        <v>299</v>
      </c>
      <c r="E90" s="8" t="s">
        <v>300</v>
      </c>
      <c r="F90" s="8" t="s">
        <v>301</v>
      </c>
      <c r="G90" s="8" t="s">
        <v>313</v>
      </c>
      <c r="H90" s="8" t="s">
        <v>333</v>
      </c>
      <c r="I90" s="8"/>
      <c r="J90" s="21">
        <v>90</v>
      </c>
      <c r="K90" s="21">
        <v>70</v>
      </c>
      <c r="L90" s="8"/>
      <c r="M90" s="8"/>
      <c r="N90" s="8"/>
      <c r="O90" s="8"/>
      <c r="P90" s="8"/>
      <c r="Q90" s="7"/>
      <c r="R90" s="8" t="s">
        <v>792</v>
      </c>
      <c r="S90" s="8"/>
      <c r="T90" s="8"/>
      <c r="U90" s="8"/>
      <c r="V90" s="8" t="s">
        <v>305</v>
      </c>
      <c r="W90" s="8" t="s">
        <v>306</v>
      </c>
      <c r="X90" s="21">
        <v>0</v>
      </c>
      <c r="Y90" s="8" t="b">
        <v>0</v>
      </c>
      <c r="Z90" s="8" t="b">
        <v>0</v>
      </c>
      <c r="AA90" s="8"/>
      <c r="AB90" s="8" t="s">
        <v>218</v>
      </c>
      <c r="AC90" s="8" t="s">
        <v>335</v>
      </c>
      <c r="AD90" s="8" t="s">
        <v>335</v>
      </c>
      <c r="AE90" s="8"/>
      <c r="AF90" s="21">
        <v>20</v>
      </c>
      <c r="AG90" s="21">
        <v>20</v>
      </c>
      <c r="AH90" s="21">
        <v>20</v>
      </c>
      <c r="AI90" s="21">
        <v>20</v>
      </c>
      <c r="AJ90" s="8"/>
      <c r="AK90" s="8"/>
      <c r="AL90" s="8"/>
      <c r="AM90" s="8"/>
      <c r="AN90" s="8"/>
      <c r="AO90" s="8"/>
      <c r="AP90" s="8"/>
      <c r="AQ90" s="8"/>
      <c r="AR90" s="8"/>
      <c r="AS90" s="8"/>
      <c r="AT90" s="8"/>
      <c r="AU90" s="8"/>
      <c r="AV90" s="8"/>
      <c r="AW90" s="8"/>
      <c r="AX90" s="8"/>
      <c r="AY90" s="8"/>
      <c r="AZ90" s="8"/>
      <c r="BA90" s="8"/>
      <c r="BB90" s="8"/>
      <c r="BC90" s="8"/>
      <c r="BD90" s="8"/>
      <c r="BE90" s="8"/>
      <c r="BF90" s="8"/>
      <c r="BG90" s="21">
        <v>20</v>
      </c>
      <c r="BH90" s="8"/>
      <c r="BI90" s="8"/>
      <c r="BJ90" s="8"/>
      <c r="BK90" s="8"/>
      <c r="BL90" s="8"/>
      <c r="BM90" s="8"/>
      <c r="BN90" s="8"/>
      <c r="BO90" s="8"/>
      <c r="BP90" s="8"/>
      <c r="BQ90" s="8"/>
      <c r="BR90" s="8"/>
      <c r="BS90" s="21">
        <v>20</v>
      </c>
      <c r="BT90" s="8"/>
      <c r="BU90" s="8"/>
      <c r="BV90" s="8"/>
      <c r="BW90" s="8"/>
      <c r="BX90" s="8"/>
      <c r="BY90" s="8"/>
      <c r="BZ90" s="8"/>
      <c r="CA90" s="8"/>
      <c r="CB90" s="8"/>
      <c r="CC90" s="8"/>
      <c r="CD90" s="8"/>
      <c r="CE90" s="21">
        <v>20</v>
      </c>
      <c r="CF90" s="8"/>
      <c r="CG90" s="8"/>
      <c r="CH90" s="8"/>
      <c r="CI90" s="8"/>
      <c r="CJ90" s="8"/>
      <c r="CK90" s="8"/>
      <c r="CL90" s="8"/>
      <c r="CM90" s="8"/>
      <c r="CN90" s="8"/>
      <c r="CO90" s="8"/>
      <c r="CP90" s="8"/>
      <c r="CQ90" s="21">
        <v>20</v>
      </c>
      <c r="CR90" s="8"/>
      <c r="CS90" s="8"/>
      <c r="CT90" s="8"/>
      <c r="CU90" s="8"/>
      <c r="CV90" s="8"/>
      <c r="CW90" s="8"/>
      <c r="CX90" s="8"/>
      <c r="CY90" s="8"/>
      <c r="CZ90" s="8"/>
      <c r="DA90" s="8"/>
      <c r="DB90" s="8"/>
      <c r="DC90" s="8"/>
      <c r="DD90" s="8"/>
    </row>
    <row r="91" spans="1:108" ht="24" x14ac:dyDescent="0.25">
      <c r="A91" s="6" t="s">
        <v>668</v>
      </c>
      <c r="B91" s="10" t="s">
        <v>667</v>
      </c>
      <c r="C91" s="11" t="s">
        <v>332</v>
      </c>
      <c r="D91" s="11" t="s">
        <v>308</v>
      </c>
      <c r="E91" s="11" t="s">
        <v>300</v>
      </c>
      <c r="F91" s="11" t="s">
        <v>301</v>
      </c>
      <c r="G91" s="11" t="s">
        <v>313</v>
      </c>
      <c r="H91" s="11" t="s">
        <v>333</v>
      </c>
      <c r="I91" s="11"/>
      <c r="J91" s="20">
        <v>90</v>
      </c>
      <c r="K91" s="20">
        <v>70</v>
      </c>
      <c r="L91" s="11"/>
      <c r="M91" s="11"/>
      <c r="N91" s="11"/>
      <c r="O91" s="11"/>
      <c r="P91" s="11"/>
      <c r="Q91" s="10"/>
      <c r="R91" s="11" t="s">
        <v>792</v>
      </c>
      <c r="S91" s="11"/>
      <c r="T91" s="11"/>
      <c r="U91" s="11"/>
      <c r="V91" s="11" t="s">
        <v>305</v>
      </c>
      <c r="W91" s="11" t="s">
        <v>306</v>
      </c>
      <c r="X91" s="20">
        <v>0</v>
      </c>
      <c r="Y91" s="11" t="b">
        <v>0</v>
      </c>
      <c r="Z91" s="11" t="b">
        <v>0</v>
      </c>
      <c r="AA91" s="11"/>
      <c r="AB91" s="11" t="s">
        <v>218</v>
      </c>
      <c r="AC91" s="11" t="s">
        <v>335</v>
      </c>
      <c r="AD91" s="11" t="s">
        <v>335</v>
      </c>
      <c r="AE91" s="11"/>
      <c r="AF91" s="20">
        <v>20</v>
      </c>
      <c r="AG91" s="20">
        <v>20</v>
      </c>
      <c r="AH91" s="20">
        <v>20</v>
      </c>
      <c r="AI91" s="20">
        <v>20</v>
      </c>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20">
        <v>20</v>
      </c>
      <c r="BH91" s="11"/>
      <c r="BI91" s="11"/>
      <c r="BJ91" s="11"/>
      <c r="BK91" s="11"/>
      <c r="BL91" s="11"/>
      <c r="BM91" s="11"/>
      <c r="BN91" s="11"/>
      <c r="BO91" s="11"/>
      <c r="BP91" s="11"/>
      <c r="BQ91" s="11"/>
      <c r="BR91" s="11"/>
      <c r="BS91" s="20">
        <v>20</v>
      </c>
      <c r="BT91" s="11"/>
      <c r="BU91" s="11"/>
      <c r="BV91" s="11"/>
      <c r="BW91" s="11"/>
      <c r="BX91" s="11"/>
      <c r="BY91" s="11"/>
      <c r="BZ91" s="11"/>
      <c r="CA91" s="11"/>
      <c r="CB91" s="11"/>
      <c r="CC91" s="11"/>
      <c r="CD91" s="11"/>
      <c r="CE91" s="20">
        <v>20</v>
      </c>
      <c r="CF91" s="11"/>
      <c r="CG91" s="11"/>
      <c r="CH91" s="11"/>
      <c r="CI91" s="11"/>
      <c r="CJ91" s="11"/>
      <c r="CK91" s="11"/>
      <c r="CL91" s="11"/>
      <c r="CM91" s="11"/>
      <c r="CN91" s="11"/>
      <c r="CO91" s="11"/>
      <c r="CP91" s="11"/>
      <c r="CQ91" s="20">
        <v>20</v>
      </c>
      <c r="CR91" s="11"/>
      <c r="CS91" s="11"/>
      <c r="CT91" s="11"/>
      <c r="CU91" s="11"/>
      <c r="CV91" s="11"/>
      <c r="CW91" s="11"/>
      <c r="CX91" s="11"/>
      <c r="CY91" s="11"/>
      <c r="CZ91" s="11"/>
      <c r="DA91" s="11"/>
      <c r="DB91" s="11"/>
      <c r="DC91" s="11"/>
      <c r="DD91" s="11"/>
    </row>
    <row r="92" spans="1:108" ht="24" x14ac:dyDescent="0.25">
      <c r="A92" s="6" t="s">
        <v>668</v>
      </c>
      <c r="B92" s="7" t="s">
        <v>667</v>
      </c>
      <c r="C92" s="8" t="s">
        <v>332</v>
      </c>
      <c r="D92" s="8" t="s">
        <v>204</v>
      </c>
      <c r="E92" s="8" t="s">
        <v>300</v>
      </c>
      <c r="F92" s="8" t="s">
        <v>301</v>
      </c>
      <c r="G92" s="8" t="s">
        <v>313</v>
      </c>
      <c r="H92" s="8" t="s">
        <v>333</v>
      </c>
      <c r="I92" s="8"/>
      <c r="J92" s="21">
        <v>90</v>
      </c>
      <c r="K92" s="21">
        <v>70</v>
      </c>
      <c r="L92" s="8"/>
      <c r="M92" s="8"/>
      <c r="N92" s="8"/>
      <c r="O92" s="8"/>
      <c r="P92" s="8"/>
      <c r="Q92" s="7"/>
      <c r="R92" s="8" t="s">
        <v>792</v>
      </c>
      <c r="S92" s="8"/>
      <c r="T92" s="8"/>
      <c r="U92" s="8"/>
      <c r="V92" s="8" t="s">
        <v>305</v>
      </c>
      <c r="W92" s="8" t="s">
        <v>306</v>
      </c>
      <c r="X92" s="21">
        <v>0</v>
      </c>
      <c r="Y92" s="8" t="b">
        <v>0</v>
      </c>
      <c r="Z92" s="8" t="b">
        <v>0</v>
      </c>
      <c r="AA92" s="8"/>
      <c r="AB92" s="8" t="s">
        <v>218</v>
      </c>
      <c r="AC92" s="8" t="s">
        <v>335</v>
      </c>
      <c r="AD92" s="8" t="s">
        <v>335</v>
      </c>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c r="CJ92" s="8"/>
      <c r="CK92" s="8"/>
      <c r="CL92" s="8"/>
      <c r="CM92" s="8"/>
      <c r="CN92" s="8"/>
      <c r="CO92" s="8"/>
      <c r="CP92" s="8"/>
      <c r="CQ92" s="8"/>
      <c r="CR92" s="8"/>
      <c r="CS92" s="8"/>
      <c r="CT92" s="8"/>
      <c r="CU92" s="8"/>
      <c r="CV92" s="8"/>
      <c r="CW92" s="8"/>
      <c r="CX92" s="8"/>
      <c r="CY92" s="8"/>
      <c r="CZ92" s="8"/>
      <c r="DA92" s="8"/>
      <c r="DB92" s="8"/>
      <c r="DC92" s="8"/>
      <c r="DD92" s="8"/>
    </row>
    <row r="93" spans="1:108" ht="24" x14ac:dyDescent="0.25">
      <c r="A93" s="6" t="s">
        <v>668</v>
      </c>
      <c r="B93" s="10" t="s">
        <v>667</v>
      </c>
      <c r="C93" s="11" t="s">
        <v>336</v>
      </c>
      <c r="D93" s="11" t="s">
        <v>299</v>
      </c>
      <c r="E93" s="11" t="s">
        <v>300</v>
      </c>
      <c r="F93" s="11" t="s">
        <v>301</v>
      </c>
      <c r="G93" s="11" t="s">
        <v>313</v>
      </c>
      <c r="H93" s="11" t="s">
        <v>303</v>
      </c>
      <c r="I93" s="11" t="s">
        <v>300</v>
      </c>
      <c r="J93" s="20">
        <v>90</v>
      </c>
      <c r="K93" s="20">
        <v>70</v>
      </c>
      <c r="L93" s="11"/>
      <c r="M93" s="11"/>
      <c r="N93" s="11"/>
      <c r="O93" s="11"/>
      <c r="P93" s="11"/>
      <c r="Q93" s="10"/>
      <c r="R93" s="11" t="s">
        <v>793</v>
      </c>
      <c r="S93" s="11"/>
      <c r="T93" s="11"/>
      <c r="U93" s="11"/>
      <c r="V93" s="11" t="s">
        <v>305</v>
      </c>
      <c r="W93" s="11" t="s">
        <v>306</v>
      </c>
      <c r="X93" s="20">
        <v>0</v>
      </c>
      <c r="Y93" s="11" t="b">
        <v>0</v>
      </c>
      <c r="Z93" s="11" t="b">
        <v>0</v>
      </c>
      <c r="AA93" s="11"/>
      <c r="AB93" s="11" t="s">
        <v>218</v>
      </c>
      <c r="AC93" s="11" t="s">
        <v>338</v>
      </c>
      <c r="AD93" s="11" t="s">
        <v>338</v>
      </c>
      <c r="AE93" s="20">
        <v>5</v>
      </c>
      <c r="AF93" s="20">
        <v>25</v>
      </c>
      <c r="AG93" s="20">
        <v>40</v>
      </c>
      <c r="AH93" s="20">
        <v>40</v>
      </c>
      <c r="AI93" s="20">
        <v>40</v>
      </c>
      <c r="AJ93" s="11"/>
      <c r="AK93" s="11"/>
      <c r="AL93" s="11"/>
      <c r="AM93" s="11"/>
      <c r="AN93" s="11"/>
      <c r="AO93" s="11"/>
      <c r="AP93" s="11"/>
      <c r="AQ93" s="11"/>
      <c r="AR93" s="11"/>
      <c r="AS93" s="11"/>
      <c r="AT93" s="11"/>
      <c r="AU93" s="20">
        <v>5</v>
      </c>
      <c r="AV93" s="11"/>
      <c r="AW93" s="11"/>
      <c r="AX93" s="11"/>
      <c r="AY93" s="11"/>
      <c r="AZ93" s="11"/>
      <c r="BA93" s="11"/>
      <c r="BB93" s="11"/>
      <c r="BC93" s="11"/>
      <c r="BD93" s="11"/>
      <c r="BE93" s="11"/>
      <c r="BF93" s="11"/>
      <c r="BG93" s="20">
        <v>25</v>
      </c>
      <c r="BH93" s="11"/>
      <c r="BI93" s="11"/>
      <c r="BJ93" s="11"/>
      <c r="BK93" s="11"/>
      <c r="BL93" s="11"/>
      <c r="BM93" s="11"/>
      <c r="BN93" s="11"/>
      <c r="BO93" s="11"/>
      <c r="BP93" s="11"/>
      <c r="BQ93" s="11"/>
      <c r="BR93" s="11"/>
      <c r="BS93" s="20">
        <v>40</v>
      </c>
      <c r="BT93" s="11"/>
      <c r="BU93" s="11"/>
      <c r="BV93" s="11"/>
      <c r="BW93" s="11"/>
      <c r="BX93" s="11"/>
      <c r="BY93" s="11"/>
      <c r="BZ93" s="11"/>
      <c r="CA93" s="11"/>
      <c r="CB93" s="11"/>
      <c r="CC93" s="11"/>
      <c r="CD93" s="11"/>
      <c r="CE93" s="20">
        <v>40</v>
      </c>
      <c r="CF93" s="11"/>
      <c r="CG93" s="11"/>
      <c r="CH93" s="11"/>
      <c r="CI93" s="11"/>
      <c r="CJ93" s="11"/>
      <c r="CK93" s="11"/>
      <c r="CL93" s="11"/>
      <c r="CM93" s="11"/>
      <c r="CN93" s="11"/>
      <c r="CO93" s="11"/>
      <c r="CP93" s="11"/>
      <c r="CQ93" s="20">
        <v>40</v>
      </c>
      <c r="CR93" s="11"/>
      <c r="CS93" s="11"/>
      <c r="CT93" s="11"/>
      <c r="CU93" s="11"/>
      <c r="CV93" s="11"/>
      <c r="CW93" s="11"/>
      <c r="CX93" s="11"/>
      <c r="CY93" s="11"/>
      <c r="CZ93" s="11"/>
      <c r="DA93" s="11"/>
      <c r="DB93" s="11"/>
      <c r="DC93" s="11"/>
      <c r="DD93" s="11"/>
    </row>
    <row r="94" spans="1:108" ht="24" x14ac:dyDescent="0.25">
      <c r="A94" s="6" t="s">
        <v>668</v>
      </c>
      <c r="B94" s="7" t="s">
        <v>667</v>
      </c>
      <c r="C94" s="8" t="s">
        <v>336</v>
      </c>
      <c r="D94" s="8" t="s">
        <v>308</v>
      </c>
      <c r="E94" s="8" t="s">
        <v>300</v>
      </c>
      <c r="F94" s="8" t="s">
        <v>301</v>
      </c>
      <c r="G94" s="8" t="s">
        <v>313</v>
      </c>
      <c r="H94" s="8" t="s">
        <v>303</v>
      </c>
      <c r="I94" s="8" t="s">
        <v>300</v>
      </c>
      <c r="J94" s="21">
        <v>90</v>
      </c>
      <c r="K94" s="21">
        <v>70</v>
      </c>
      <c r="L94" s="8"/>
      <c r="M94" s="8"/>
      <c r="N94" s="8"/>
      <c r="O94" s="8"/>
      <c r="P94" s="8"/>
      <c r="Q94" s="7"/>
      <c r="R94" s="8" t="s">
        <v>793</v>
      </c>
      <c r="S94" s="8"/>
      <c r="T94" s="8"/>
      <c r="U94" s="8"/>
      <c r="V94" s="8" t="s">
        <v>305</v>
      </c>
      <c r="W94" s="8" t="s">
        <v>306</v>
      </c>
      <c r="X94" s="21">
        <v>0</v>
      </c>
      <c r="Y94" s="8" t="b">
        <v>0</v>
      </c>
      <c r="Z94" s="8" t="b">
        <v>0</v>
      </c>
      <c r="AA94" s="8"/>
      <c r="AB94" s="8" t="s">
        <v>218</v>
      </c>
      <c r="AC94" s="8" t="s">
        <v>338</v>
      </c>
      <c r="AD94" s="8" t="s">
        <v>338</v>
      </c>
      <c r="AE94" s="21">
        <v>15</v>
      </c>
      <c r="AF94" s="21">
        <v>40</v>
      </c>
      <c r="AG94" s="21">
        <v>40</v>
      </c>
      <c r="AH94" s="21">
        <v>40</v>
      </c>
      <c r="AI94" s="21">
        <v>40</v>
      </c>
      <c r="AJ94" s="8"/>
      <c r="AK94" s="8"/>
      <c r="AL94" s="8"/>
      <c r="AM94" s="8"/>
      <c r="AN94" s="8"/>
      <c r="AO94" s="8"/>
      <c r="AP94" s="8"/>
      <c r="AQ94" s="8"/>
      <c r="AR94" s="8"/>
      <c r="AS94" s="8"/>
      <c r="AT94" s="8"/>
      <c r="AU94" s="21">
        <v>15</v>
      </c>
      <c r="AV94" s="8"/>
      <c r="AW94" s="8"/>
      <c r="AX94" s="8"/>
      <c r="AY94" s="8"/>
      <c r="AZ94" s="8"/>
      <c r="BA94" s="8"/>
      <c r="BB94" s="8"/>
      <c r="BC94" s="8"/>
      <c r="BD94" s="8"/>
      <c r="BE94" s="8"/>
      <c r="BF94" s="8"/>
      <c r="BG94" s="21">
        <v>40</v>
      </c>
      <c r="BH94" s="8"/>
      <c r="BI94" s="8"/>
      <c r="BJ94" s="8"/>
      <c r="BK94" s="8"/>
      <c r="BL94" s="8"/>
      <c r="BM94" s="8"/>
      <c r="BN94" s="8"/>
      <c r="BO94" s="8"/>
      <c r="BP94" s="8"/>
      <c r="BQ94" s="8"/>
      <c r="BR94" s="8"/>
      <c r="BS94" s="21">
        <v>40</v>
      </c>
      <c r="BT94" s="8"/>
      <c r="BU94" s="8"/>
      <c r="BV94" s="8"/>
      <c r="BW94" s="8"/>
      <c r="BX94" s="8"/>
      <c r="BY94" s="8"/>
      <c r="BZ94" s="8"/>
      <c r="CA94" s="8"/>
      <c r="CB94" s="8"/>
      <c r="CC94" s="8"/>
      <c r="CD94" s="8"/>
      <c r="CE94" s="21">
        <v>40</v>
      </c>
      <c r="CF94" s="8"/>
      <c r="CG94" s="8"/>
      <c r="CH94" s="8"/>
      <c r="CI94" s="8"/>
      <c r="CJ94" s="8"/>
      <c r="CK94" s="8"/>
      <c r="CL94" s="8"/>
      <c r="CM94" s="8"/>
      <c r="CN94" s="8"/>
      <c r="CO94" s="8"/>
      <c r="CP94" s="8"/>
      <c r="CQ94" s="21">
        <v>40</v>
      </c>
      <c r="CR94" s="8"/>
      <c r="CS94" s="8"/>
      <c r="CT94" s="8"/>
      <c r="CU94" s="8"/>
      <c r="CV94" s="8"/>
      <c r="CW94" s="8"/>
      <c r="CX94" s="8"/>
      <c r="CY94" s="8"/>
      <c r="CZ94" s="8"/>
      <c r="DA94" s="8"/>
      <c r="DB94" s="8"/>
      <c r="DC94" s="8"/>
      <c r="DD94" s="8"/>
    </row>
    <row r="95" spans="1:108" ht="24" x14ac:dyDescent="0.25">
      <c r="A95" s="6" t="s">
        <v>668</v>
      </c>
      <c r="B95" s="10" t="s">
        <v>667</v>
      </c>
      <c r="C95" s="11" t="s">
        <v>336</v>
      </c>
      <c r="D95" s="11" t="s">
        <v>204</v>
      </c>
      <c r="E95" s="11" t="s">
        <v>300</v>
      </c>
      <c r="F95" s="11" t="s">
        <v>301</v>
      </c>
      <c r="G95" s="11" t="s">
        <v>313</v>
      </c>
      <c r="H95" s="11" t="s">
        <v>303</v>
      </c>
      <c r="I95" s="11" t="s">
        <v>300</v>
      </c>
      <c r="J95" s="20">
        <v>90</v>
      </c>
      <c r="K95" s="20">
        <v>70</v>
      </c>
      <c r="L95" s="11"/>
      <c r="M95" s="11"/>
      <c r="N95" s="11"/>
      <c r="O95" s="11"/>
      <c r="P95" s="11"/>
      <c r="Q95" s="10"/>
      <c r="R95" s="11" t="s">
        <v>793</v>
      </c>
      <c r="S95" s="11"/>
      <c r="T95" s="11"/>
      <c r="U95" s="11"/>
      <c r="V95" s="11" t="s">
        <v>305</v>
      </c>
      <c r="W95" s="11" t="s">
        <v>306</v>
      </c>
      <c r="X95" s="20">
        <v>0</v>
      </c>
      <c r="Y95" s="11" t="b">
        <v>0</v>
      </c>
      <c r="Z95" s="11" t="b">
        <v>0</v>
      </c>
      <c r="AA95" s="11"/>
      <c r="AB95" s="11" t="s">
        <v>218</v>
      </c>
      <c r="AC95" s="11" t="s">
        <v>338</v>
      </c>
      <c r="AD95" s="11" t="s">
        <v>338</v>
      </c>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c r="BM95" s="11"/>
      <c r="BN95" s="11"/>
      <c r="BO95" s="11"/>
      <c r="BP95" s="11"/>
      <c r="BQ95" s="11"/>
      <c r="BR95" s="11"/>
      <c r="BS95" s="11"/>
      <c r="BT95" s="11"/>
      <c r="BU95" s="11"/>
      <c r="BV95" s="11"/>
      <c r="BW95" s="11"/>
      <c r="BX95" s="11"/>
      <c r="BY95" s="11"/>
      <c r="BZ95" s="11"/>
      <c r="CA95" s="11"/>
      <c r="CB95" s="11"/>
      <c r="CC95" s="11"/>
      <c r="CD95" s="11"/>
      <c r="CE95" s="11"/>
      <c r="CF95" s="11"/>
      <c r="CG95" s="11"/>
      <c r="CH95" s="11"/>
      <c r="CI95" s="11"/>
      <c r="CJ95" s="11"/>
      <c r="CK95" s="11"/>
      <c r="CL95" s="11"/>
      <c r="CM95" s="11"/>
      <c r="CN95" s="11"/>
      <c r="CO95" s="11"/>
      <c r="CP95" s="11"/>
      <c r="CQ95" s="11"/>
      <c r="CR95" s="11"/>
      <c r="CS95" s="11"/>
      <c r="CT95" s="11"/>
      <c r="CU95" s="11"/>
      <c r="CV95" s="11"/>
      <c r="CW95" s="11"/>
      <c r="CX95" s="11"/>
      <c r="CY95" s="11"/>
      <c r="CZ95" s="11"/>
      <c r="DA95" s="11"/>
      <c r="DB95" s="11"/>
      <c r="DC95" s="11"/>
      <c r="DD95" s="11"/>
    </row>
    <row r="96" spans="1:108" ht="24" x14ac:dyDescent="0.25">
      <c r="A96" s="6" t="s">
        <v>668</v>
      </c>
      <c r="B96" s="7" t="s">
        <v>667</v>
      </c>
      <c r="C96" s="8" t="s">
        <v>339</v>
      </c>
      <c r="D96" s="8" t="s">
        <v>299</v>
      </c>
      <c r="E96" s="8" t="s">
        <v>300</v>
      </c>
      <c r="F96" s="8" t="s">
        <v>301</v>
      </c>
      <c r="G96" s="8" t="s">
        <v>313</v>
      </c>
      <c r="H96" s="8" t="s">
        <v>303</v>
      </c>
      <c r="I96" s="8" t="s">
        <v>300</v>
      </c>
      <c r="J96" s="21">
        <v>90</v>
      </c>
      <c r="K96" s="21">
        <v>70</v>
      </c>
      <c r="L96" s="8"/>
      <c r="M96" s="8"/>
      <c r="N96" s="8"/>
      <c r="O96" s="8"/>
      <c r="P96" s="8"/>
      <c r="Q96" s="7"/>
      <c r="R96" s="8" t="s">
        <v>794</v>
      </c>
      <c r="S96" s="8"/>
      <c r="T96" s="8"/>
      <c r="U96" s="8"/>
      <c r="V96" s="8" t="s">
        <v>305</v>
      </c>
      <c r="W96" s="8" t="s">
        <v>306</v>
      </c>
      <c r="X96" s="21">
        <v>0</v>
      </c>
      <c r="Y96" s="8" t="b">
        <v>0</v>
      </c>
      <c r="Z96" s="8" t="b">
        <v>0</v>
      </c>
      <c r="AA96" s="8"/>
      <c r="AB96" s="8" t="s">
        <v>218</v>
      </c>
      <c r="AC96" s="8" t="s">
        <v>341</v>
      </c>
      <c r="AD96" s="8" t="s">
        <v>341</v>
      </c>
      <c r="AE96" s="8"/>
      <c r="AF96" s="21">
        <v>10</v>
      </c>
      <c r="AG96" s="21">
        <v>10</v>
      </c>
      <c r="AH96" s="21">
        <v>10</v>
      </c>
      <c r="AI96" s="21">
        <v>10</v>
      </c>
      <c r="AJ96" s="8"/>
      <c r="AK96" s="8"/>
      <c r="AL96" s="8"/>
      <c r="AM96" s="8"/>
      <c r="AN96" s="8"/>
      <c r="AO96" s="8"/>
      <c r="AP96" s="8"/>
      <c r="AQ96" s="8"/>
      <c r="AR96" s="8"/>
      <c r="AS96" s="8"/>
      <c r="AT96" s="8"/>
      <c r="AU96" s="8"/>
      <c r="AV96" s="8"/>
      <c r="AW96" s="8"/>
      <c r="AX96" s="8"/>
      <c r="AY96" s="8"/>
      <c r="AZ96" s="8"/>
      <c r="BA96" s="8"/>
      <c r="BB96" s="8"/>
      <c r="BC96" s="8"/>
      <c r="BD96" s="8"/>
      <c r="BE96" s="8"/>
      <c r="BF96" s="8"/>
      <c r="BG96" s="21">
        <v>10</v>
      </c>
      <c r="BH96" s="8"/>
      <c r="BI96" s="8"/>
      <c r="BJ96" s="8"/>
      <c r="BK96" s="8"/>
      <c r="BL96" s="8"/>
      <c r="BM96" s="8"/>
      <c r="BN96" s="8"/>
      <c r="BO96" s="8"/>
      <c r="BP96" s="8"/>
      <c r="BQ96" s="8"/>
      <c r="BR96" s="8"/>
      <c r="BS96" s="21">
        <v>10</v>
      </c>
      <c r="BT96" s="8"/>
      <c r="BU96" s="8"/>
      <c r="BV96" s="8"/>
      <c r="BW96" s="8"/>
      <c r="BX96" s="8"/>
      <c r="BY96" s="8"/>
      <c r="BZ96" s="8"/>
      <c r="CA96" s="8"/>
      <c r="CB96" s="8"/>
      <c r="CC96" s="8"/>
      <c r="CD96" s="8"/>
      <c r="CE96" s="21">
        <v>10</v>
      </c>
      <c r="CF96" s="8"/>
      <c r="CG96" s="8"/>
      <c r="CH96" s="8"/>
      <c r="CI96" s="8"/>
      <c r="CJ96" s="8"/>
      <c r="CK96" s="8"/>
      <c r="CL96" s="8"/>
      <c r="CM96" s="8"/>
      <c r="CN96" s="8"/>
      <c r="CO96" s="8"/>
      <c r="CP96" s="8"/>
      <c r="CQ96" s="21">
        <v>10</v>
      </c>
      <c r="CR96" s="8"/>
      <c r="CS96" s="8"/>
      <c r="CT96" s="8"/>
      <c r="CU96" s="8"/>
      <c r="CV96" s="8"/>
      <c r="CW96" s="8"/>
      <c r="CX96" s="8"/>
      <c r="CY96" s="8"/>
      <c r="CZ96" s="8"/>
      <c r="DA96" s="8"/>
      <c r="DB96" s="8"/>
      <c r="DC96" s="8"/>
      <c r="DD96" s="8"/>
    </row>
    <row r="97" spans="1:108" ht="24" x14ac:dyDescent="0.25">
      <c r="A97" s="6" t="s">
        <v>668</v>
      </c>
      <c r="B97" s="10" t="s">
        <v>667</v>
      </c>
      <c r="C97" s="11" t="s">
        <v>339</v>
      </c>
      <c r="D97" s="11" t="s">
        <v>308</v>
      </c>
      <c r="E97" s="11" t="s">
        <v>300</v>
      </c>
      <c r="F97" s="11" t="s">
        <v>301</v>
      </c>
      <c r="G97" s="11" t="s">
        <v>313</v>
      </c>
      <c r="H97" s="11" t="s">
        <v>303</v>
      </c>
      <c r="I97" s="11" t="s">
        <v>300</v>
      </c>
      <c r="J97" s="20">
        <v>90</v>
      </c>
      <c r="K97" s="20">
        <v>70</v>
      </c>
      <c r="L97" s="11"/>
      <c r="M97" s="11"/>
      <c r="N97" s="11"/>
      <c r="O97" s="11"/>
      <c r="P97" s="11"/>
      <c r="Q97" s="10"/>
      <c r="R97" s="11" t="s">
        <v>794</v>
      </c>
      <c r="S97" s="11"/>
      <c r="T97" s="11"/>
      <c r="U97" s="11"/>
      <c r="V97" s="11" t="s">
        <v>305</v>
      </c>
      <c r="W97" s="11" t="s">
        <v>306</v>
      </c>
      <c r="X97" s="20">
        <v>0</v>
      </c>
      <c r="Y97" s="11" t="b">
        <v>0</v>
      </c>
      <c r="Z97" s="11" t="b">
        <v>0</v>
      </c>
      <c r="AA97" s="11"/>
      <c r="AB97" s="11" t="s">
        <v>218</v>
      </c>
      <c r="AC97" s="11" t="s">
        <v>341</v>
      </c>
      <c r="AD97" s="11" t="s">
        <v>341</v>
      </c>
      <c r="AE97" s="11"/>
      <c r="AF97" s="20">
        <v>10</v>
      </c>
      <c r="AG97" s="20">
        <v>10</v>
      </c>
      <c r="AH97" s="20">
        <v>10</v>
      </c>
      <c r="AI97" s="20">
        <v>10</v>
      </c>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20">
        <v>10</v>
      </c>
      <c r="BH97" s="11"/>
      <c r="BI97" s="11"/>
      <c r="BJ97" s="11"/>
      <c r="BK97" s="11"/>
      <c r="BL97" s="11"/>
      <c r="BM97" s="11"/>
      <c r="BN97" s="11"/>
      <c r="BO97" s="11"/>
      <c r="BP97" s="11"/>
      <c r="BQ97" s="11"/>
      <c r="BR97" s="11"/>
      <c r="BS97" s="20">
        <v>10</v>
      </c>
      <c r="BT97" s="11"/>
      <c r="BU97" s="11"/>
      <c r="BV97" s="11"/>
      <c r="BW97" s="11"/>
      <c r="BX97" s="11"/>
      <c r="BY97" s="11"/>
      <c r="BZ97" s="11"/>
      <c r="CA97" s="11"/>
      <c r="CB97" s="11"/>
      <c r="CC97" s="11"/>
      <c r="CD97" s="11"/>
      <c r="CE97" s="20">
        <v>10</v>
      </c>
      <c r="CF97" s="11"/>
      <c r="CG97" s="11"/>
      <c r="CH97" s="11"/>
      <c r="CI97" s="11"/>
      <c r="CJ97" s="11"/>
      <c r="CK97" s="11"/>
      <c r="CL97" s="11"/>
      <c r="CM97" s="11"/>
      <c r="CN97" s="11"/>
      <c r="CO97" s="11"/>
      <c r="CP97" s="11"/>
      <c r="CQ97" s="20">
        <v>10</v>
      </c>
      <c r="CR97" s="11"/>
      <c r="CS97" s="11"/>
      <c r="CT97" s="11"/>
      <c r="CU97" s="11"/>
      <c r="CV97" s="11"/>
      <c r="CW97" s="11"/>
      <c r="CX97" s="11"/>
      <c r="CY97" s="11"/>
      <c r="CZ97" s="11"/>
      <c r="DA97" s="11"/>
      <c r="DB97" s="11"/>
      <c r="DC97" s="11"/>
      <c r="DD97" s="11"/>
    </row>
    <row r="98" spans="1:108" ht="24" x14ac:dyDescent="0.25">
      <c r="A98" s="6" t="s">
        <v>668</v>
      </c>
      <c r="B98" s="7" t="s">
        <v>667</v>
      </c>
      <c r="C98" s="8" t="s">
        <v>339</v>
      </c>
      <c r="D98" s="8" t="s">
        <v>204</v>
      </c>
      <c r="E98" s="8" t="s">
        <v>300</v>
      </c>
      <c r="F98" s="8" t="s">
        <v>301</v>
      </c>
      <c r="G98" s="8" t="s">
        <v>313</v>
      </c>
      <c r="H98" s="8" t="s">
        <v>303</v>
      </c>
      <c r="I98" s="8" t="s">
        <v>300</v>
      </c>
      <c r="J98" s="21">
        <v>90</v>
      </c>
      <c r="K98" s="21">
        <v>70</v>
      </c>
      <c r="L98" s="8"/>
      <c r="M98" s="8"/>
      <c r="N98" s="8"/>
      <c r="O98" s="8"/>
      <c r="P98" s="8"/>
      <c r="Q98" s="7"/>
      <c r="R98" s="8" t="s">
        <v>794</v>
      </c>
      <c r="S98" s="8"/>
      <c r="T98" s="8"/>
      <c r="U98" s="8"/>
      <c r="V98" s="8" t="s">
        <v>305</v>
      </c>
      <c r="W98" s="8" t="s">
        <v>306</v>
      </c>
      <c r="X98" s="21">
        <v>0</v>
      </c>
      <c r="Y98" s="8" t="b">
        <v>0</v>
      </c>
      <c r="Z98" s="8" t="b">
        <v>0</v>
      </c>
      <c r="AA98" s="8"/>
      <c r="AB98" s="8" t="s">
        <v>218</v>
      </c>
      <c r="AC98" s="8" t="s">
        <v>341</v>
      </c>
      <c r="AD98" s="8" t="s">
        <v>341</v>
      </c>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c r="CJ98" s="8"/>
      <c r="CK98" s="8"/>
      <c r="CL98" s="8"/>
      <c r="CM98" s="8"/>
      <c r="CN98" s="8"/>
      <c r="CO98" s="8"/>
      <c r="CP98" s="8"/>
      <c r="CQ98" s="8"/>
      <c r="CR98" s="8"/>
      <c r="CS98" s="8"/>
      <c r="CT98" s="8"/>
      <c r="CU98" s="8"/>
      <c r="CV98" s="8"/>
      <c r="CW98" s="8"/>
      <c r="CX98" s="8"/>
      <c r="CY98" s="8"/>
      <c r="CZ98" s="8"/>
      <c r="DA98" s="8"/>
      <c r="DB98" s="8"/>
      <c r="DC98" s="8"/>
      <c r="DD98" s="8"/>
    </row>
    <row r="99" spans="1:108" ht="24" x14ac:dyDescent="0.25">
      <c r="A99" s="6" t="s">
        <v>668</v>
      </c>
      <c r="B99" s="10" t="s">
        <v>667</v>
      </c>
      <c r="C99" s="11" t="s">
        <v>342</v>
      </c>
      <c r="D99" s="11" t="s">
        <v>299</v>
      </c>
      <c r="E99" s="11" t="s">
        <v>300</v>
      </c>
      <c r="F99" s="11" t="s">
        <v>301</v>
      </c>
      <c r="G99" s="11" t="s">
        <v>313</v>
      </c>
      <c r="H99" s="11" t="s">
        <v>333</v>
      </c>
      <c r="I99" s="11"/>
      <c r="J99" s="20">
        <v>90</v>
      </c>
      <c r="K99" s="20">
        <v>70</v>
      </c>
      <c r="L99" s="11"/>
      <c r="M99" s="11"/>
      <c r="N99" s="11"/>
      <c r="O99" s="11"/>
      <c r="P99" s="11"/>
      <c r="Q99" s="10"/>
      <c r="R99" s="11" t="s">
        <v>795</v>
      </c>
      <c r="S99" s="11"/>
      <c r="T99" s="11"/>
      <c r="U99" s="11"/>
      <c r="V99" s="11" t="s">
        <v>305</v>
      </c>
      <c r="W99" s="11" t="s">
        <v>306</v>
      </c>
      <c r="X99" s="20">
        <v>0</v>
      </c>
      <c r="Y99" s="11" t="b">
        <v>0</v>
      </c>
      <c r="Z99" s="11" t="b">
        <v>0</v>
      </c>
      <c r="AA99" s="11"/>
      <c r="AB99" s="11" t="s">
        <v>218</v>
      </c>
      <c r="AC99" s="11" t="s">
        <v>344</v>
      </c>
      <c r="AD99" s="11" t="s">
        <v>344</v>
      </c>
      <c r="AE99" s="20">
        <v>80</v>
      </c>
      <c r="AF99" s="20">
        <v>80</v>
      </c>
      <c r="AG99" s="20">
        <v>80</v>
      </c>
      <c r="AH99" s="20">
        <v>80</v>
      </c>
      <c r="AI99" s="20">
        <v>80</v>
      </c>
      <c r="AJ99" s="11"/>
      <c r="AK99" s="11"/>
      <c r="AL99" s="11"/>
      <c r="AM99" s="11"/>
      <c r="AN99" s="11"/>
      <c r="AO99" s="11"/>
      <c r="AP99" s="11"/>
      <c r="AQ99" s="11"/>
      <c r="AR99" s="11"/>
      <c r="AS99" s="11"/>
      <c r="AT99" s="11"/>
      <c r="AU99" s="20">
        <v>80</v>
      </c>
      <c r="AV99" s="11"/>
      <c r="AW99" s="11"/>
      <c r="AX99" s="11"/>
      <c r="AY99" s="11"/>
      <c r="AZ99" s="11"/>
      <c r="BA99" s="11"/>
      <c r="BB99" s="11"/>
      <c r="BC99" s="11"/>
      <c r="BD99" s="11"/>
      <c r="BE99" s="11"/>
      <c r="BF99" s="11"/>
      <c r="BG99" s="20">
        <v>80</v>
      </c>
      <c r="BH99" s="11"/>
      <c r="BI99" s="11"/>
      <c r="BJ99" s="11"/>
      <c r="BK99" s="11"/>
      <c r="BL99" s="11"/>
      <c r="BM99" s="11"/>
      <c r="BN99" s="11"/>
      <c r="BO99" s="11"/>
      <c r="BP99" s="11"/>
      <c r="BQ99" s="11"/>
      <c r="BR99" s="11"/>
      <c r="BS99" s="20">
        <v>80</v>
      </c>
      <c r="BT99" s="11"/>
      <c r="BU99" s="11"/>
      <c r="BV99" s="11"/>
      <c r="BW99" s="11"/>
      <c r="BX99" s="11"/>
      <c r="BY99" s="11"/>
      <c r="BZ99" s="11"/>
      <c r="CA99" s="11"/>
      <c r="CB99" s="11"/>
      <c r="CC99" s="11"/>
      <c r="CD99" s="11"/>
      <c r="CE99" s="20">
        <v>80</v>
      </c>
      <c r="CF99" s="11"/>
      <c r="CG99" s="11"/>
      <c r="CH99" s="11"/>
      <c r="CI99" s="11"/>
      <c r="CJ99" s="11"/>
      <c r="CK99" s="11"/>
      <c r="CL99" s="11"/>
      <c r="CM99" s="11"/>
      <c r="CN99" s="11"/>
      <c r="CO99" s="11"/>
      <c r="CP99" s="11"/>
      <c r="CQ99" s="20">
        <v>80</v>
      </c>
      <c r="CR99" s="11"/>
      <c r="CS99" s="11"/>
      <c r="CT99" s="11"/>
      <c r="CU99" s="11"/>
      <c r="CV99" s="11"/>
      <c r="CW99" s="11"/>
      <c r="CX99" s="11"/>
      <c r="CY99" s="11"/>
      <c r="CZ99" s="11"/>
      <c r="DA99" s="11"/>
      <c r="DB99" s="11"/>
      <c r="DC99" s="11"/>
      <c r="DD99" s="11"/>
    </row>
    <row r="100" spans="1:108" ht="24" x14ac:dyDescent="0.25">
      <c r="A100" s="6" t="s">
        <v>668</v>
      </c>
      <c r="B100" s="7" t="s">
        <v>667</v>
      </c>
      <c r="C100" s="8" t="s">
        <v>342</v>
      </c>
      <c r="D100" s="8" t="s">
        <v>308</v>
      </c>
      <c r="E100" s="8" t="s">
        <v>300</v>
      </c>
      <c r="F100" s="8" t="s">
        <v>301</v>
      </c>
      <c r="G100" s="8" t="s">
        <v>313</v>
      </c>
      <c r="H100" s="8" t="s">
        <v>333</v>
      </c>
      <c r="I100" s="8"/>
      <c r="J100" s="21">
        <v>90</v>
      </c>
      <c r="K100" s="21">
        <v>70</v>
      </c>
      <c r="L100" s="8"/>
      <c r="M100" s="8"/>
      <c r="N100" s="8"/>
      <c r="O100" s="8"/>
      <c r="P100" s="8"/>
      <c r="Q100" s="7"/>
      <c r="R100" s="8" t="s">
        <v>795</v>
      </c>
      <c r="S100" s="8"/>
      <c r="T100" s="8"/>
      <c r="U100" s="8"/>
      <c r="V100" s="8" t="s">
        <v>305</v>
      </c>
      <c r="W100" s="8" t="s">
        <v>306</v>
      </c>
      <c r="X100" s="21">
        <v>0</v>
      </c>
      <c r="Y100" s="8" t="b">
        <v>0</v>
      </c>
      <c r="Z100" s="8" t="b">
        <v>0</v>
      </c>
      <c r="AA100" s="8"/>
      <c r="AB100" s="8" t="s">
        <v>218</v>
      </c>
      <c r="AC100" s="8" t="s">
        <v>344</v>
      </c>
      <c r="AD100" s="8" t="s">
        <v>344</v>
      </c>
      <c r="AE100" s="21">
        <v>80</v>
      </c>
      <c r="AF100" s="21">
        <v>80</v>
      </c>
      <c r="AG100" s="21">
        <v>80</v>
      </c>
      <c r="AH100" s="21">
        <v>80</v>
      </c>
      <c r="AI100" s="21">
        <v>80</v>
      </c>
      <c r="AJ100" s="8"/>
      <c r="AK100" s="8"/>
      <c r="AL100" s="8"/>
      <c r="AM100" s="8"/>
      <c r="AN100" s="8"/>
      <c r="AO100" s="8"/>
      <c r="AP100" s="8"/>
      <c r="AQ100" s="8"/>
      <c r="AR100" s="8"/>
      <c r="AS100" s="8"/>
      <c r="AT100" s="8"/>
      <c r="AU100" s="21">
        <v>80</v>
      </c>
      <c r="AV100" s="8"/>
      <c r="AW100" s="8"/>
      <c r="AX100" s="8"/>
      <c r="AY100" s="8"/>
      <c r="AZ100" s="8"/>
      <c r="BA100" s="8"/>
      <c r="BB100" s="8"/>
      <c r="BC100" s="8"/>
      <c r="BD100" s="8"/>
      <c r="BE100" s="8"/>
      <c r="BF100" s="8"/>
      <c r="BG100" s="21">
        <v>80</v>
      </c>
      <c r="BH100" s="8"/>
      <c r="BI100" s="8"/>
      <c r="BJ100" s="8"/>
      <c r="BK100" s="8"/>
      <c r="BL100" s="8"/>
      <c r="BM100" s="8"/>
      <c r="BN100" s="8"/>
      <c r="BO100" s="8"/>
      <c r="BP100" s="8"/>
      <c r="BQ100" s="8"/>
      <c r="BR100" s="8"/>
      <c r="BS100" s="21">
        <v>80</v>
      </c>
      <c r="BT100" s="8"/>
      <c r="BU100" s="8"/>
      <c r="BV100" s="8"/>
      <c r="BW100" s="8"/>
      <c r="BX100" s="8"/>
      <c r="BY100" s="8"/>
      <c r="BZ100" s="8"/>
      <c r="CA100" s="8"/>
      <c r="CB100" s="8"/>
      <c r="CC100" s="8"/>
      <c r="CD100" s="8"/>
      <c r="CE100" s="21">
        <v>80</v>
      </c>
      <c r="CF100" s="8"/>
      <c r="CG100" s="8"/>
      <c r="CH100" s="8"/>
      <c r="CI100" s="8"/>
      <c r="CJ100" s="8"/>
      <c r="CK100" s="8"/>
      <c r="CL100" s="8"/>
      <c r="CM100" s="8"/>
      <c r="CN100" s="8"/>
      <c r="CO100" s="8"/>
      <c r="CP100" s="8"/>
      <c r="CQ100" s="21">
        <v>80</v>
      </c>
      <c r="CR100" s="8"/>
      <c r="CS100" s="8"/>
      <c r="CT100" s="8"/>
      <c r="CU100" s="8"/>
      <c r="CV100" s="8"/>
      <c r="CW100" s="8"/>
      <c r="CX100" s="8"/>
      <c r="CY100" s="8"/>
      <c r="CZ100" s="8"/>
      <c r="DA100" s="8"/>
      <c r="DB100" s="8"/>
      <c r="DC100" s="8"/>
      <c r="DD100" s="8"/>
    </row>
    <row r="101" spans="1:108" ht="24" x14ac:dyDescent="0.25">
      <c r="A101" s="6" t="s">
        <v>668</v>
      </c>
      <c r="B101" s="10" t="s">
        <v>667</v>
      </c>
      <c r="C101" s="11" t="s">
        <v>342</v>
      </c>
      <c r="D101" s="11" t="s">
        <v>204</v>
      </c>
      <c r="E101" s="11" t="s">
        <v>300</v>
      </c>
      <c r="F101" s="11" t="s">
        <v>301</v>
      </c>
      <c r="G101" s="11" t="s">
        <v>313</v>
      </c>
      <c r="H101" s="11" t="s">
        <v>333</v>
      </c>
      <c r="I101" s="11"/>
      <c r="J101" s="20">
        <v>90</v>
      </c>
      <c r="K101" s="20">
        <v>70</v>
      </c>
      <c r="L101" s="11"/>
      <c r="M101" s="11"/>
      <c r="N101" s="11"/>
      <c r="O101" s="11"/>
      <c r="P101" s="11"/>
      <c r="Q101" s="10"/>
      <c r="R101" s="11" t="s">
        <v>795</v>
      </c>
      <c r="S101" s="11"/>
      <c r="T101" s="11"/>
      <c r="U101" s="11"/>
      <c r="V101" s="11" t="s">
        <v>305</v>
      </c>
      <c r="W101" s="11" t="s">
        <v>306</v>
      </c>
      <c r="X101" s="20">
        <v>0</v>
      </c>
      <c r="Y101" s="11" t="b">
        <v>0</v>
      </c>
      <c r="Z101" s="11" t="b">
        <v>0</v>
      </c>
      <c r="AA101" s="11"/>
      <c r="AB101" s="11" t="s">
        <v>218</v>
      </c>
      <c r="AC101" s="11" t="s">
        <v>344</v>
      </c>
      <c r="AD101" s="11" t="s">
        <v>344</v>
      </c>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11"/>
      <c r="BK101" s="11"/>
      <c r="BL101" s="11"/>
      <c r="BM101" s="11"/>
      <c r="BN101" s="11"/>
      <c r="BO101" s="11"/>
      <c r="BP101" s="11"/>
      <c r="BQ101" s="11"/>
      <c r="BR101" s="11"/>
      <c r="BS101" s="11"/>
      <c r="BT101" s="11"/>
      <c r="BU101" s="11"/>
      <c r="BV101" s="11"/>
      <c r="BW101" s="11"/>
      <c r="BX101" s="11"/>
      <c r="BY101" s="11"/>
      <c r="BZ101" s="11"/>
      <c r="CA101" s="11"/>
      <c r="CB101" s="11"/>
      <c r="CC101" s="11"/>
      <c r="CD101" s="11"/>
      <c r="CE101" s="11"/>
      <c r="CF101" s="11"/>
      <c r="CG101" s="11"/>
      <c r="CH101" s="11"/>
      <c r="CI101" s="11"/>
      <c r="CJ101" s="11"/>
      <c r="CK101" s="11"/>
      <c r="CL101" s="11"/>
      <c r="CM101" s="11"/>
      <c r="CN101" s="11"/>
      <c r="CO101" s="11"/>
      <c r="CP101" s="11"/>
      <c r="CQ101" s="11"/>
      <c r="CR101" s="11"/>
      <c r="CS101" s="11"/>
      <c r="CT101" s="11"/>
      <c r="CU101" s="11"/>
      <c r="CV101" s="11"/>
      <c r="CW101" s="11"/>
      <c r="CX101" s="11"/>
      <c r="CY101" s="11"/>
      <c r="CZ101" s="11"/>
      <c r="DA101" s="11"/>
      <c r="DB101" s="11"/>
      <c r="DC101" s="11"/>
      <c r="DD101" s="11"/>
    </row>
    <row r="102" spans="1:108" ht="24" x14ac:dyDescent="0.25">
      <c r="A102" s="6" t="s">
        <v>668</v>
      </c>
      <c r="B102" s="7" t="s">
        <v>667</v>
      </c>
      <c r="C102" s="8" t="s">
        <v>345</v>
      </c>
      <c r="D102" s="8" t="s">
        <v>299</v>
      </c>
      <c r="E102" s="8" t="s">
        <v>300</v>
      </c>
      <c r="F102" s="8" t="s">
        <v>301</v>
      </c>
      <c r="G102" s="8" t="s">
        <v>313</v>
      </c>
      <c r="H102" s="8" t="s">
        <v>303</v>
      </c>
      <c r="I102" s="8" t="s">
        <v>300</v>
      </c>
      <c r="J102" s="21">
        <v>90</v>
      </c>
      <c r="K102" s="21">
        <v>70</v>
      </c>
      <c r="L102" s="8"/>
      <c r="M102" s="8"/>
      <c r="N102" s="8"/>
      <c r="O102" s="8"/>
      <c r="P102" s="8"/>
      <c r="Q102" s="7"/>
      <c r="R102" s="8" t="s">
        <v>796</v>
      </c>
      <c r="S102" s="8"/>
      <c r="T102" s="8"/>
      <c r="U102" s="8"/>
      <c r="V102" s="8" t="s">
        <v>305</v>
      </c>
      <c r="W102" s="8" t="s">
        <v>306</v>
      </c>
      <c r="X102" s="21">
        <v>0</v>
      </c>
      <c r="Y102" s="8" t="b">
        <v>0</v>
      </c>
      <c r="Z102" s="8" t="b">
        <v>0</v>
      </c>
      <c r="AA102" s="8"/>
      <c r="AB102" s="8" t="s">
        <v>218</v>
      </c>
      <c r="AC102" s="8" t="s">
        <v>347</v>
      </c>
      <c r="AD102" s="8" t="s">
        <v>347</v>
      </c>
      <c r="AE102" s="8"/>
      <c r="AF102" s="21">
        <v>90</v>
      </c>
      <c r="AG102" s="21">
        <v>90</v>
      </c>
      <c r="AH102" s="21">
        <v>90</v>
      </c>
      <c r="AI102" s="21">
        <v>90</v>
      </c>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21">
        <v>90</v>
      </c>
      <c r="BH102" s="8"/>
      <c r="BI102" s="8"/>
      <c r="BJ102" s="8"/>
      <c r="BK102" s="8"/>
      <c r="BL102" s="8"/>
      <c r="BM102" s="8"/>
      <c r="BN102" s="8"/>
      <c r="BO102" s="8"/>
      <c r="BP102" s="8"/>
      <c r="BQ102" s="8"/>
      <c r="BR102" s="8"/>
      <c r="BS102" s="21">
        <v>90</v>
      </c>
      <c r="BT102" s="8"/>
      <c r="BU102" s="8"/>
      <c r="BV102" s="8"/>
      <c r="BW102" s="8"/>
      <c r="BX102" s="8"/>
      <c r="BY102" s="8"/>
      <c r="BZ102" s="8"/>
      <c r="CA102" s="8"/>
      <c r="CB102" s="8"/>
      <c r="CC102" s="8"/>
      <c r="CD102" s="8"/>
      <c r="CE102" s="21">
        <v>90</v>
      </c>
      <c r="CF102" s="8"/>
      <c r="CG102" s="8"/>
      <c r="CH102" s="8"/>
      <c r="CI102" s="8"/>
      <c r="CJ102" s="8"/>
      <c r="CK102" s="8"/>
      <c r="CL102" s="8"/>
      <c r="CM102" s="8"/>
      <c r="CN102" s="8"/>
      <c r="CO102" s="8"/>
      <c r="CP102" s="8"/>
      <c r="CQ102" s="21">
        <v>90</v>
      </c>
      <c r="CR102" s="8"/>
      <c r="CS102" s="8"/>
      <c r="CT102" s="8"/>
      <c r="CU102" s="8"/>
      <c r="CV102" s="8"/>
      <c r="CW102" s="8"/>
      <c r="CX102" s="8"/>
      <c r="CY102" s="8"/>
      <c r="CZ102" s="8"/>
      <c r="DA102" s="8"/>
      <c r="DB102" s="8"/>
      <c r="DC102" s="8"/>
      <c r="DD102" s="8"/>
    </row>
    <row r="103" spans="1:108" ht="24" x14ac:dyDescent="0.25">
      <c r="A103" s="6" t="s">
        <v>668</v>
      </c>
      <c r="B103" s="10" t="s">
        <v>667</v>
      </c>
      <c r="C103" s="11" t="s">
        <v>345</v>
      </c>
      <c r="D103" s="11" t="s">
        <v>308</v>
      </c>
      <c r="E103" s="11" t="s">
        <v>300</v>
      </c>
      <c r="F103" s="11" t="s">
        <v>301</v>
      </c>
      <c r="G103" s="11" t="s">
        <v>313</v>
      </c>
      <c r="H103" s="11" t="s">
        <v>303</v>
      </c>
      <c r="I103" s="11" t="s">
        <v>300</v>
      </c>
      <c r="J103" s="20">
        <v>90</v>
      </c>
      <c r="K103" s="20">
        <v>70</v>
      </c>
      <c r="L103" s="11"/>
      <c r="M103" s="11"/>
      <c r="N103" s="11"/>
      <c r="O103" s="11"/>
      <c r="P103" s="11"/>
      <c r="Q103" s="10"/>
      <c r="R103" s="11" t="s">
        <v>796</v>
      </c>
      <c r="S103" s="11"/>
      <c r="T103" s="11"/>
      <c r="U103" s="11"/>
      <c r="V103" s="11" t="s">
        <v>305</v>
      </c>
      <c r="W103" s="11" t="s">
        <v>306</v>
      </c>
      <c r="X103" s="20">
        <v>0</v>
      </c>
      <c r="Y103" s="11" t="b">
        <v>0</v>
      </c>
      <c r="Z103" s="11" t="b">
        <v>0</v>
      </c>
      <c r="AA103" s="11"/>
      <c r="AB103" s="11" t="s">
        <v>218</v>
      </c>
      <c r="AC103" s="11" t="s">
        <v>347</v>
      </c>
      <c r="AD103" s="11" t="s">
        <v>347</v>
      </c>
      <c r="AE103" s="11"/>
      <c r="AF103" s="20">
        <v>90</v>
      </c>
      <c r="AG103" s="20">
        <v>90</v>
      </c>
      <c r="AH103" s="20">
        <v>90</v>
      </c>
      <c r="AI103" s="20">
        <v>90</v>
      </c>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20">
        <v>90</v>
      </c>
      <c r="BH103" s="11"/>
      <c r="BI103" s="11"/>
      <c r="BJ103" s="11"/>
      <c r="BK103" s="11"/>
      <c r="BL103" s="11"/>
      <c r="BM103" s="11"/>
      <c r="BN103" s="11"/>
      <c r="BO103" s="11"/>
      <c r="BP103" s="11"/>
      <c r="BQ103" s="11"/>
      <c r="BR103" s="11"/>
      <c r="BS103" s="20">
        <v>90</v>
      </c>
      <c r="BT103" s="11"/>
      <c r="BU103" s="11"/>
      <c r="BV103" s="11"/>
      <c r="BW103" s="11"/>
      <c r="BX103" s="11"/>
      <c r="BY103" s="11"/>
      <c r="BZ103" s="11"/>
      <c r="CA103" s="11"/>
      <c r="CB103" s="11"/>
      <c r="CC103" s="11"/>
      <c r="CD103" s="11"/>
      <c r="CE103" s="20">
        <v>90</v>
      </c>
      <c r="CF103" s="11"/>
      <c r="CG103" s="11"/>
      <c r="CH103" s="11"/>
      <c r="CI103" s="11"/>
      <c r="CJ103" s="11"/>
      <c r="CK103" s="11"/>
      <c r="CL103" s="11"/>
      <c r="CM103" s="11"/>
      <c r="CN103" s="11"/>
      <c r="CO103" s="11"/>
      <c r="CP103" s="11"/>
      <c r="CQ103" s="20">
        <v>90</v>
      </c>
      <c r="CR103" s="11"/>
      <c r="CS103" s="11"/>
      <c r="CT103" s="11"/>
      <c r="CU103" s="11"/>
      <c r="CV103" s="11"/>
      <c r="CW103" s="11"/>
      <c r="CX103" s="11"/>
      <c r="CY103" s="11"/>
      <c r="CZ103" s="11"/>
      <c r="DA103" s="11"/>
      <c r="DB103" s="11"/>
      <c r="DC103" s="11"/>
      <c r="DD103" s="11"/>
    </row>
    <row r="104" spans="1:108" ht="24" x14ac:dyDescent="0.25">
      <c r="A104" s="6" t="s">
        <v>668</v>
      </c>
      <c r="B104" s="7" t="s">
        <v>667</v>
      </c>
      <c r="C104" s="8" t="s">
        <v>345</v>
      </c>
      <c r="D104" s="8" t="s">
        <v>204</v>
      </c>
      <c r="E104" s="8" t="s">
        <v>300</v>
      </c>
      <c r="F104" s="8" t="s">
        <v>301</v>
      </c>
      <c r="G104" s="8" t="s">
        <v>313</v>
      </c>
      <c r="H104" s="8" t="s">
        <v>303</v>
      </c>
      <c r="I104" s="8" t="s">
        <v>300</v>
      </c>
      <c r="J104" s="21">
        <v>90</v>
      </c>
      <c r="K104" s="21">
        <v>70</v>
      </c>
      <c r="L104" s="8"/>
      <c r="M104" s="8"/>
      <c r="N104" s="8"/>
      <c r="O104" s="8"/>
      <c r="P104" s="8"/>
      <c r="Q104" s="7"/>
      <c r="R104" s="8" t="s">
        <v>796</v>
      </c>
      <c r="S104" s="8"/>
      <c r="T104" s="8"/>
      <c r="U104" s="8"/>
      <c r="V104" s="8" t="s">
        <v>305</v>
      </c>
      <c r="W104" s="8" t="s">
        <v>306</v>
      </c>
      <c r="X104" s="21">
        <v>0</v>
      </c>
      <c r="Y104" s="8" t="b">
        <v>0</v>
      </c>
      <c r="Z104" s="8" t="b">
        <v>0</v>
      </c>
      <c r="AA104" s="8"/>
      <c r="AB104" s="8" t="s">
        <v>218</v>
      </c>
      <c r="AC104" s="8" t="s">
        <v>347</v>
      </c>
      <c r="AD104" s="8" t="s">
        <v>347</v>
      </c>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c r="CJ104" s="8"/>
      <c r="CK104" s="8"/>
      <c r="CL104" s="8"/>
      <c r="CM104" s="8"/>
      <c r="CN104" s="8"/>
      <c r="CO104" s="8"/>
      <c r="CP104" s="8"/>
      <c r="CQ104" s="8"/>
      <c r="CR104" s="8"/>
      <c r="CS104" s="8"/>
      <c r="CT104" s="8"/>
      <c r="CU104" s="8"/>
      <c r="CV104" s="8"/>
      <c r="CW104" s="8"/>
      <c r="CX104" s="8"/>
      <c r="CY104" s="8"/>
      <c r="CZ104" s="8"/>
      <c r="DA104" s="8"/>
      <c r="DB104" s="8"/>
      <c r="DC104" s="8"/>
      <c r="DD104" s="8"/>
    </row>
    <row r="105" spans="1:108" ht="24" x14ac:dyDescent="0.25">
      <c r="A105" s="6" t="s">
        <v>671</v>
      </c>
      <c r="B105" s="7" t="s">
        <v>670</v>
      </c>
      <c r="C105" s="8" t="s">
        <v>358</v>
      </c>
      <c r="D105" s="8" t="s">
        <v>299</v>
      </c>
      <c r="E105" s="8" t="s">
        <v>300</v>
      </c>
      <c r="F105" s="8" t="s">
        <v>349</v>
      </c>
      <c r="G105" s="8" t="s">
        <v>313</v>
      </c>
      <c r="H105" s="8" t="s">
        <v>303</v>
      </c>
      <c r="I105" s="8"/>
      <c r="J105" s="21">
        <v>90</v>
      </c>
      <c r="K105" s="21">
        <v>70</v>
      </c>
      <c r="L105" s="8"/>
      <c r="M105" s="8"/>
      <c r="N105" s="8"/>
      <c r="O105" s="8"/>
      <c r="P105" s="8"/>
      <c r="Q105" s="7"/>
      <c r="R105" s="8" t="s">
        <v>797</v>
      </c>
      <c r="S105" s="8"/>
      <c r="T105" s="8"/>
      <c r="U105" s="8"/>
      <c r="V105" s="8" t="s">
        <v>305</v>
      </c>
      <c r="W105" s="8" t="s">
        <v>306</v>
      </c>
      <c r="X105" s="21">
        <v>0</v>
      </c>
      <c r="Y105" s="8" t="b">
        <v>0</v>
      </c>
      <c r="Z105" s="8" t="b">
        <v>0</v>
      </c>
      <c r="AA105" s="8"/>
      <c r="AB105" s="8" t="s">
        <v>218</v>
      </c>
      <c r="AC105" s="8" t="s">
        <v>360</v>
      </c>
      <c r="AD105" s="8" t="s">
        <v>360</v>
      </c>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c r="CJ105" s="8"/>
      <c r="CK105" s="8"/>
      <c r="CL105" s="8"/>
      <c r="CM105" s="8"/>
      <c r="CN105" s="8"/>
      <c r="CO105" s="8"/>
      <c r="CP105" s="8"/>
      <c r="CQ105" s="8"/>
      <c r="CR105" s="8"/>
      <c r="CS105" s="8"/>
      <c r="CT105" s="8"/>
      <c r="CU105" s="8"/>
      <c r="CV105" s="8"/>
      <c r="CW105" s="8"/>
      <c r="CX105" s="8"/>
      <c r="CY105" s="8"/>
      <c r="CZ105" s="8"/>
      <c r="DA105" s="8"/>
      <c r="DB105" s="8"/>
      <c r="DC105" s="8"/>
      <c r="DD105" s="8"/>
    </row>
    <row r="106" spans="1:108" ht="24" x14ac:dyDescent="0.25">
      <c r="A106" s="6" t="s">
        <v>671</v>
      </c>
      <c r="B106" s="10" t="s">
        <v>670</v>
      </c>
      <c r="C106" s="11" t="s">
        <v>358</v>
      </c>
      <c r="D106" s="11" t="s">
        <v>308</v>
      </c>
      <c r="E106" s="11" t="s">
        <v>300</v>
      </c>
      <c r="F106" s="11" t="s">
        <v>349</v>
      </c>
      <c r="G106" s="11" t="s">
        <v>313</v>
      </c>
      <c r="H106" s="11" t="s">
        <v>303</v>
      </c>
      <c r="I106" s="11"/>
      <c r="J106" s="20">
        <v>90</v>
      </c>
      <c r="K106" s="20">
        <v>70</v>
      </c>
      <c r="L106" s="11"/>
      <c r="M106" s="11"/>
      <c r="N106" s="11"/>
      <c r="O106" s="11"/>
      <c r="P106" s="11"/>
      <c r="Q106" s="10"/>
      <c r="R106" s="11" t="s">
        <v>797</v>
      </c>
      <c r="S106" s="11"/>
      <c r="T106" s="11"/>
      <c r="U106" s="11"/>
      <c r="V106" s="11" t="s">
        <v>305</v>
      </c>
      <c r="W106" s="11" t="s">
        <v>306</v>
      </c>
      <c r="X106" s="20">
        <v>0</v>
      </c>
      <c r="Y106" s="11" t="b">
        <v>0</v>
      </c>
      <c r="Z106" s="11" t="b">
        <v>0</v>
      </c>
      <c r="AA106" s="11"/>
      <c r="AB106" s="11" t="s">
        <v>218</v>
      </c>
      <c r="AC106" s="11" t="s">
        <v>360</v>
      </c>
      <c r="AD106" s="11" t="s">
        <v>360</v>
      </c>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11"/>
      <c r="BP106" s="11"/>
      <c r="BQ106" s="11"/>
      <c r="BR106" s="11"/>
      <c r="BS106" s="11"/>
      <c r="BT106" s="11"/>
      <c r="BU106" s="11"/>
      <c r="BV106" s="11"/>
      <c r="BW106" s="11"/>
      <c r="BX106" s="11"/>
      <c r="BY106" s="11"/>
      <c r="BZ106" s="11"/>
      <c r="CA106" s="11"/>
      <c r="CB106" s="11"/>
      <c r="CC106" s="11"/>
      <c r="CD106" s="11"/>
      <c r="CE106" s="11"/>
      <c r="CF106" s="11"/>
      <c r="CG106" s="11"/>
      <c r="CH106" s="11"/>
      <c r="CI106" s="11"/>
      <c r="CJ106" s="11"/>
      <c r="CK106" s="11"/>
      <c r="CL106" s="11"/>
      <c r="CM106" s="11"/>
      <c r="CN106" s="11"/>
      <c r="CO106" s="11"/>
      <c r="CP106" s="11"/>
      <c r="CQ106" s="11"/>
      <c r="CR106" s="11"/>
      <c r="CS106" s="11"/>
      <c r="CT106" s="11"/>
      <c r="CU106" s="11"/>
      <c r="CV106" s="11"/>
      <c r="CW106" s="11"/>
      <c r="CX106" s="11"/>
      <c r="CY106" s="11"/>
      <c r="CZ106" s="11"/>
      <c r="DA106" s="11"/>
      <c r="DB106" s="11"/>
      <c r="DC106" s="11"/>
      <c r="DD106" s="11"/>
    </row>
    <row r="107" spans="1:108" ht="24" x14ac:dyDescent="0.25">
      <c r="A107" s="6" t="s">
        <v>671</v>
      </c>
      <c r="B107" s="7" t="s">
        <v>670</v>
      </c>
      <c r="C107" s="8" t="s">
        <v>358</v>
      </c>
      <c r="D107" s="8" t="s">
        <v>204</v>
      </c>
      <c r="E107" s="8" t="s">
        <v>300</v>
      </c>
      <c r="F107" s="8" t="s">
        <v>349</v>
      </c>
      <c r="G107" s="8" t="s">
        <v>313</v>
      </c>
      <c r="H107" s="8" t="s">
        <v>303</v>
      </c>
      <c r="I107" s="8"/>
      <c r="J107" s="21">
        <v>90</v>
      </c>
      <c r="K107" s="21">
        <v>70</v>
      </c>
      <c r="L107" s="8"/>
      <c r="M107" s="8"/>
      <c r="N107" s="8"/>
      <c r="O107" s="8"/>
      <c r="P107" s="8"/>
      <c r="Q107" s="7"/>
      <c r="R107" s="8" t="s">
        <v>797</v>
      </c>
      <c r="S107" s="8"/>
      <c r="T107" s="8"/>
      <c r="U107" s="8"/>
      <c r="V107" s="8" t="s">
        <v>305</v>
      </c>
      <c r="W107" s="8" t="s">
        <v>306</v>
      </c>
      <c r="X107" s="21">
        <v>0</v>
      </c>
      <c r="Y107" s="8" t="b">
        <v>0</v>
      </c>
      <c r="Z107" s="8" t="b">
        <v>0</v>
      </c>
      <c r="AA107" s="8"/>
      <c r="AB107" s="8" t="s">
        <v>218</v>
      </c>
      <c r="AC107" s="8" t="s">
        <v>360</v>
      </c>
      <c r="AD107" s="8" t="s">
        <v>360</v>
      </c>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c r="CJ107" s="8"/>
      <c r="CK107" s="8"/>
      <c r="CL107" s="8"/>
      <c r="CM107" s="8"/>
      <c r="CN107" s="8"/>
      <c r="CO107" s="8"/>
      <c r="CP107" s="8"/>
      <c r="CQ107" s="8"/>
      <c r="CR107" s="8"/>
      <c r="CS107" s="8"/>
      <c r="CT107" s="8"/>
      <c r="CU107" s="8"/>
      <c r="CV107" s="8"/>
      <c r="CW107" s="8"/>
      <c r="CX107" s="8"/>
      <c r="CY107" s="8"/>
      <c r="CZ107" s="8"/>
      <c r="DA107" s="8"/>
      <c r="DB107" s="8"/>
      <c r="DC107" s="8"/>
      <c r="DD107" s="8"/>
    </row>
    <row r="108" spans="1:108" ht="24" x14ac:dyDescent="0.25">
      <c r="A108" s="6" t="s">
        <v>671</v>
      </c>
      <c r="B108" s="10" t="s">
        <v>670</v>
      </c>
      <c r="C108" s="11" t="s">
        <v>361</v>
      </c>
      <c r="D108" s="11" t="s">
        <v>299</v>
      </c>
      <c r="E108" s="11" t="s">
        <v>300</v>
      </c>
      <c r="F108" s="11" t="s">
        <v>349</v>
      </c>
      <c r="G108" s="11" t="s">
        <v>313</v>
      </c>
      <c r="H108" s="11" t="s">
        <v>303</v>
      </c>
      <c r="I108" s="11"/>
      <c r="J108" s="20">
        <v>90</v>
      </c>
      <c r="K108" s="20">
        <v>70</v>
      </c>
      <c r="L108" s="11"/>
      <c r="M108" s="11"/>
      <c r="N108" s="11"/>
      <c r="O108" s="11"/>
      <c r="P108" s="11"/>
      <c r="Q108" s="10"/>
      <c r="R108" s="11" t="s">
        <v>798</v>
      </c>
      <c r="S108" s="11"/>
      <c r="T108" s="11"/>
      <c r="U108" s="11"/>
      <c r="V108" s="11" t="s">
        <v>305</v>
      </c>
      <c r="W108" s="11" t="s">
        <v>306</v>
      </c>
      <c r="X108" s="20">
        <v>0</v>
      </c>
      <c r="Y108" s="11" t="b">
        <v>0</v>
      </c>
      <c r="Z108" s="11" t="b">
        <v>0</v>
      </c>
      <c r="AA108" s="11"/>
      <c r="AB108" s="11" t="s">
        <v>218</v>
      </c>
      <c r="AC108" s="11" t="s">
        <v>363</v>
      </c>
      <c r="AD108" s="11" t="s">
        <v>363</v>
      </c>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11"/>
      <c r="BH108" s="11"/>
      <c r="BI108" s="11"/>
      <c r="BJ108" s="11"/>
      <c r="BK108" s="11"/>
      <c r="BL108" s="11"/>
      <c r="BM108" s="11"/>
      <c r="BN108" s="11"/>
      <c r="BO108" s="11"/>
      <c r="BP108" s="11"/>
      <c r="BQ108" s="11"/>
      <c r="BR108" s="11"/>
      <c r="BS108" s="11"/>
      <c r="BT108" s="11"/>
      <c r="BU108" s="11"/>
      <c r="BV108" s="11"/>
      <c r="BW108" s="11"/>
      <c r="BX108" s="11"/>
      <c r="BY108" s="11"/>
      <c r="BZ108" s="11"/>
      <c r="CA108" s="11"/>
      <c r="CB108" s="11"/>
      <c r="CC108" s="11"/>
      <c r="CD108" s="11"/>
      <c r="CE108" s="11"/>
      <c r="CF108" s="11"/>
      <c r="CG108" s="11"/>
      <c r="CH108" s="11"/>
      <c r="CI108" s="11"/>
      <c r="CJ108" s="11"/>
      <c r="CK108" s="11"/>
      <c r="CL108" s="11"/>
      <c r="CM108" s="11"/>
      <c r="CN108" s="11"/>
      <c r="CO108" s="11"/>
      <c r="CP108" s="11"/>
      <c r="CQ108" s="11"/>
      <c r="CR108" s="11"/>
      <c r="CS108" s="11"/>
      <c r="CT108" s="11"/>
      <c r="CU108" s="11"/>
      <c r="CV108" s="11"/>
      <c r="CW108" s="11"/>
      <c r="CX108" s="11"/>
      <c r="CY108" s="11"/>
      <c r="CZ108" s="11"/>
      <c r="DA108" s="11"/>
      <c r="DB108" s="11"/>
      <c r="DC108" s="11"/>
      <c r="DD108" s="11"/>
    </row>
    <row r="109" spans="1:108" ht="24" x14ac:dyDescent="0.25">
      <c r="A109" s="6" t="s">
        <v>671</v>
      </c>
      <c r="B109" s="7" t="s">
        <v>670</v>
      </c>
      <c r="C109" s="8" t="s">
        <v>361</v>
      </c>
      <c r="D109" s="8" t="s">
        <v>308</v>
      </c>
      <c r="E109" s="8" t="s">
        <v>300</v>
      </c>
      <c r="F109" s="8" t="s">
        <v>349</v>
      </c>
      <c r="G109" s="8" t="s">
        <v>313</v>
      </c>
      <c r="H109" s="8" t="s">
        <v>303</v>
      </c>
      <c r="I109" s="8"/>
      <c r="J109" s="21">
        <v>90</v>
      </c>
      <c r="K109" s="21">
        <v>70</v>
      </c>
      <c r="L109" s="8"/>
      <c r="M109" s="8"/>
      <c r="N109" s="8"/>
      <c r="O109" s="8"/>
      <c r="P109" s="8"/>
      <c r="Q109" s="7"/>
      <c r="R109" s="8" t="s">
        <v>798</v>
      </c>
      <c r="S109" s="8"/>
      <c r="T109" s="8"/>
      <c r="U109" s="8"/>
      <c r="V109" s="8" t="s">
        <v>305</v>
      </c>
      <c r="W109" s="8" t="s">
        <v>306</v>
      </c>
      <c r="X109" s="21">
        <v>0</v>
      </c>
      <c r="Y109" s="8" t="b">
        <v>0</v>
      </c>
      <c r="Z109" s="8" t="b">
        <v>0</v>
      </c>
      <c r="AA109" s="8"/>
      <c r="AB109" s="8" t="s">
        <v>218</v>
      </c>
      <c r="AC109" s="8" t="s">
        <v>363</v>
      </c>
      <c r="AD109" s="8" t="s">
        <v>363</v>
      </c>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c r="CJ109" s="8"/>
      <c r="CK109" s="8"/>
      <c r="CL109" s="8"/>
      <c r="CM109" s="8"/>
      <c r="CN109" s="8"/>
      <c r="CO109" s="8"/>
      <c r="CP109" s="8"/>
      <c r="CQ109" s="8"/>
      <c r="CR109" s="8"/>
      <c r="CS109" s="8"/>
      <c r="CT109" s="8"/>
      <c r="CU109" s="8"/>
      <c r="CV109" s="8"/>
      <c r="CW109" s="8"/>
      <c r="CX109" s="8"/>
      <c r="CY109" s="8"/>
      <c r="CZ109" s="8"/>
      <c r="DA109" s="8"/>
      <c r="DB109" s="8"/>
      <c r="DC109" s="8"/>
      <c r="DD109" s="8"/>
    </row>
    <row r="110" spans="1:108" ht="24" x14ac:dyDescent="0.25">
      <c r="A110" s="6" t="s">
        <v>671</v>
      </c>
      <c r="B110" s="10" t="s">
        <v>670</v>
      </c>
      <c r="C110" s="11" t="s">
        <v>361</v>
      </c>
      <c r="D110" s="11" t="s">
        <v>204</v>
      </c>
      <c r="E110" s="11" t="s">
        <v>300</v>
      </c>
      <c r="F110" s="11" t="s">
        <v>349</v>
      </c>
      <c r="G110" s="11" t="s">
        <v>313</v>
      </c>
      <c r="H110" s="11" t="s">
        <v>303</v>
      </c>
      <c r="I110" s="11"/>
      <c r="J110" s="20">
        <v>90</v>
      </c>
      <c r="K110" s="20">
        <v>70</v>
      </c>
      <c r="L110" s="11"/>
      <c r="M110" s="11"/>
      <c r="N110" s="11"/>
      <c r="O110" s="11"/>
      <c r="P110" s="11"/>
      <c r="Q110" s="10"/>
      <c r="R110" s="11" t="s">
        <v>798</v>
      </c>
      <c r="S110" s="11"/>
      <c r="T110" s="11"/>
      <c r="U110" s="11"/>
      <c r="V110" s="11" t="s">
        <v>305</v>
      </c>
      <c r="W110" s="11" t="s">
        <v>306</v>
      </c>
      <c r="X110" s="20">
        <v>0</v>
      </c>
      <c r="Y110" s="11" t="b">
        <v>0</v>
      </c>
      <c r="Z110" s="11" t="b">
        <v>0</v>
      </c>
      <c r="AA110" s="11"/>
      <c r="AB110" s="11" t="s">
        <v>218</v>
      </c>
      <c r="AC110" s="11" t="s">
        <v>363</v>
      </c>
      <c r="AD110" s="11" t="s">
        <v>363</v>
      </c>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c r="BF110" s="11"/>
      <c r="BG110" s="11"/>
      <c r="BH110" s="11"/>
      <c r="BI110" s="11"/>
      <c r="BJ110" s="11"/>
      <c r="BK110" s="11"/>
      <c r="BL110" s="11"/>
      <c r="BM110" s="11"/>
      <c r="BN110" s="11"/>
      <c r="BO110" s="11"/>
      <c r="BP110" s="11"/>
      <c r="BQ110" s="11"/>
      <c r="BR110" s="11"/>
      <c r="BS110" s="11"/>
      <c r="BT110" s="11"/>
      <c r="BU110" s="11"/>
      <c r="BV110" s="11"/>
      <c r="BW110" s="11"/>
      <c r="BX110" s="11"/>
      <c r="BY110" s="11"/>
      <c r="BZ110" s="11"/>
      <c r="CA110" s="11"/>
      <c r="CB110" s="11"/>
      <c r="CC110" s="11"/>
      <c r="CD110" s="11"/>
      <c r="CE110" s="11"/>
      <c r="CF110" s="11"/>
      <c r="CG110" s="11"/>
      <c r="CH110" s="11"/>
      <c r="CI110" s="11"/>
      <c r="CJ110" s="11"/>
      <c r="CK110" s="11"/>
      <c r="CL110" s="11"/>
      <c r="CM110" s="11"/>
      <c r="CN110" s="11"/>
      <c r="CO110" s="11"/>
      <c r="CP110" s="11"/>
      <c r="CQ110" s="11"/>
      <c r="CR110" s="11"/>
      <c r="CS110" s="11"/>
      <c r="CT110" s="11"/>
      <c r="CU110" s="11"/>
      <c r="CV110" s="11"/>
      <c r="CW110" s="11"/>
      <c r="CX110" s="11"/>
      <c r="CY110" s="11"/>
      <c r="CZ110" s="11"/>
      <c r="DA110" s="11"/>
      <c r="DB110" s="11"/>
      <c r="DC110" s="11"/>
      <c r="DD110" s="11"/>
    </row>
    <row r="111" spans="1:108" ht="24" x14ac:dyDescent="0.25">
      <c r="A111" s="6" t="s">
        <v>671</v>
      </c>
      <c r="B111" s="7" t="s">
        <v>670</v>
      </c>
      <c r="C111" s="8" t="s">
        <v>364</v>
      </c>
      <c r="D111" s="8" t="s">
        <v>299</v>
      </c>
      <c r="E111" s="8" t="s">
        <v>300</v>
      </c>
      <c r="F111" s="8" t="s">
        <v>349</v>
      </c>
      <c r="G111" s="8" t="s">
        <v>313</v>
      </c>
      <c r="H111" s="8" t="s">
        <v>333</v>
      </c>
      <c r="I111" s="8"/>
      <c r="J111" s="21">
        <v>90</v>
      </c>
      <c r="K111" s="21">
        <v>70</v>
      </c>
      <c r="L111" s="8"/>
      <c r="M111" s="8"/>
      <c r="N111" s="8"/>
      <c r="O111" s="8"/>
      <c r="P111" s="8"/>
      <c r="Q111" s="7"/>
      <c r="R111" s="8" t="s">
        <v>799</v>
      </c>
      <c r="S111" s="8"/>
      <c r="T111" s="8"/>
      <c r="U111" s="8"/>
      <c r="V111" s="8" t="s">
        <v>305</v>
      </c>
      <c r="W111" s="8" t="s">
        <v>306</v>
      </c>
      <c r="X111" s="21">
        <v>0</v>
      </c>
      <c r="Y111" s="8" t="b">
        <v>0</v>
      </c>
      <c r="Z111" s="8" t="b">
        <v>0</v>
      </c>
      <c r="AA111" s="8"/>
      <c r="AB111" s="8" t="s">
        <v>218</v>
      </c>
      <c r="AC111" s="8" t="s">
        <v>366</v>
      </c>
      <c r="AD111" s="8" t="s">
        <v>366</v>
      </c>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c r="CJ111" s="8"/>
      <c r="CK111" s="8"/>
      <c r="CL111" s="8"/>
      <c r="CM111" s="8"/>
      <c r="CN111" s="8"/>
      <c r="CO111" s="8"/>
      <c r="CP111" s="8"/>
      <c r="CQ111" s="8"/>
      <c r="CR111" s="8"/>
      <c r="CS111" s="8"/>
      <c r="CT111" s="8"/>
      <c r="CU111" s="8"/>
      <c r="CV111" s="8"/>
      <c r="CW111" s="8"/>
      <c r="CX111" s="8"/>
      <c r="CY111" s="8"/>
      <c r="CZ111" s="8"/>
      <c r="DA111" s="8"/>
      <c r="DB111" s="8"/>
      <c r="DC111" s="8"/>
      <c r="DD111" s="8"/>
    </row>
    <row r="112" spans="1:108" ht="24" x14ac:dyDescent="0.25">
      <c r="A112" s="6" t="s">
        <v>671</v>
      </c>
      <c r="B112" s="10" t="s">
        <v>670</v>
      </c>
      <c r="C112" s="11" t="s">
        <v>364</v>
      </c>
      <c r="D112" s="11" t="s">
        <v>308</v>
      </c>
      <c r="E112" s="11" t="s">
        <v>300</v>
      </c>
      <c r="F112" s="11" t="s">
        <v>349</v>
      </c>
      <c r="G112" s="11" t="s">
        <v>313</v>
      </c>
      <c r="H112" s="11" t="s">
        <v>333</v>
      </c>
      <c r="I112" s="11"/>
      <c r="J112" s="20">
        <v>90</v>
      </c>
      <c r="K112" s="20">
        <v>70</v>
      </c>
      <c r="L112" s="11"/>
      <c r="M112" s="11"/>
      <c r="N112" s="11"/>
      <c r="O112" s="11"/>
      <c r="P112" s="11"/>
      <c r="Q112" s="10"/>
      <c r="R112" s="11" t="s">
        <v>799</v>
      </c>
      <c r="S112" s="11"/>
      <c r="T112" s="11"/>
      <c r="U112" s="11"/>
      <c r="V112" s="11" t="s">
        <v>305</v>
      </c>
      <c r="W112" s="11" t="s">
        <v>306</v>
      </c>
      <c r="X112" s="20">
        <v>0</v>
      </c>
      <c r="Y112" s="11" t="b">
        <v>0</v>
      </c>
      <c r="Z112" s="11" t="b">
        <v>0</v>
      </c>
      <c r="AA112" s="11"/>
      <c r="AB112" s="11" t="s">
        <v>218</v>
      </c>
      <c r="AC112" s="11" t="s">
        <v>366</v>
      </c>
      <c r="AD112" s="11" t="s">
        <v>366</v>
      </c>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c r="BK112" s="11"/>
      <c r="BL112" s="11"/>
      <c r="BM112" s="11"/>
      <c r="BN112" s="11"/>
      <c r="BO112" s="11"/>
      <c r="BP112" s="11"/>
      <c r="BQ112" s="11"/>
      <c r="BR112" s="11"/>
      <c r="BS112" s="11"/>
      <c r="BT112" s="11"/>
      <c r="BU112" s="11"/>
      <c r="BV112" s="11"/>
      <c r="BW112" s="11"/>
      <c r="BX112" s="11"/>
      <c r="BY112" s="11"/>
      <c r="BZ112" s="11"/>
      <c r="CA112" s="11"/>
      <c r="CB112" s="11"/>
      <c r="CC112" s="11"/>
      <c r="CD112" s="11"/>
      <c r="CE112" s="11"/>
      <c r="CF112" s="11"/>
      <c r="CG112" s="11"/>
      <c r="CH112" s="11"/>
      <c r="CI112" s="11"/>
      <c r="CJ112" s="11"/>
      <c r="CK112" s="11"/>
      <c r="CL112" s="11"/>
      <c r="CM112" s="11"/>
      <c r="CN112" s="11"/>
      <c r="CO112" s="11"/>
      <c r="CP112" s="11"/>
      <c r="CQ112" s="11"/>
      <c r="CR112" s="11"/>
      <c r="CS112" s="11"/>
      <c r="CT112" s="11"/>
      <c r="CU112" s="11"/>
      <c r="CV112" s="11"/>
      <c r="CW112" s="11"/>
      <c r="CX112" s="11"/>
      <c r="CY112" s="11"/>
      <c r="CZ112" s="11"/>
      <c r="DA112" s="11"/>
      <c r="DB112" s="11"/>
      <c r="DC112" s="11"/>
      <c r="DD112" s="11"/>
    </row>
    <row r="113" spans="1:108" ht="24" x14ac:dyDescent="0.25">
      <c r="A113" s="6" t="s">
        <v>671</v>
      </c>
      <c r="B113" s="7" t="s">
        <v>670</v>
      </c>
      <c r="C113" s="8" t="s">
        <v>364</v>
      </c>
      <c r="D113" s="8" t="s">
        <v>204</v>
      </c>
      <c r="E113" s="8" t="s">
        <v>300</v>
      </c>
      <c r="F113" s="8" t="s">
        <v>349</v>
      </c>
      <c r="G113" s="8" t="s">
        <v>313</v>
      </c>
      <c r="H113" s="8" t="s">
        <v>333</v>
      </c>
      <c r="I113" s="8"/>
      <c r="J113" s="21">
        <v>90</v>
      </c>
      <c r="K113" s="21">
        <v>70</v>
      </c>
      <c r="L113" s="8"/>
      <c r="M113" s="8"/>
      <c r="N113" s="8"/>
      <c r="O113" s="8"/>
      <c r="P113" s="8"/>
      <c r="Q113" s="7"/>
      <c r="R113" s="8" t="s">
        <v>799</v>
      </c>
      <c r="S113" s="8"/>
      <c r="T113" s="8"/>
      <c r="U113" s="8"/>
      <c r="V113" s="8" t="s">
        <v>305</v>
      </c>
      <c r="W113" s="8" t="s">
        <v>306</v>
      </c>
      <c r="X113" s="21">
        <v>0</v>
      </c>
      <c r="Y113" s="8" t="b">
        <v>0</v>
      </c>
      <c r="Z113" s="8" t="b">
        <v>0</v>
      </c>
      <c r="AA113" s="8"/>
      <c r="AB113" s="8" t="s">
        <v>218</v>
      </c>
      <c r="AC113" s="8" t="s">
        <v>366</v>
      </c>
      <c r="AD113" s="8" t="s">
        <v>366</v>
      </c>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c r="CJ113" s="8"/>
      <c r="CK113" s="8"/>
      <c r="CL113" s="8"/>
      <c r="CM113" s="8"/>
      <c r="CN113" s="8"/>
      <c r="CO113" s="8"/>
      <c r="CP113" s="8"/>
      <c r="CQ113" s="8"/>
      <c r="CR113" s="8"/>
      <c r="CS113" s="8"/>
      <c r="CT113" s="8"/>
      <c r="CU113" s="8"/>
      <c r="CV113" s="8"/>
      <c r="CW113" s="8"/>
      <c r="CX113" s="8"/>
      <c r="CY113" s="8"/>
      <c r="CZ113" s="8"/>
      <c r="DA113" s="8"/>
      <c r="DB113" s="8"/>
      <c r="DC113" s="8"/>
      <c r="DD113" s="8"/>
    </row>
    <row r="114" spans="1:108" ht="24" x14ac:dyDescent="0.25">
      <c r="A114" s="6" t="s">
        <v>674</v>
      </c>
      <c r="B114" s="10" t="s">
        <v>673</v>
      </c>
      <c r="C114" s="11" t="s">
        <v>348</v>
      </c>
      <c r="D114" s="11" t="s">
        <v>299</v>
      </c>
      <c r="E114" s="11" t="s">
        <v>300</v>
      </c>
      <c r="F114" s="11" t="s">
        <v>349</v>
      </c>
      <c r="G114" s="11" t="s">
        <v>313</v>
      </c>
      <c r="H114" s="11" t="s">
        <v>303</v>
      </c>
      <c r="I114" s="11"/>
      <c r="J114" s="20">
        <v>90</v>
      </c>
      <c r="K114" s="20">
        <v>70</v>
      </c>
      <c r="L114" s="11"/>
      <c r="M114" s="11"/>
      <c r="N114" s="11"/>
      <c r="O114" s="11"/>
      <c r="P114" s="11"/>
      <c r="Q114" s="10"/>
      <c r="R114" s="11" t="s">
        <v>800</v>
      </c>
      <c r="S114" s="11"/>
      <c r="T114" s="11"/>
      <c r="U114" s="11"/>
      <c r="V114" s="11" t="s">
        <v>305</v>
      </c>
      <c r="W114" s="11" t="s">
        <v>306</v>
      </c>
      <c r="X114" s="20">
        <v>0</v>
      </c>
      <c r="Y114" s="11" t="b">
        <v>0</v>
      </c>
      <c r="Z114" s="11" t="b">
        <v>0</v>
      </c>
      <c r="AA114" s="11"/>
      <c r="AB114" s="11" t="s">
        <v>218</v>
      </c>
      <c r="AC114" s="11" t="s">
        <v>351</v>
      </c>
      <c r="AD114" s="11" t="s">
        <v>351</v>
      </c>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11"/>
      <c r="BH114" s="11"/>
      <c r="BI114" s="11"/>
      <c r="BJ114" s="11"/>
      <c r="BK114" s="11"/>
      <c r="BL114" s="11"/>
      <c r="BM114" s="11"/>
      <c r="BN114" s="11"/>
      <c r="BO114" s="11"/>
      <c r="BP114" s="11"/>
      <c r="BQ114" s="11"/>
      <c r="BR114" s="11"/>
      <c r="BS114" s="11"/>
      <c r="BT114" s="11"/>
      <c r="BU114" s="11"/>
      <c r="BV114" s="11"/>
      <c r="BW114" s="11"/>
      <c r="BX114" s="11"/>
      <c r="BY114" s="11"/>
      <c r="BZ114" s="11"/>
      <c r="CA114" s="11"/>
      <c r="CB114" s="11"/>
      <c r="CC114" s="11"/>
      <c r="CD114" s="11"/>
      <c r="CE114" s="11"/>
      <c r="CF114" s="11"/>
      <c r="CG114" s="11"/>
      <c r="CH114" s="11"/>
      <c r="CI114" s="11"/>
      <c r="CJ114" s="11"/>
      <c r="CK114" s="11"/>
      <c r="CL114" s="11"/>
      <c r="CM114" s="11"/>
      <c r="CN114" s="11"/>
      <c r="CO114" s="11"/>
      <c r="CP114" s="11"/>
      <c r="CQ114" s="11"/>
      <c r="CR114" s="11"/>
      <c r="CS114" s="11"/>
      <c r="CT114" s="11"/>
      <c r="CU114" s="11"/>
      <c r="CV114" s="11"/>
      <c r="CW114" s="11"/>
      <c r="CX114" s="11"/>
      <c r="CY114" s="11"/>
      <c r="CZ114" s="11"/>
      <c r="DA114" s="11"/>
      <c r="DB114" s="11"/>
      <c r="DC114" s="11"/>
      <c r="DD114" s="11"/>
    </row>
    <row r="115" spans="1:108" ht="24" x14ac:dyDescent="0.25">
      <c r="A115" s="6" t="s">
        <v>674</v>
      </c>
      <c r="B115" s="7" t="s">
        <v>673</v>
      </c>
      <c r="C115" s="8" t="s">
        <v>348</v>
      </c>
      <c r="D115" s="8" t="s">
        <v>308</v>
      </c>
      <c r="E115" s="8" t="s">
        <v>300</v>
      </c>
      <c r="F115" s="8" t="s">
        <v>349</v>
      </c>
      <c r="G115" s="8" t="s">
        <v>313</v>
      </c>
      <c r="H115" s="8" t="s">
        <v>303</v>
      </c>
      <c r="I115" s="8"/>
      <c r="J115" s="21">
        <v>90</v>
      </c>
      <c r="K115" s="21">
        <v>70</v>
      </c>
      <c r="L115" s="8"/>
      <c r="M115" s="8"/>
      <c r="N115" s="8"/>
      <c r="O115" s="8"/>
      <c r="P115" s="8"/>
      <c r="Q115" s="7"/>
      <c r="R115" s="8" t="s">
        <v>800</v>
      </c>
      <c r="S115" s="8"/>
      <c r="T115" s="8"/>
      <c r="U115" s="8"/>
      <c r="V115" s="8" t="s">
        <v>305</v>
      </c>
      <c r="W115" s="8" t="s">
        <v>306</v>
      </c>
      <c r="X115" s="21">
        <v>0</v>
      </c>
      <c r="Y115" s="8" t="b">
        <v>0</v>
      </c>
      <c r="Z115" s="8" t="b">
        <v>0</v>
      </c>
      <c r="AA115" s="8"/>
      <c r="AB115" s="8" t="s">
        <v>218</v>
      </c>
      <c r="AC115" s="8" t="s">
        <v>351</v>
      </c>
      <c r="AD115" s="8" t="s">
        <v>351</v>
      </c>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c r="CJ115" s="8"/>
      <c r="CK115" s="8"/>
      <c r="CL115" s="8"/>
      <c r="CM115" s="8"/>
      <c r="CN115" s="8"/>
      <c r="CO115" s="8"/>
      <c r="CP115" s="8"/>
      <c r="CQ115" s="8"/>
      <c r="CR115" s="8"/>
      <c r="CS115" s="8"/>
      <c r="CT115" s="8"/>
      <c r="CU115" s="8"/>
      <c r="CV115" s="8"/>
      <c r="CW115" s="8"/>
      <c r="CX115" s="8"/>
      <c r="CY115" s="8"/>
      <c r="CZ115" s="8"/>
      <c r="DA115" s="8"/>
      <c r="DB115" s="8"/>
      <c r="DC115" s="8"/>
      <c r="DD115" s="8"/>
    </row>
    <row r="116" spans="1:108" ht="24" x14ac:dyDescent="0.25">
      <c r="A116" s="6" t="s">
        <v>674</v>
      </c>
      <c r="B116" s="10" t="s">
        <v>673</v>
      </c>
      <c r="C116" s="11" t="s">
        <v>348</v>
      </c>
      <c r="D116" s="11" t="s">
        <v>204</v>
      </c>
      <c r="E116" s="11" t="s">
        <v>300</v>
      </c>
      <c r="F116" s="11" t="s">
        <v>349</v>
      </c>
      <c r="G116" s="11" t="s">
        <v>313</v>
      </c>
      <c r="H116" s="11" t="s">
        <v>303</v>
      </c>
      <c r="I116" s="11"/>
      <c r="J116" s="20">
        <v>90</v>
      </c>
      <c r="K116" s="20">
        <v>70</v>
      </c>
      <c r="L116" s="11"/>
      <c r="M116" s="11"/>
      <c r="N116" s="11"/>
      <c r="O116" s="11"/>
      <c r="P116" s="11"/>
      <c r="Q116" s="10"/>
      <c r="R116" s="11" t="s">
        <v>800</v>
      </c>
      <c r="S116" s="11"/>
      <c r="T116" s="11"/>
      <c r="U116" s="11"/>
      <c r="V116" s="11" t="s">
        <v>305</v>
      </c>
      <c r="W116" s="11" t="s">
        <v>306</v>
      </c>
      <c r="X116" s="20">
        <v>0</v>
      </c>
      <c r="Y116" s="11" t="b">
        <v>0</v>
      </c>
      <c r="Z116" s="11" t="b">
        <v>0</v>
      </c>
      <c r="AA116" s="11"/>
      <c r="AB116" s="11" t="s">
        <v>218</v>
      </c>
      <c r="AC116" s="11" t="s">
        <v>351</v>
      </c>
      <c r="AD116" s="11" t="s">
        <v>351</v>
      </c>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11"/>
      <c r="BH116" s="11"/>
      <c r="BI116" s="11"/>
      <c r="BJ116" s="11"/>
      <c r="BK116" s="11"/>
      <c r="BL116" s="11"/>
      <c r="BM116" s="11"/>
      <c r="BN116" s="11"/>
      <c r="BO116" s="11"/>
      <c r="BP116" s="11"/>
      <c r="BQ116" s="11"/>
      <c r="BR116" s="11"/>
      <c r="BS116" s="11"/>
      <c r="BT116" s="11"/>
      <c r="BU116" s="11"/>
      <c r="BV116" s="11"/>
      <c r="BW116" s="11"/>
      <c r="BX116" s="11"/>
      <c r="BY116" s="11"/>
      <c r="BZ116" s="11"/>
      <c r="CA116" s="11"/>
      <c r="CB116" s="11"/>
      <c r="CC116" s="11"/>
      <c r="CD116" s="11"/>
      <c r="CE116" s="11"/>
      <c r="CF116" s="11"/>
      <c r="CG116" s="11"/>
      <c r="CH116" s="11"/>
      <c r="CI116" s="11"/>
      <c r="CJ116" s="11"/>
      <c r="CK116" s="11"/>
      <c r="CL116" s="11"/>
      <c r="CM116" s="11"/>
      <c r="CN116" s="11"/>
      <c r="CO116" s="11"/>
      <c r="CP116" s="11"/>
      <c r="CQ116" s="11"/>
      <c r="CR116" s="11"/>
      <c r="CS116" s="11"/>
      <c r="CT116" s="11"/>
      <c r="CU116" s="11"/>
      <c r="CV116" s="11"/>
      <c r="CW116" s="11"/>
      <c r="CX116" s="11"/>
      <c r="CY116" s="11"/>
      <c r="CZ116" s="11"/>
      <c r="DA116" s="11"/>
      <c r="DB116" s="11"/>
      <c r="DC116" s="11"/>
      <c r="DD116" s="11"/>
    </row>
    <row r="117" spans="1:108" ht="24" x14ac:dyDescent="0.25">
      <c r="A117" s="6" t="s">
        <v>674</v>
      </c>
      <c r="B117" s="7" t="s">
        <v>673</v>
      </c>
      <c r="C117" s="8" t="s">
        <v>352</v>
      </c>
      <c r="D117" s="8" t="s">
        <v>299</v>
      </c>
      <c r="E117" s="8" t="s">
        <v>300</v>
      </c>
      <c r="F117" s="8" t="s">
        <v>349</v>
      </c>
      <c r="G117" s="8" t="s">
        <v>313</v>
      </c>
      <c r="H117" s="8" t="s">
        <v>333</v>
      </c>
      <c r="I117" s="8"/>
      <c r="J117" s="21">
        <v>90</v>
      </c>
      <c r="K117" s="21">
        <v>70</v>
      </c>
      <c r="L117" s="8"/>
      <c r="M117" s="8"/>
      <c r="N117" s="8"/>
      <c r="O117" s="8"/>
      <c r="P117" s="8"/>
      <c r="Q117" s="7"/>
      <c r="R117" s="25" t="s">
        <v>801</v>
      </c>
      <c r="S117" s="8"/>
      <c r="T117" s="8"/>
      <c r="U117" s="8"/>
      <c r="V117" s="8" t="s">
        <v>305</v>
      </c>
      <c r="W117" s="8" t="s">
        <v>306</v>
      </c>
      <c r="X117" s="21">
        <v>0</v>
      </c>
      <c r="Y117" s="8" t="b">
        <v>0</v>
      </c>
      <c r="Z117" s="8" t="b">
        <v>0</v>
      </c>
      <c r="AA117" s="8"/>
      <c r="AB117" s="8" t="s">
        <v>218</v>
      </c>
      <c r="AC117" s="8" t="s">
        <v>354</v>
      </c>
      <c r="AD117" s="8" t="s">
        <v>354</v>
      </c>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c r="CJ117" s="8"/>
      <c r="CK117" s="8"/>
      <c r="CL117" s="8"/>
      <c r="CM117" s="8"/>
      <c r="CN117" s="8"/>
      <c r="CO117" s="8"/>
      <c r="CP117" s="8"/>
      <c r="CQ117" s="8"/>
      <c r="CR117" s="8"/>
      <c r="CS117" s="8"/>
      <c r="CT117" s="8"/>
      <c r="CU117" s="8"/>
      <c r="CV117" s="8"/>
      <c r="CW117" s="8"/>
      <c r="CX117" s="8"/>
      <c r="CY117" s="8"/>
      <c r="CZ117" s="8"/>
      <c r="DA117" s="8"/>
      <c r="DB117" s="8"/>
      <c r="DC117" s="8"/>
      <c r="DD117" s="8"/>
    </row>
    <row r="118" spans="1:108" ht="24" x14ac:dyDescent="0.25">
      <c r="A118" s="6" t="s">
        <v>674</v>
      </c>
      <c r="B118" s="10" t="s">
        <v>673</v>
      </c>
      <c r="C118" s="11" t="s">
        <v>352</v>
      </c>
      <c r="D118" s="11" t="s">
        <v>308</v>
      </c>
      <c r="E118" s="11" t="s">
        <v>300</v>
      </c>
      <c r="F118" s="11" t="s">
        <v>349</v>
      </c>
      <c r="G118" s="11" t="s">
        <v>313</v>
      </c>
      <c r="H118" s="11" t="s">
        <v>333</v>
      </c>
      <c r="I118" s="11"/>
      <c r="J118" s="20">
        <v>90</v>
      </c>
      <c r="K118" s="20">
        <v>70</v>
      </c>
      <c r="L118" s="11"/>
      <c r="M118" s="11"/>
      <c r="N118" s="11"/>
      <c r="O118" s="11"/>
      <c r="P118" s="11"/>
      <c r="Q118" s="10"/>
      <c r="R118" s="26" t="s">
        <v>801</v>
      </c>
      <c r="S118" s="11"/>
      <c r="T118" s="11"/>
      <c r="U118" s="11"/>
      <c r="V118" s="11" t="s">
        <v>305</v>
      </c>
      <c r="W118" s="11" t="s">
        <v>306</v>
      </c>
      <c r="X118" s="20">
        <v>0</v>
      </c>
      <c r="Y118" s="11" t="b">
        <v>0</v>
      </c>
      <c r="Z118" s="11" t="b">
        <v>0</v>
      </c>
      <c r="AA118" s="11"/>
      <c r="AB118" s="11" t="s">
        <v>218</v>
      </c>
      <c r="AC118" s="11" t="s">
        <v>354</v>
      </c>
      <c r="AD118" s="11" t="s">
        <v>354</v>
      </c>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11"/>
      <c r="BK118" s="11"/>
      <c r="BL118" s="11"/>
      <c r="BM118" s="11"/>
      <c r="BN118" s="11"/>
      <c r="BO118" s="11"/>
      <c r="BP118" s="11"/>
      <c r="BQ118" s="11"/>
      <c r="BR118" s="11"/>
      <c r="BS118" s="11"/>
      <c r="BT118" s="11"/>
      <c r="BU118" s="11"/>
      <c r="BV118" s="11"/>
      <c r="BW118" s="11"/>
      <c r="BX118" s="11"/>
      <c r="BY118" s="11"/>
      <c r="BZ118" s="11"/>
      <c r="CA118" s="11"/>
      <c r="CB118" s="11"/>
      <c r="CC118" s="11"/>
      <c r="CD118" s="11"/>
      <c r="CE118" s="11"/>
      <c r="CF118" s="11"/>
      <c r="CG118" s="11"/>
      <c r="CH118" s="11"/>
      <c r="CI118" s="11"/>
      <c r="CJ118" s="11"/>
      <c r="CK118" s="11"/>
      <c r="CL118" s="11"/>
      <c r="CM118" s="11"/>
      <c r="CN118" s="11"/>
      <c r="CO118" s="11"/>
      <c r="CP118" s="11"/>
      <c r="CQ118" s="11"/>
      <c r="CR118" s="11"/>
      <c r="CS118" s="11"/>
      <c r="CT118" s="11"/>
      <c r="CU118" s="11"/>
      <c r="CV118" s="11"/>
      <c r="CW118" s="11"/>
      <c r="CX118" s="11"/>
      <c r="CY118" s="11"/>
      <c r="CZ118" s="11"/>
      <c r="DA118" s="11"/>
      <c r="DB118" s="11"/>
      <c r="DC118" s="11"/>
      <c r="DD118" s="11"/>
    </row>
    <row r="119" spans="1:108" ht="24" x14ac:dyDescent="0.25">
      <c r="A119" s="6" t="s">
        <v>674</v>
      </c>
      <c r="B119" s="7" t="s">
        <v>673</v>
      </c>
      <c r="C119" s="8" t="s">
        <v>352</v>
      </c>
      <c r="D119" s="8" t="s">
        <v>204</v>
      </c>
      <c r="E119" s="8" t="s">
        <v>300</v>
      </c>
      <c r="F119" s="8" t="s">
        <v>349</v>
      </c>
      <c r="G119" s="8" t="s">
        <v>313</v>
      </c>
      <c r="H119" s="8" t="s">
        <v>333</v>
      </c>
      <c r="I119" s="8"/>
      <c r="J119" s="21">
        <v>90</v>
      </c>
      <c r="K119" s="21">
        <v>70</v>
      </c>
      <c r="L119" s="8"/>
      <c r="M119" s="8"/>
      <c r="N119" s="8"/>
      <c r="O119" s="8"/>
      <c r="P119" s="8"/>
      <c r="Q119" s="7"/>
      <c r="R119" s="25" t="s">
        <v>801</v>
      </c>
      <c r="S119" s="8"/>
      <c r="T119" s="8"/>
      <c r="U119" s="8"/>
      <c r="V119" s="8" t="s">
        <v>305</v>
      </c>
      <c r="W119" s="8" t="s">
        <v>306</v>
      </c>
      <c r="X119" s="21">
        <v>0</v>
      </c>
      <c r="Y119" s="8" t="b">
        <v>0</v>
      </c>
      <c r="Z119" s="8" t="b">
        <v>0</v>
      </c>
      <c r="AA119" s="8"/>
      <c r="AB119" s="8" t="s">
        <v>218</v>
      </c>
      <c r="AC119" s="8" t="s">
        <v>354</v>
      </c>
      <c r="AD119" s="8" t="s">
        <v>354</v>
      </c>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c r="CJ119" s="8"/>
      <c r="CK119" s="8"/>
      <c r="CL119" s="8"/>
      <c r="CM119" s="8"/>
      <c r="CN119" s="8"/>
      <c r="CO119" s="8"/>
      <c r="CP119" s="8"/>
      <c r="CQ119" s="8"/>
      <c r="CR119" s="8"/>
      <c r="CS119" s="8"/>
      <c r="CT119" s="8"/>
      <c r="CU119" s="8"/>
      <c r="CV119" s="8"/>
      <c r="CW119" s="8"/>
      <c r="CX119" s="8"/>
      <c r="CY119" s="8"/>
      <c r="CZ119" s="8"/>
      <c r="DA119" s="8"/>
      <c r="DB119" s="8"/>
      <c r="DC119" s="8"/>
      <c r="DD119" s="8"/>
    </row>
    <row r="120" spans="1:108" ht="24" x14ac:dyDescent="0.25">
      <c r="A120" s="6" t="s">
        <v>674</v>
      </c>
      <c r="B120" s="10" t="s">
        <v>673</v>
      </c>
      <c r="C120" s="11" t="s">
        <v>355</v>
      </c>
      <c r="D120" s="11" t="s">
        <v>299</v>
      </c>
      <c r="E120" s="11" t="s">
        <v>300</v>
      </c>
      <c r="F120" s="11" t="s">
        <v>349</v>
      </c>
      <c r="G120" s="11" t="s">
        <v>313</v>
      </c>
      <c r="H120" s="11" t="s">
        <v>303</v>
      </c>
      <c r="I120" s="11"/>
      <c r="J120" s="20">
        <v>90</v>
      </c>
      <c r="K120" s="20">
        <v>70</v>
      </c>
      <c r="L120" s="11"/>
      <c r="M120" s="11"/>
      <c r="N120" s="11"/>
      <c r="O120" s="11"/>
      <c r="P120" s="11"/>
      <c r="Q120" s="10"/>
      <c r="R120" s="11" t="s">
        <v>802</v>
      </c>
      <c r="S120" s="11"/>
      <c r="T120" s="11"/>
      <c r="U120" s="11"/>
      <c r="V120" s="11" t="s">
        <v>305</v>
      </c>
      <c r="W120" s="11" t="s">
        <v>306</v>
      </c>
      <c r="X120" s="20">
        <v>0</v>
      </c>
      <c r="Y120" s="11" t="b">
        <v>0</v>
      </c>
      <c r="Z120" s="11" t="b">
        <v>0</v>
      </c>
      <c r="AA120" s="11"/>
      <c r="AB120" s="11" t="s">
        <v>218</v>
      </c>
      <c r="AC120" s="11" t="s">
        <v>357</v>
      </c>
      <c r="AD120" s="11" t="s">
        <v>357</v>
      </c>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11"/>
      <c r="BK120" s="11"/>
      <c r="BL120" s="11"/>
      <c r="BM120" s="11"/>
      <c r="BN120" s="11"/>
      <c r="BO120" s="11"/>
      <c r="BP120" s="11"/>
      <c r="BQ120" s="11"/>
      <c r="BR120" s="11"/>
      <c r="BS120" s="11"/>
      <c r="BT120" s="11"/>
      <c r="BU120" s="11"/>
      <c r="BV120" s="11"/>
      <c r="BW120" s="11"/>
      <c r="BX120" s="11"/>
      <c r="BY120" s="11"/>
      <c r="BZ120" s="11"/>
      <c r="CA120" s="11"/>
      <c r="CB120" s="11"/>
      <c r="CC120" s="11"/>
      <c r="CD120" s="11"/>
      <c r="CE120" s="11"/>
      <c r="CF120" s="11"/>
      <c r="CG120" s="11"/>
      <c r="CH120" s="11"/>
      <c r="CI120" s="11"/>
      <c r="CJ120" s="11"/>
      <c r="CK120" s="11"/>
      <c r="CL120" s="11"/>
      <c r="CM120" s="11"/>
      <c r="CN120" s="11"/>
      <c r="CO120" s="11"/>
      <c r="CP120" s="11"/>
      <c r="CQ120" s="11"/>
      <c r="CR120" s="11"/>
      <c r="CS120" s="11"/>
      <c r="CT120" s="11"/>
      <c r="CU120" s="11"/>
      <c r="CV120" s="11"/>
      <c r="CW120" s="11"/>
      <c r="CX120" s="11"/>
      <c r="CY120" s="11"/>
      <c r="CZ120" s="11"/>
      <c r="DA120" s="11"/>
      <c r="DB120" s="11"/>
      <c r="DC120" s="11"/>
      <c r="DD120" s="11"/>
    </row>
    <row r="121" spans="1:108" ht="24" x14ac:dyDescent="0.25">
      <c r="A121" s="6" t="s">
        <v>674</v>
      </c>
      <c r="B121" s="7" t="s">
        <v>673</v>
      </c>
      <c r="C121" s="8" t="s">
        <v>355</v>
      </c>
      <c r="D121" s="8" t="s">
        <v>308</v>
      </c>
      <c r="E121" s="8" t="s">
        <v>300</v>
      </c>
      <c r="F121" s="8" t="s">
        <v>349</v>
      </c>
      <c r="G121" s="8" t="s">
        <v>313</v>
      </c>
      <c r="H121" s="8" t="s">
        <v>303</v>
      </c>
      <c r="I121" s="8"/>
      <c r="J121" s="21">
        <v>90</v>
      </c>
      <c r="K121" s="21">
        <v>70</v>
      </c>
      <c r="L121" s="8"/>
      <c r="M121" s="8"/>
      <c r="N121" s="8"/>
      <c r="O121" s="8"/>
      <c r="P121" s="8"/>
      <c r="Q121" s="7"/>
      <c r="R121" s="8" t="s">
        <v>802</v>
      </c>
      <c r="S121" s="8"/>
      <c r="T121" s="8"/>
      <c r="U121" s="8"/>
      <c r="V121" s="8" t="s">
        <v>305</v>
      </c>
      <c r="W121" s="8" t="s">
        <v>306</v>
      </c>
      <c r="X121" s="21">
        <v>0</v>
      </c>
      <c r="Y121" s="8" t="b">
        <v>0</v>
      </c>
      <c r="Z121" s="8" t="b">
        <v>0</v>
      </c>
      <c r="AA121" s="8"/>
      <c r="AB121" s="8" t="s">
        <v>218</v>
      </c>
      <c r="AC121" s="8" t="s">
        <v>357</v>
      </c>
      <c r="AD121" s="8" t="s">
        <v>357</v>
      </c>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c r="CJ121" s="8"/>
      <c r="CK121" s="8"/>
      <c r="CL121" s="8"/>
      <c r="CM121" s="8"/>
      <c r="CN121" s="8"/>
      <c r="CO121" s="8"/>
      <c r="CP121" s="8"/>
      <c r="CQ121" s="8"/>
      <c r="CR121" s="8"/>
      <c r="CS121" s="8"/>
      <c r="CT121" s="8"/>
      <c r="CU121" s="8"/>
      <c r="CV121" s="8"/>
      <c r="CW121" s="8"/>
      <c r="CX121" s="8"/>
      <c r="CY121" s="8"/>
      <c r="CZ121" s="8"/>
      <c r="DA121" s="8"/>
      <c r="DB121" s="8"/>
      <c r="DC121" s="8"/>
      <c r="DD121" s="8"/>
    </row>
    <row r="122" spans="1:108" ht="24" x14ac:dyDescent="0.25">
      <c r="A122" s="6" t="s">
        <v>674</v>
      </c>
      <c r="B122" s="10" t="s">
        <v>673</v>
      </c>
      <c r="C122" s="11" t="s">
        <v>355</v>
      </c>
      <c r="D122" s="11" t="s">
        <v>204</v>
      </c>
      <c r="E122" s="11" t="s">
        <v>300</v>
      </c>
      <c r="F122" s="11" t="s">
        <v>349</v>
      </c>
      <c r="G122" s="11" t="s">
        <v>313</v>
      </c>
      <c r="H122" s="11" t="s">
        <v>303</v>
      </c>
      <c r="I122" s="11"/>
      <c r="J122" s="20">
        <v>90</v>
      </c>
      <c r="K122" s="20">
        <v>70</v>
      </c>
      <c r="L122" s="11"/>
      <c r="M122" s="11"/>
      <c r="N122" s="11"/>
      <c r="O122" s="11"/>
      <c r="P122" s="11"/>
      <c r="Q122" s="10"/>
      <c r="R122" s="11" t="s">
        <v>802</v>
      </c>
      <c r="S122" s="11"/>
      <c r="T122" s="11"/>
      <c r="U122" s="11"/>
      <c r="V122" s="11" t="s">
        <v>305</v>
      </c>
      <c r="W122" s="11" t="s">
        <v>306</v>
      </c>
      <c r="X122" s="20">
        <v>0</v>
      </c>
      <c r="Y122" s="11" t="b">
        <v>0</v>
      </c>
      <c r="Z122" s="11" t="b">
        <v>0</v>
      </c>
      <c r="AA122" s="11"/>
      <c r="AB122" s="11" t="s">
        <v>218</v>
      </c>
      <c r="AC122" s="11" t="s">
        <v>357</v>
      </c>
      <c r="AD122" s="11" t="s">
        <v>357</v>
      </c>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11"/>
      <c r="BK122" s="11"/>
      <c r="BL122" s="11"/>
      <c r="BM122" s="11"/>
      <c r="BN122" s="11"/>
      <c r="BO122" s="11"/>
      <c r="BP122" s="11"/>
      <c r="BQ122" s="11"/>
      <c r="BR122" s="11"/>
      <c r="BS122" s="11"/>
      <c r="BT122" s="11"/>
      <c r="BU122" s="11"/>
      <c r="BV122" s="11"/>
      <c r="BW122" s="11"/>
      <c r="BX122" s="11"/>
      <c r="BY122" s="11"/>
      <c r="BZ122" s="11"/>
      <c r="CA122" s="11"/>
      <c r="CB122" s="11"/>
      <c r="CC122" s="11"/>
      <c r="CD122" s="11"/>
      <c r="CE122" s="11"/>
      <c r="CF122" s="11"/>
      <c r="CG122" s="11"/>
      <c r="CH122" s="11"/>
      <c r="CI122" s="11"/>
      <c r="CJ122" s="11"/>
      <c r="CK122" s="11"/>
      <c r="CL122" s="11"/>
      <c r="CM122" s="11"/>
      <c r="CN122" s="11"/>
      <c r="CO122" s="11"/>
      <c r="CP122" s="11"/>
      <c r="CQ122" s="11"/>
      <c r="CR122" s="11"/>
      <c r="CS122" s="11"/>
      <c r="CT122" s="11"/>
      <c r="CU122" s="11"/>
      <c r="CV122" s="11"/>
      <c r="CW122" s="11"/>
      <c r="CX122" s="11"/>
      <c r="CY122" s="11"/>
      <c r="CZ122" s="11"/>
      <c r="DA122" s="11"/>
      <c r="DB122" s="11"/>
      <c r="DC122" s="11"/>
      <c r="DD122" s="11"/>
    </row>
    <row r="123" spans="1:108" ht="24" x14ac:dyDescent="0.25">
      <c r="A123" s="6" t="s">
        <v>678</v>
      </c>
      <c r="B123" s="10" t="s">
        <v>677</v>
      </c>
      <c r="C123" s="11" t="s">
        <v>309</v>
      </c>
      <c r="D123" s="11" t="s">
        <v>299</v>
      </c>
      <c r="E123" s="11" t="s">
        <v>300</v>
      </c>
      <c r="F123" s="11" t="s">
        <v>301</v>
      </c>
      <c r="G123" s="11" t="s">
        <v>302</v>
      </c>
      <c r="H123" s="11" t="s">
        <v>303</v>
      </c>
      <c r="I123" s="11" t="s">
        <v>300</v>
      </c>
      <c r="J123" s="20">
        <v>90</v>
      </c>
      <c r="K123" s="20">
        <v>70</v>
      </c>
      <c r="L123" s="11"/>
      <c r="M123" s="11"/>
      <c r="N123" s="11"/>
      <c r="O123" s="11"/>
      <c r="P123" s="11"/>
      <c r="Q123" s="10" t="s">
        <v>310</v>
      </c>
      <c r="R123" s="11" t="s">
        <v>803</v>
      </c>
      <c r="S123" s="11"/>
      <c r="T123" s="11"/>
      <c r="U123" s="11"/>
      <c r="V123" s="11" t="s">
        <v>305</v>
      </c>
      <c r="W123" s="11" t="s">
        <v>306</v>
      </c>
      <c r="X123" s="20">
        <v>0</v>
      </c>
      <c r="Y123" s="11" t="b">
        <v>0</v>
      </c>
      <c r="Z123" s="11" t="b">
        <v>0</v>
      </c>
      <c r="AA123" s="11"/>
      <c r="AB123" s="11" t="s">
        <v>218</v>
      </c>
      <c r="AC123" s="11" t="s">
        <v>322</v>
      </c>
      <c r="AD123" s="11" t="s">
        <v>322</v>
      </c>
      <c r="AE123" s="20">
        <v>5</v>
      </c>
      <c r="AF123" s="20">
        <v>10</v>
      </c>
      <c r="AG123" s="20">
        <v>10</v>
      </c>
      <c r="AH123" s="20">
        <v>10</v>
      </c>
      <c r="AI123" s="20">
        <v>10</v>
      </c>
      <c r="AJ123" s="11"/>
      <c r="AK123" s="11"/>
      <c r="AL123" s="11"/>
      <c r="AM123" s="11"/>
      <c r="AN123" s="11"/>
      <c r="AO123" s="11"/>
      <c r="AP123" s="11"/>
      <c r="AQ123" s="11"/>
      <c r="AR123" s="11"/>
      <c r="AS123" s="11"/>
      <c r="AT123" s="11"/>
      <c r="AU123" s="20">
        <v>5</v>
      </c>
      <c r="AV123" s="11"/>
      <c r="AW123" s="11"/>
      <c r="AX123" s="11"/>
      <c r="AY123" s="11"/>
      <c r="AZ123" s="11"/>
      <c r="BA123" s="11"/>
      <c r="BB123" s="11"/>
      <c r="BC123" s="11"/>
      <c r="BD123" s="11"/>
      <c r="BE123" s="11"/>
      <c r="BF123" s="11"/>
      <c r="BG123" s="20">
        <v>10</v>
      </c>
      <c r="BH123" s="11"/>
      <c r="BI123" s="11"/>
      <c r="BJ123" s="11"/>
      <c r="BK123" s="11"/>
      <c r="BL123" s="11"/>
      <c r="BM123" s="11"/>
      <c r="BN123" s="11"/>
      <c r="BO123" s="11"/>
      <c r="BP123" s="11"/>
      <c r="BQ123" s="11"/>
      <c r="BR123" s="11"/>
      <c r="BS123" s="20">
        <v>10</v>
      </c>
      <c r="BT123" s="11"/>
      <c r="BU123" s="11"/>
      <c r="BV123" s="11"/>
      <c r="BW123" s="11"/>
      <c r="BX123" s="11"/>
      <c r="BY123" s="11"/>
      <c r="BZ123" s="11"/>
      <c r="CA123" s="11"/>
      <c r="CB123" s="11"/>
      <c r="CC123" s="11"/>
      <c r="CD123" s="11"/>
      <c r="CE123" s="20">
        <v>10</v>
      </c>
      <c r="CF123" s="11"/>
      <c r="CG123" s="11"/>
      <c r="CH123" s="11"/>
      <c r="CI123" s="11"/>
      <c r="CJ123" s="11"/>
      <c r="CK123" s="11"/>
      <c r="CL123" s="11"/>
      <c r="CM123" s="11"/>
      <c r="CN123" s="11"/>
      <c r="CO123" s="11"/>
      <c r="CP123" s="11"/>
      <c r="CQ123" s="20">
        <v>10</v>
      </c>
      <c r="CR123" s="11"/>
      <c r="CS123" s="11"/>
      <c r="CT123" s="11"/>
      <c r="CU123" s="11"/>
      <c r="CV123" s="11"/>
      <c r="CW123" s="11"/>
      <c r="CX123" s="11"/>
      <c r="CY123" s="11"/>
      <c r="CZ123" s="11"/>
      <c r="DA123" s="11"/>
      <c r="DB123" s="11"/>
      <c r="DC123" s="11"/>
      <c r="DD123" s="11"/>
    </row>
    <row r="124" spans="1:108" ht="24" x14ac:dyDescent="0.25">
      <c r="A124" s="6" t="s">
        <v>678</v>
      </c>
      <c r="B124" s="7" t="s">
        <v>677</v>
      </c>
      <c r="C124" s="8" t="s">
        <v>309</v>
      </c>
      <c r="D124" s="8" t="s">
        <v>308</v>
      </c>
      <c r="E124" s="8" t="s">
        <v>300</v>
      </c>
      <c r="F124" s="8" t="s">
        <v>301</v>
      </c>
      <c r="G124" s="8" t="s">
        <v>302</v>
      </c>
      <c r="H124" s="8" t="s">
        <v>303</v>
      </c>
      <c r="I124" s="8" t="s">
        <v>300</v>
      </c>
      <c r="J124" s="21">
        <v>90</v>
      </c>
      <c r="K124" s="21">
        <v>70</v>
      </c>
      <c r="L124" s="8"/>
      <c r="M124" s="8"/>
      <c r="N124" s="8"/>
      <c r="O124" s="8"/>
      <c r="P124" s="8"/>
      <c r="Q124" s="7" t="s">
        <v>310</v>
      </c>
      <c r="R124" s="8" t="s">
        <v>803</v>
      </c>
      <c r="S124" s="8"/>
      <c r="T124" s="8"/>
      <c r="U124" s="8"/>
      <c r="V124" s="8" t="s">
        <v>305</v>
      </c>
      <c r="W124" s="8" t="s">
        <v>306</v>
      </c>
      <c r="X124" s="21">
        <v>0</v>
      </c>
      <c r="Y124" s="8" t="b">
        <v>0</v>
      </c>
      <c r="Z124" s="8" t="b">
        <v>0</v>
      </c>
      <c r="AA124" s="8"/>
      <c r="AB124" s="8" t="s">
        <v>218</v>
      </c>
      <c r="AC124" s="8" t="s">
        <v>322</v>
      </c>
      <c r="AD124" s="8" t="s">
        <v>322</v>
      </c>
      <c r="AE124" s="21">
        <v>10</v>
      </c>
      <c r="AF124" s="21">
        <v>15</v>
      </c>
      <c r="AG124" s="21">
        <v>15</v>
      </c>
      <c r="AH124" s="21">
        <v>15</v>
      </c>
      <c r="AI124" s="21">
        <v>15</v>
      </c>
      <c r="AJ124" s="8"/>
      <c r="AK124" s="8"/>
      <c r="AL124" s="8"/>
      <c r="AM124" s="8"/>
      <c r="AN124" s="8"/>
      <c r="AO124" s="8"/>
      <c r="AP124" s="8"/>
      <c r="AQ124" s="8"/>
      <c r="AR124" s="8"/>
      <c r="AS124" s="8"/>
      <c r="AT124" s="8"/>
      <c r="AU124" s="21">
        <v>10</v>
      </c>
      <c r="AV124" s="8"/>
      <c r="AW124" s="8"/>
      <c r="AX124" s="8"/>
      <c r="AY124" s="8"/>
      <c r="AZ124" s="8"/>
      <c r="BA124" s="8"/>
      <c r="BB124" s="8"/>
      <c r="BC124" s="8"/>
      <c r="BD124" s="8"/>
      <c r="BE124" s="8"/>
      <c r="BF124" s="8"/>
      <c r="BG124" s="21">
        <v>15</v>
      </c>
      <c r="BH124" s="8"/>
      <c r="BI124" s="8"/>
      <c r="BJ124" s="8"/>
      <c r="BK124" s="8"/>
      <c r="BL124" s="8"/>
      <c r="BM124" s="8"/>
      <c r="BN124" s="8"/>
      <c r="BO124" s="8"/>
      <c r="BP124" s="8"/>
      <c r="BQ124" s="8"/>
      <c r="BR124" s="8"/>
      <c r="BS124" s="21">
        <v>15</v>
      </c>
      <c r="BT124" s="8"/>
      <c r="BU124" s="8"/>
      <c r="BV124" s="8"/>
      <c r="BW124" s="8"/>
      <c r="BX124" s="8"/>
      <c r="BY124" s="8"/>
      <c r="BZ124" s="8"/>
      <c r="CA124" s="8"/>
      <c r="CB124" s="8"/>
      <c r="CC124" s="8"/>
      <c r="CD124" s="8"/>
      <c r="CE124" s="21">
        <v>15</v>
      </c>
      <c r="CF124" s="8"/>
      <c r="CG124" s="8"/>
      <c r="CH124" s="8"/>
      <c r="CI124" s="8"/>
      <c r="CJ124" s="8"/>
      <c r="CK124" s="8"/>
      <c r="CL124" s="8"/>
      <c r="CM124" s="8"/>
      <c r="CN124" s="8"/>
      <c r="CO124" s="8"/>
      <c r="CP124" s="8"/>
      <c r="CQ124" s="21">
        <v>15</v>
      </c>
      <c r="CR124" s="8"/>
      <c r="CS124" s="8"/>
      <c r="CT124" s="8"/>
      <c r="CU124" s="8"/>
      <c r="CV124" s="8"/>
      <c r="CW124" s="8"/>
      <c r="CX124" s="8"/>
      <c r="CY124" s="8"/>
      <c r="CZ124" s="8"/>
      <c r="DA124" s="8"/>
      <c r="DB124" s="8"/>
      <c r="DC124" s="8"/>
      <c r="DD124" s="8"/>
    </row>
    <row r="125" spans="1:108" ht="24" x14ac:dyDescent="0.25">
      <c r="A125" s="6" t="s">
        <v>678</v>
      </c>
      <c r="B125" s="10" t="s">
        <v>677</v>
      </c>
      <c r="C125" s="11" t="s">
        <v>309</v>
      </c>
      <c r="D125" s="11" t="s">
        <v>204</v>
      </c>
      <c r="E125" s="11" t="s">
        <v>300</v>
      </c>
      <c r="F125" s="11" t="s">
        <v>301</v>
      </c>
      <c r="G125" s="11" t="s">
        <v>302</v>
      </c>
      <c r="H125" s="11" t="s">
        <v>303</v>
      </c>
      <c r="I125" s="11" t="s">
        <v>300</v>
      </c>
      <c r="J125" s="20">
        <v>90</v>
      </c>
      <c r="K125" s="20">
        <v>70</v>
      </c>
      <c r="L125" s="11"/>
      <c r="M125" s="11"/>
      <c r="N125" s="11"/>
      <c r="O125" s="11"/>
      <c r="P125" s="11"/>
      <c r="Q125" s="10" t="s">
        <v>310</v>
      </c>
      <c r="R125" s="11" t="s">
        <v>803</v>
      </c>
      <c r="S125" s="11"/>
      <c r="T125" s="11"/>
      <c r="U125" s="11"/>
      <c r="V125" s="11" t="s">
        <v>305</v>
      </c>
      <c r="W125" s="11" t="s">
        <v>306</v>
      </c>
      <c r="X125" s="20">
        <v>0</v>
      </c>
      <c r="Y125" s="11" t="b">
        <v>0</v>
      </c>
      <c r="Z125" s="11" t="b">
        <v>0</v>
      </c>
      <c r="AA125" s="11"/>
      <c r="AB125" s="11" t="s">
        <v>218</v>
      </c>
      <c r="AC125" s="11" t="s">
        <v>322</v>
      </c>
      <c r="AD125" s="11" t="s">
        <v>322</v>
      </c>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c r="BF125" s="11"/>
      <c r="BG125" s="11"/>
      <c r="BH125" s="11"/>
      <c r="BI125" s="11"/>
      <c r="BJ125" s="11"/>
      <c r="BK125" s="11"/>
      <c r="BL125" s="11"/>
      <c r="BM125" s="11"/>
      <c r="BN125" s="11"/>
      <c r="BO125" s="11"/>
      <c r="BP125" s="11"/>
      <c r="BQ125" s="11"/>
      <c r="BR125" s="11"/>
      <c r="BS125" s="11"/>
      <c r="BT125" s="11"/>
      <c r="BU125" s="11"/>
      <c r="BV125" s="11"/>
      <c r="BW125" s="11"/>
      <c r="BX125" s="11"/>
      <c r="BY125" s="11"/>
      <c r="BZ125" s="11"/>
      <c r="CA125" s="11"/>
      <c r="CB125" s="11"/>
      <c r="CC125" s="11"/>
      <c r="CD125" s="11"/>
      <c r="CE125" s="11"/>
      <c r="CF125" s="11"/>
      <c r="CG125" s="11"/>
      <c r="CH125" s="11"/>
      <c r="CI125" s="11"/>
      <c r="CJ125" s="11"/>
      <c r="CK125" s="11"/>
      <c r="CL125" s="11"/>
      <c r="CM125" s="11"/>
      <c r="CN125" s="11"/>
      <c r="CO125" s="11"/>
      <c r="CP125" s="11"/>
      <c r="CQ125" s="11"/>
      <c r="CR125" s="11"/>
      <c r="CS125" s="11"/>
      <c r="CT125" s="11"/>
      <c r="CU125" s="11"/>
      <c r="CV125" s="11"/>
      <c r="CW125" s="11"/>
      <c r="CX125" s="11"/>
      <c r="CY125" s="11"/>
      <c r="CZ125" s="11"/>
      <c r="DA125" s="11"/>
      <c r="DB125" s="11"/>
      <c r="DC125" s="11"/>
      <c r="DD125" s="11"/>
    </row>
    <row r="126" spans="1:108" ht="24" x14ac:dyDescent="0.25">
      <c r="A126" s="6" t="s">
        <v>678</v>
      </c>
      <c r="B126" s="7" t="s">
        <v>677</v>
      </c>
      <c r="C126" s="8" t="s">
        <v>206</v>
      </c>
      <c r="D126" s="8" t="s">
        <v>299</v>
      </c>
      <c r="E126" s="8" t="s">
        <v>300</v>
      </c>
      <c r="F126" s="8" t="s">
        <v>301</v>
      </c>
      <c r="G126" s="8" t="s">
        <v>313</v>
      </c>
      <c r="H126" s="8" t="s">
        <v>303</v>
      </c>
      <c r="I126" s="8" t="s">
        <v>314</v>
      </c>
      <c r="J126" s="21">
        <v>90</v>
      </c>
      <c r="K126" s="21">
        <v>70</v>
      </c>
      <c r="L126" s="8"/>
      <c r="M126" s="8"/>
      <c r="N126" s="8"/>
      <c r="O126" s="8"/>
      <c r="P126" s="8"/>
      <c r="Q126" s="7"/>
      <c r="R126" s="8" t="s">
        <v>804</v>
      </c>
      <c r="S126" s="8"/>
      <c r="T126" s="8"/>
      <c r="U126" s="8"/>
      <c r="V126" s="8" t="s">
        <v>305</v>
      </c>
      <c r="W126" s="8" t="s">
        <v>306</v>
      </c>
      <c r="X126" s="21">
        <v>0</v>
      </c>
      <c r="Y126" s="8" t="b">
        <v>0</v>
      </c>
      <c r="Z126" s="8" t="b">
        <v>0</v>
      </c>
      <c r="AA126" s="8"/>
      <c r="AB126" s="8" t="s">
        <v>218</v>
      </c>
      <c r="AC126" s="8" t="s">
        <v>324</v>
      </c>
      <c r="AD126" s="8" t="s">
        <v>324</v>
      </c>
      <c r="AE126" s="21">
        <v>58.8</v>
      </c>
      <c r="AF126" s="21">
        <v>62.9</v>
      </c>
      <c r="AG126" s="21">
        <v>65</v>
      </c>
      <c r="AH126" s="21">
        <v>65</v>
      </c>
      <c r="AI126" s="21">
        <v>65</v>
      </c>
      <c r="AJ126" s="8"/>
      <c r="AK126" s="8"/>
      <c r="AL126" s="8"/>
      <c r="AM126" s="8"/>
      <c r="AN126" s="8"/>
      <c r="AO126" s="8"/>
      <c r="AP126" s="8"/>
      <c r="AQ126" s="8"/>
      <c r="AR126" s="8"/>
      <c r="AS126" s="8"/>
      <c r="AT126" s="8"/>
      <c r="AU126" s="21">
        <v>58.8</v>
      </c>
      <c r="AV126" s="8"/>
      <c r="AW126" s="8"/>
      <c r="AX126" s="8"/>
      <c r="AY126" s="8"/>
      <c r="AZ126" s="8"/>
      <c r="BA126" s="8"/>
      <c r="BB126" s="8"/>
      <c r="BC126" s="8"/>
      <c r="BD126" s="8"/>
      <c r="BE126" s="8"/>
      <c r="BF126" s="8"/>
      <c r="BG126" s="21">
        <v>62.9</v>
      </c>
      <c r="BH126" s="8"/>
      <c r="BI126" s="8"/>
      <c r="BJ126" s="8"/>
      <c r="BK126" s="8"/>
      <c r="BL126" s="8"/>
      <c r="BM126" s="8"/>
      <c r="BN126" s="8"/>
      <c r="BO126" s="8"/>
      <c r="BP126" s="8"/>
      <c r="BQ126" s="8"/>
      <c r="BR126" s="8"/>
      <c r="BS126" s="21">
        <v>65</v>
      </c>
      <c r="BT126" s="8"/>
      <c r="BU126" s="8"/>
      <c r="BV126" s="8"/>
      <c r="BW126" s="8"/>
      <c r="BX126" s="8"/>
      <c r="BY126" s="8"/>
      <c r="BZ126" s="8"/>
      <c r="CA126" s="8"/>
      <c r="CB126" s="8"/>
      <c r="CC126" s="8"/>
      <c r="CD126" s="8"/>
      <c r="CE126" s="21">
        <v>65</v>
      </c>
      <c r="CF126" s="8"/>
      <c r="CG126" s="8"/>
      <c r="CH126" s="8"/>
      <c r="CI126" s="8"/>
      <c r="CJ126" s="8"/>
      <c r="CK126" s="8"/>
      <c r="CL126" s="8"/>
      <c r="CM126" s="8"/>
      <c r="CN126" s="8"/>
      <c r="CO126" s="8"/>
      <c r="CP126" s="8"/>
      <c r="CQ126" s="21">
        <v>65</v>
      </c>
      <c r="CR126" s="8"/>
      <c r="CS126" s="8"/>
      <c r="CT126" s="8"/>
      <c r="CU126" s="8"/>
      <c r="CV126" s="8"/>
      <c r="CW126" s="8"/>
      <c r="CX126" s="8"/>
      <c r="CY126" s="8"/>
      <c r="CZ126" s="8"/>
      <c r="DA126" s="8"/>
      <c r="DB126" s="8"/>
      <c r="DC126" s="8"/>
      <c r="DD126" s="8"/>
    </row>
    <row r="127" spans="1:108" ht="24" x14ac:dyDescent="0.25">
      <c r="A127" s="6" t="s">
        <v>678</v>
      </c>
      <c r="B127" s="10" t="s">
        <v>677</v>
      </c>
      <c r="C127" s="11" t="s">
        <v>206</v>
      </c>
      <c r="D127" s="11" t="s">
        <v>308</v>
      </c>
      <c r="E127" s="11" t="s">
        <v>300</v>
      </c>
      <c r="F127" s="11" t="s">
        <v>301</v>
      </c>
      <c r="G127" s="11" t="s">
        <v>313</v>
      </c>
      <c r="H127" s="11" t="s">
        <v>303</v>
      </c>
      <c r="I127" s="11" t="s">
        <v>314</v>
      </c>
      <c r="J127" s="20">
        <v>90</v>
      </c>
      <c r="K127" s="20">
        <v>70</v>
      </c>
      <c r="L127" s="11"/>
      <c r="M127" s="11"/>
      <c r="N127" s="11"/>
      <c r="O127" s="11"/>
      <c r="P127" s="11"/>
      <c r="Q127" s="10"/>
      <c r="R127" s="11" t="s">
        <v>804</v>
      </c>
      <c r="S127" s="11"/>
      <c r="T127" s="11"/>
      <c r="U127" s="11"/>
      <c r="V127" s="11" t="s">
        <v>305</v>
      </c>
      <c r="W127" s="11" t="s">
        <v>306</v>
      </c>
      <c r="X127" s="20">
        <v>0</v>
      </c>
      <c r="Y127" s="11" t="b">
        <v>0</v>
      </c>
      <c r="Z127" s="11" t="b">
        <v>0</v>
      </c>
      <c r="AA127" s="11"/>
      <c r="AB127" s="11" t="s">
        <v>218</v>
      </c>
      <c r="AC127" s="11" t="s">
        <v>324</v>
      </c>
      <c r="AD127" s="11" t="s">
        <v>324</v>
      </c>
      <c r="AE127" s="20">
        <v>58.8</v>
      </c>
      <c r="AF127" s="20">
        <v>64.400000000000006</v>
      </c>
      <c r="AG127" s="20">
        <v>67</v>
      </c>
      <c r="AH127" s="20">
        <v>67</v>
      </c>
      <c r="AI127" s="20">
        <v>67</v>
      </c>
      <c r="AJ127" s="11"/>
      <c r="AK127" s="11"/>
      <c r="AL127" s="11"/>
      <c r="AM127" s="11"/>
      <c r="AN127" s="11"/>
      <c r="AO127" s="11"/>
      <c r="AP127" s="11"/>
      <c r="AQ127" s="11"/>
      <c r="AR127" s="11"/>
      <c r="AS127" s="11"/>
      <c r="AT127" s="11"/>
      <c r="AU127" s="20">
        <v>58.8</v>
      </c>
      <c r="AV127" s="11"/>
      <c r="AW127" s="11"/>
      <c r="AX127" s="11"/>
      <c r="AY127" s="11"/>
      <c r="AZ127" s="11"/>
      <c r="BA127" s="11"/>
      <c r="BB127" s="11"/>
      <c r="BC127" s="11"/>
      <c r="BD127" s="11"/>
      <c r="BE127" s="11"/>
      <c r="BF127" s="11"/>
      <c r="BG127" s="20">
        <v>64.400000000000006</v>
      </c>
      <c r="BH127" s="11"/>
      <c r="BI127" s="11"/>
      <c r="BJ127" s="11"/>
      <c r="BK127" s="11"/>
      <c r="BL127" s="11"/>
      <c r="BM127" s="11"/>
      <c r="BN127" s="11"/>
      <c r="BO127" s="11"/>
      <c r="BP127" s="11"/>
      <c r="BQ127" s="11"/>
      <c r="BR127" s="11"/>
      <c r="BS127" s="20">
        <v>67</v>
      </c>
      <c r="BT127" s="11"/>
      <c r="BU127" s="11"/>
      <c r="BV127" s="11"/>
      <c r="BW127" s="11"/>
      <c r="BX127" s="11"/>
      <c r="BY127" s="11"/>
      <c r="BZ127" s="11"/>
      <c r="CA127" s="11"/>
      <c r="CB127" s="11"/>
      <c r="CC127" s="11"/>
      <c r="CD127" s="11"/>
      <c r="CE127" s="20">
        <v>67</v>
      </c>
      <c r="CF127" s="11"/>
      <c r="CG127" s="11"/>
      <c r="CH127" s="11"/>
      <c r="CI127" s="11"/>
      <c r="CJ127" s="11"/>
      <c r="CK127" s="11"/>
      <c r="CL127" s="11"/>
      <c r="CM127" s="11"/>
      <c r="CN127" s="11"/>
      <c r="CO127" s="11"/>
      <c r="CP127" s="11"/>
      <c r="CQ127" s="20">
        <v>67</v>
      </c>
      <c r="CR127" s="11"/>
      <c r="CS127" s="11"/>
      <c r="CT127" s="11"/>
      <c r="CU127" s="11"/>
      <c r="CV127" s="11"/>
      <c r="CW127" s="11"/>
      <c r="CX127" s="11"/>
      <c r="CY127" s="11"/>
      <c r="CZ127" s="11"/>
      <c r="DA127" s="11"/>
      <c r="DB127" s="11"/>
      <c r="DC127" s="11"/>
      <c r="DD127" s="11"/>
    </row>
    <row r="128" spans="1:108" ht="24" x14ac:dyDescent="0.25">
      <c r="A128" s="6" t="s">
        <v>678</v>
      </c>
      <c r="B128" s="7" t="s">
        <v>677</v>
      </c>
      <c r="C128" s="8" t="s">
        <v>206</v>
      </c>
      <c r="D128" s="8" t="s">
        <v>204</v>
      </c>
      <c r="E128" s="8" t="s">
        <v>300</v>
      </c>
      <c r="F128" s="8" t="s">
        <v>301</v>
      </c>
      <c r="G128" s="8" t="s">
        <v>313</v>
      </c>
      <c r="H128" s="8" t="s">
        <v>303</v>
      </c>
      <c r="I128" s="8" t="s">
        <v>314</v>
      </c>
      <c r="J128" s="21">
        <v>90</v>
      </c>
      <c r="K128" s="21">
        <v>70</v>
      </c>
      <c r="L128" s="8"/>
      <c r="M128" s="8"/>
      <c r="N128" s="8"/>
      <c r="O128" s="8"/>
      <c r="P128" s="8"/>
      <c r="Q128" s="7"/>
      <c r="R128" s="8" t="s">
        <v>804</v>
      </c>
      <c r="S128" s="8"/>
      <c r="T128" s="8"/>
      <c r="U128" s="8"/>
      <c r="V128" s="8" t="s">
        <v>305</v>
      </c>
      <c r="W128" s="8" t="s">
        <v>306</v>
      </c>
      <c r="X128" s="21">
        <v>0</v>
      </c>
      <c r="Y128" s="8" t="b">
        <v>0</v>
      </c>
      <c r="Z128" s="8" t="b">
        <v>0</v>
      </c>
      <c r="AA128" s="8"/>
      <c r="AB128" s="8" t="s">
        <v>218</v>
      </c>
      <c r="AC128" s="8" t="s">
        <v>324</v>
      </c>
      <c r="AD128" s="8" t="s">
        <v>324</v>
      </c>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c r="CJ128" s="8"/>
      <c r="CK128" s="8"/>
      <c r="CL128" s="8"/>
      <c r="CM128" s="8"/>
      <c r="CN128" s="8"/>
      <c r="CO128" s="8"/>
      <c r="CP128" s="8"/>
      <c r="CQ128" s="8"/>
      <c r="CR128" s="8"/>
      <c r="CS128" s="8"/>
      <c r="CT128" s="8"/>
      <c r="CU128" s="8"/>
      <c r="CV128" s="8"/>
      <c r="CW128" s="8"/>
      <c r="CX128" s="8"/>
      <c r="CY128" s="8"/>
      <c r="CZ128" s="8"/>
      <c r="DA128" s="8"/>
      <c r="DB128" s="8"/>
      <c r="DC128" s="8"/>
      <c r="DD128" s="8"/>
    </row>
    <row r="129" spans="1:108" ht="24" x14ac:dyDescent="0.25">
      <c r="A129" s="6" t="s">
        <v>678</v>
      </c>
      <c r="B129" s="10" t="s">
        <v>677</v>
      </c>
      <c r="C129" s="11" t="s">
        <v>317</v>
      </c>
      <c r="D129" s="11" t="s">
        <v>299</v>
      </c>
      <c r="E129" s="11" t="s">
        <v>300</v>
      </c>
      <c r="F129" s="11" t="s">
        <v>318</v>
      </c>
      <c r="G129" s="11" t="s">
        <v>313</v>
      </c>
      <c r="H129" s="11" t="s">
        <v>303</v>
      </c>
      <c r="I129" s="11" t="s">
        <v>196</v>
      </c>
      <c r="J129" s="20">
        <v>90</v>
      </c>
      <c r="K129" s="20">
        <v>70</v>
      </c>
      <c r="L129" s="11"/>
      <c r="M129" s="11"/>
      <c r="N129" s="11"/>
      <c r="O129" s="11"/>
      <c r="P129" s="11"/>
      <c r="Q129" s="10"/>
      <c r="R129" s="11" t="s">
        <v>805</v>
      </c>
      <c r="S129" s="11"/>
      <c r="T129" s="11"/>
      <c r="U129" s="11"/>
      <c r="V129" s="11" t="s">
        <v>305</v>
      </c>
      <c r="W129" s="11" t="s">
        <v>306</v>
      </c>
      <c r="X129" s="20">
        <v>0</v>
      </c>
      <c r="Y129" s="11" t="b">
        <v>0</v>
      </c>
      <c r="Z129" s="11" t="b">
        <v>0</v>
      </c>
      <c r="AA129" s="11"/>
      <c r="AB129" s="11" t="s">
        <v>218</v>
      </c>
      <c r="AC129" s="11" t="s">
        <v>326</v>
      </c>
      <c r="AD129" s="11" t="s">
        <v>326</v>
      </c>
      <c r="AE129" s="20">
        <v>501.6</v>
      </c>
      <c r="AF129" s="20">
        <v>556.79999999999995</v>
      </c>
      <c r="AG129" s="20">
        <v>590</v>
      </c>
      <c r="AH129" s="20">
        <v>590</v>
      </c>
      <c r="AI129" s="20">
        <v>590</v>
      </c>
      <c r="AJ129" s="11"/>
      <c r="AK129" s="11"/>
      <c r="AL129" s="11"/>
      <c r="AM129" s="11"/>
      <c r="AN129" s="11"/>
      <c r="AO129" s="11"/>
      <c r="AP129" s="11"/>
      <c r="AQ129" s="11"/>
      <c r="AR129" s="11"/>
      <c r="AS129" s="11"/>
      <c r="AT129" s="11"/>
      <c r="AU129" s="20">
        <v>501.6</v>
      </c>
      <c r="AV129" s="11"/>
      <c r="AW129" s="11"/>
      <c r="AX129" s="11"/>
      <c r="AY129" s="11"/>
      <c r="AZ129" s="11"/>
      <c r="BA129" s="11"/>
      <c r="BB129" s="11"/>
      <c r="BC129" s="11"/>
      <c r="BD129" s="11"/>
      <c r="BE129" s="11"/>
      <c r="BF129" s="11"/>
      <c r="BG129" s="20">
        <v>556.79999999999995</v>
      </c>
      <c r="BH129" s="11"/>
      <c r="BI129" s="11"/>
      <c r="BJ129" s="11"/>
      <c r="BK129" s="11"/>
      <c r="BL129" s="11"/>
      <c r="BM129" s="11"/>
      <c r="BN129" s="11"/>
      <c r="BO129" s="11"/>
      <c r="BP129" s="11"/>
      <c r="BQ129" s="11"/>
      <c r="BR129" s="11"/>
      <c r="BS129" s="20">
        <v>590</v>
      </c>
      <c r="BT129" s="11"/>
      <c r="BU129" s="11"/>
      <c r="BV129" s="11"/>
      <c r="BW129" s="11"/>
      <c r="BX129" s="11"/>
      <c r="BY129" s="11"/>
      <c r="BZ129" s="11"/>
      <c r="CA129" s="11"/>
      <c r="CB129" s="11"/>
      <c r="CC129" s="11"/>
      <c r="CD129" s="11"/>
      <c r="CE129" s="20">
        <v>590</v>
      </c>
      <c r="CF129" s="11"/>
      <c r="CG129" s="11"/>
      <c r="CH129" s="11"/>
      <c r="CI129" s="11"/>
      <c r="CJ129" s="11"/>
      <c r="CK129" s="11"/>
      <c r="CL129" s="11"/>
      <c r="CM129" s="11"/>
      <c r="CN129" s="11"/>
      <c r="CO129" s="11"/>
      <c r="CP129" s="11"/>
      <c r="CQ129" s="20">
        <v>590</v>
      </c>
      <c r="CR129" s="11"/>
      <c r="CS129" s="11"/>
      <c r="CT129" s="11"/>
      <c r="CU129" s="11"/>
      <c r="CV129" s="11"/>
      <c r="CW129" s="11"/>
      <c r="CX129" s="11"/>
      <c r="CY129" s="11"/>
      <c r="CZ129" s="11"/>
      <c r="DA129" s="11"/>
      <c r="DB129" s="11"/>
      <c r="DC129" s="11"/>
      <c r="DD129" s="11"/>
    </row>
    <row r="130" spans="1:108" ht="24" x14ac:dyDescent="0.25">
      <c r="A130" s="6" t="s">
        <v>678</v>
      </c>
      <c r="B130" s="7" t="s">
        <v>677</v>
      </c>
      <c r="C130" s="8" t="s">
        <v>317</v>
      </c>
      <c r="D130" s="8" t="s">
        <v>308</v>
      </c>
      <c r="E130" s="8" t="s">
        <v>300</v>
      </c>
      <c r="F130" s="8" t="s">
        <v>318</v>
      </c>
      <c r="G130" s="8" t="s">
        <v>313</v>
      </c>
      <c r="H130" s="8" t="s">
        <v>303</v>
      </c>
      <c r="I130" s="8" t="s">
        <v>196</v>
      </c>
      <c r="J130" s="21">
        <v>90</v>
      </c>
      <c r="K130" s="21">
        <v>70</v>
      </c>
      <c r="L130" s="8"/>
      <c r="M130" s="8"/>
      <c r="N130" s="8"/>
      <c r="O130" s="8"/>
      <c r="P130" s="8"/>
      <c r="Q130" s="7"/>
      <c r="R130" s="8" t="s">
        <v>805</v>
      </c>
      <c r="S130" s="8"/>
      <c r="T130" s="8"/>
      <c r="U130" s="8"/>
      <c r="V130" s="8" t="s">
        <v>305</v>
      </c>
      <c r="W130" s="8" t="s">
        <v>306</v>
      </c>
      <c r="X130" s="21">
        <v>0</v>
      </c>
      <c r="Y130" s="8" t="b">
        <v>0</v>
      </c>
      <c r="Z130" s="8" t="b">
        <v>0</v>
      </c>
      <c r="AA130" s="8"/>
      <c r="AB130" s="8" t="s">
        <v>218</v>
      </c>
      <c r="AC130" s="8" t="s">
        <v>326</v>
      </c>
      <c r="AD130" s="8" t="s">
        <v>326</v>
      </c>
      <c r="AE130" s="21">
        <v>501.6</v>
      </c>
      <c r="AF130" s="21">
        <v>579.79999999999995</v>
      </c>
      <c r="AG130" s="21">
        <v>626.79999999999995</v>
      </c>
      <c r="AH130" s="21">
        <v>626.79999999999995</v>
      </c>
      <c r="AI130" s="21">
        <v>626.79999999999995</v>
      </c>
      <c r="AJ130" s="8"/>
      <c r="AK130" s="8"/>
      <c r="AL130" s="8"/>
      <c r="AM130" s="8"/>
      <c r="AN130" s="8"/>
      <c r="AO130" s="8"/>
      <c r="AP130" s="8"/>
      <c r="AQ130" s="8"/>
      <c r="AR130" s="8"/>
      <c r="AS130" s="8"/>
      <c r="AT130" s="8"/>
      <c r="AU130" s="21">
        <v>501.6</v>
      </c>
      <c r="AV130" s="8"/>
      <c r="AW130" s="8"/>
      <c r="AX130" s="8"/>
      <c r="AY130" s="8"/>
      <c r="AZ130" s="8"/>
      <c r="BA130" s="8"/>
      <c r="BB130" s="8"/>
      <c r="BC130" s="8"/>
      <c r="BD130" s="8"/>
      <c r="BE130" s="8"/>
      <c r="BF130" s="8"/>
      <c r="BG130" s="21">
        <v>579.79999999999995</v>
      </c>
      <c r="BH130" s="8"/>
      <c r="BI130" s="8"/>
      <c r="BJ130" s="8"/>
      <c r="BK130" s="8"/>
      <c r="BL130" s="8"/>
      <c r="BM130" s="8"/>
      <c r="BN130" s="8"/>
      <c r="BO130" s="8"/>
      <c r="BP130" s="8"/>
      <c r="BQ130" s="8"/>
      <c r="BR130" s="8"/>
      <c r="BS130" s="21">
        <v>626.79999999999995</v>
      </c>
      <c r="BT130" s="8"/>
      <c r="BU130" s="8"/>
      <c r="BV130" s="8"/>
      <c r="BW130" s="8"/>
      <c r="BX130" s="8"/>
      <c r="BY130" s="8"/>
      <c r="BZ130" s="8"/>
      <c r="CA130" s="8"/>
      <c r="CB130" s="8"/>
      <c r="CC130" s="8"/>
      <c r="CD130" s="8"/>
      <c r="CE130" s="21">
        <v>626.79999999999995</v>
      </c>
      <c r="CF130" s="8"/>
      <c r="CG130" s="8"/>
      <c r="CH130" s="8"/>
      <c r="CI130" s="8"/>
      <c r="CJ130" s="8"/>
      <c r="CK130" s="8"/>
      <c r="CL130" s="8"/>
      <c r="CM130" s="8"/>
      <c r="CN130" s="8"/>
      <c r="CO130" s="8"/>
      <c r="CP130" s="8"/>
      <c r="CQ130" s="21">
        <v>626.79999999999995</v>
      </c>
      <c r="CR130" s="8"/>
      <c r="CS130" s="8"/>
      <c r="CT130" s="8"/>
      <c r="CU130" s="8"/>
      <c r="CV130" s="8"/>
      <c r="CW130" s="8"/>
      <c r="CX130" s="8"/>
      <c r="CY130" s="8"/>
      <c r="CZ130" s="8"/>
      <c r="DA130" s="8"/>
      <c r="DB130" s="8"/>
      <c r="DC130" s="8"/>
      <c r="DD130" s="8"/>
    </row>
    <row r="131" spans="1:108" ht="24" x14ac:dyDescent="0.25">
      <c r="A131" s="6" t="s">
        <v>678</v>
      </c>
      <c r="B131" s="10" t="s">
        <v>677</v>
      </c>
      <c r="C131" s="11" t="s">
        <v>317</v>
      </c>
      <c r="D131" s="11" t="s">
        <v>204</v>
      </c>
      <c r="E131" s="11" t="s">
        <v>300</v>
      </c>
      <c r="F131" s="11" t="s">
        <v>318</v>
      </c>
      <c r="G131" s="11" t="s">
        <v>313</v>
      </c>
      <c r="H131" s="11" t="s">
        <v>303</v>
      </c>
      <c r="I131" s="11" t="s">
        <v>196</v>
      </c>
      <c r="J131" s="20">
        <v>90</v>
      </c>
      <c r="K131" s="20">
        <v>70</v>
      </c>
      <c r="L131" s="11"/>
      <c r="M131" s="11"/>
      <c r="N131" s="11"/>
      <c r="O131" s="11"/>
      <c r="P131" s="11"/>
      <c r="Q131" s="10"/>
      <c r="R131" s="11" t="s">
        <v>805</v>
      </c>
      <c r="S131" s="11"/>
      <c r="T131" s="11"/>
      <c r="U131" s="11"/>
      <c r="V131" s="11" t="s">
        <v>305</v>
      </c>
      <c r="W131" s="11" t="s">
        <v>306</v>
      </c>
      <c r="X131" s="20">
        <v>0</v>
      </c>
      <c r="Y131" s="11" t="b">
        <v>0</v>
      </c>
      <c r="Z131" s="11" t="b">
        <v>0</v>
      </c>
      <c r="AA131" s="11"/>
      <c r="AB131" s="11" t="s">
        <v>218</v>
      </c>
      <c r="AC131" s="11" t="s">
        <v>326</v>
      </c>
      <c r="AD131" s="11" t="s">
        <v>326</v>
      </c>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c r="BG131" s="11"/>
      <c r="BH131" s="11"/>
      <c r="BI131" s="11"/>
      <c r="BJ131" s="11"/>
      <c r="BK131" s="11"/>
      <c r="BL131" s="11"/>
      <c r="BM131" s="11"/>
      <c r="BN131" s="11"/>
      <c r="BO131" s="11"/>
      <c r="BP131" s="11"/>
      <c r="BQ131" s="11"/>
      <c r="BR131" s="11"/>
      <c r="BS131" s="11"/>
      <c r="BT131" s="11"/>
      <c r="BU131" s="11"/>
      <c r="BV131" s="11"/>
      <c r="BW131" s="11"/>
      <c r="BX131" s="11"/>
      <c r="BY131" s="11"/>
      <c r="BZ131" s="11"/>
      <c r="CA131" s="11"/>
      <c r="CB131" s="11"/>
      <c r="CC131" s="11"/>
      <c r="CD131" s="11"/>
      <c r="CE131" s="11"/>
      <c r="CF131" s="11"/>
      <c r="CG131" s="11"/>
      <c r="CH131" s="11"/>
      <c r="CI131" s="11"/>
      <c r="CJ131" s="11"/>
      <c r="CK131" s="11"/>
      <c r="CL131" s="11"/>
      <c r="CM131" s="11"/>
      <c r="CN131" s="11"/>
      <c r="CO131" s="11"/>
      <c r="CP131" s="11"/>
      <c r="CQ131" s="11"/>
      <c r="CR131" s="11"/>
      <c r="CS131" s="11"/>
      <c r="CT131" s="11"/>
      <c r="CU131" s="11"/>
      <c r="CV131" s="11"/>
      <c r="CW131" s="11"/>
      <c r="CX131" s="11"/>
      <c r="CY131" s="11"/>
      <c r="CZ131" s="11"/>
      <c r="DA131" s="11"/>
      <c r="DB131" s="11"/>
      <c r="DC131" s="11"/>
      <c r="DD131" s="11"/>
    </row>
    <row r="132" spans="1:108" ht="24" x14ac:dyDescent="0.25">
      <c r="A132" s="6" t="s">
        <v>681</v>
      </c>
      <c r="B132" s="10" t="s">
        <v>680</v>
      </c>
      <c r="C132" s="11" t="s">
        <v>298</v>
      </c>
      <c r="D132" s="11" t="s">
        <v>299</v>
      </c>
      <c r="E132" s="11" t="s">
        <v>300</v>
      </c>
      <c r="F132" s="11" t="s">
        <v>301</v>
      </c>
      <c r="G132" s="11" t="s">
        <v>302</v>
      </c>
      <c r="H132" s="11" t="s">
        <v>303</v>
      </c>
      <c r="I132" s="11" t="s">
        <v>300</v>
      </c>
      <c r="J132" s="20">
        <v>90</v>
      </c>
      <c r="K132" s="20">
        <v>70</v>
      </c>
      <c r="L132" s="11"/>
      <c r="M132" s="11"/>
      <c r="N132" s="11"/>
      <c r="O132" s="11"/>
      <c r="P132" s="11"/>
      <c r="Q132" s="10"/>
      <c r="R132" s="11" t="s">
        <v>806</v>
      </c>
      <c r="S132" s="11"/>
      <c r="T132" s="11"/>
      <c r="U132" s="11"/>
      <c r="V132" s="11" t="s">
        <v>305</v>
      </c>
      <c r="W132" s="11" t="s">
        <v>306</v>
      </c>
      <c r="X132" s="20">
        <v>0</v>
      </c>
      <c r="Y132" s="11" t="b">
        <v>0</v>
      </c>
      <c r="Z132" s="11" t="b">
        <v>0</v>
      </c>
      <c r="AA132" s="11"/>
      <c r="AB132" s="11" t="s">
        <v>218</v>
      </c>
      <c r="AC132" s="11" t="s">
        <v>307</v>
      </c>
      <c r="AD132" s="11" t="s">
        <v>307</v>
      </c>
      <c r="AE132" s="20">
        <v>50</v>
      </c>
      <c r="AF132" s="20">
        <v>100</v>
      </c>
      <c r="AG132" s="20">
        <v>100</v>
      </c>
      <c r="AH132" s="20">
        <v>100</v>
      </c>
      <c r="AI132" s="20">
        <v>100</v>
      </c>
      <c r="AJ132" s="11"/>
      <c r="AK132" s="11"/>
      <c r="AL132" s="11"/>
      <c r="AM132" s="11"/>
      <c r="AN132" s="11"/>
      <c r="AO132" s="11"/>
      <c r="AP132" s="11"/>
      <c r="AQ132" s="11"/>
      <c r="AR132" s="11"/>
      <c r="AS132" s="11"/>
      <c r="AT132" s="11"/>
      <c r="AU132" s="20">
        <v>50</v>
      </c>
      <c r="AV132" s="11"/>
      <c r="AW132" s="11"/>
      <c r="AX132" s="11"/>
      <c r="AY132" s="11"/>
      <c r="AZ132" s="11"/>
      <c r="BA132" s="11"/>
      <c r="BB132" s="11"/>
      <c r="BC132" s="11"/>
      <c r="BD132" s="11"/>
      <c r="BE132" s="11"/>
      <c r="BF132" s="11"/>
      <c r="BG132" s="20">
        <v>100</v>
      </c>
      <c r="BH132" s="11"/>
      <c r="BI132" s="11"/>
      <c r="BJ132" s="11"/>
      <c r="BK132" s="11"/>
      <c r="BL132" s="11"/>
      <c r="BM132" s="11"/>
      <c r="BN132" s="11"/>
      <c r="BO132" s="11"/>
      <c r="BP132" s="11"/>
      <c r="BQ132" s="11"/>
      <c r="BR132" s="11"/>
      <c r="BS132" s="20">
        <v>100</v>
      </c>
      <c r="BT132" s="11"/>
      <c r="BU132" s="11"/>
      <c r="BV132" s="11"/>
      <c r="BW132" s="11"/>
      <c r="BX132" s="11"/>
      <c r="BY132" s="11"/>
      <c r="BZ132" s="11"/>
      <c r="CA132" s="11"/>
      <c r="CB132" s="11"/>
      <c r="CC132" s="11"/>
      <c r="CD132" s="11"/>
      <c r="CE132" s="20">
        <v>100</v>
      </c>
      <c r="CF132" s="11"/>
      <c r="CG132" s="11"/>
      <c r="CH132" s="11"/>
      <c r="CI132" s="11"/>
      <c r="CJ132" s="11"/>
      <c r="CK132" s="11"/>
      <c r="CL132" s="11"/>
      <c r="CM132" s="11"/>
      <c r="CN132" s="11"/>
      <c r="CO132" s="11"/>
      <c r="CP132" s="11"/>
      <c r="CQ132" s="20">
        <v>100</v>
      </c>
      <c r="CR132" s="11"/>
      <c r="CS132" s="11"/>
      <c r="CT132" s="11"/>
      <c r="CU132" s="11"/>
      <c r="CV132" s="11"/>
      <c r="CW132" s="11"/>
      <c r="CX132" s="11"/>
      <c r="CY132" s="11"/>
      <c r="CZ132" s="11"/>
      <c r="DA132" s="11"/>
      <c r="DB132" s="11"/>
      <c r="DC132" s="11"/>
      <c r="DD132" s="11"/>
    </row>
    <row r="133" spans="1:108" ht="24" x14ac:dyDescent="0.25">
      <c r="A133" s="6" t="s">
        <v>681</v>
      </c>
      <c r="B133" s="7" t="s">
        <v>680</v>
      </c>
      <c r="C133" s="8" t="s">
        <v>298</v>
      </c>
      <c r="D133" s="8" t="s">
        <v>308</v>
      </c>
      <c r="E133" s="8" t="s">
        <v>300</v>
      </c>
      <c r="F133" s="8" t="s">
        <v>301</v>
      </c>
      <c r="G133" s="8" t="s">
        <v>302</v>
      </c>
      <c r="H133" s="8" t="s">
        <v>303</v>
      </c>
      <c r="I133" s="8" t="s">
        <v>300</v>
      </c>
      <c r="J133" s="21">
        <v>90</v>
      </c>
      <c r="K133" s="21">
        <v>70</v>
      </c>
      <c r="L133" s="8"/>
      <c r="M133" s="8"/>
      <c r="N133" s="8"/>
      <c r="O133" s="8"/>
      <c r="P133" s="8"/>
      <c r="Q133" s="7"/>
      <c r="R133" s="8" t="s">
        <v>806</v>
      </c>
      <c r="S133" s="8"/>
      <c r="T133" s="8"/>
      <c r="U133" s="8"/>
      <c r="V133" s="8" t="s">
        <v>305</v>
      </c>
      <c r="W133" s="8" t="s">
        <v>306</v>
      </c>
      <c r="X133" s="21">
        <v>0</v>
      </c>
      <c r="Y133" s="8" t="b">
        <v>0</v>
      </c>
      <c r="Z133" s="8" t="b">
        <v>0</v>
      </c>
      <c r="AA133" s="8"/>
      <c r="AB133" s="8" t="s">
        <v>218</v>
      </c>
      <c r="AC133" s="8" t="s">
        <v>307</v>
      </c>
      <c r="AD133" s="8" t="s">
        <v>307</v>
      </c>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c r="CJ133" s="8"/>
      <c r="CK133" s="8"/>
      <c r="CL133" s="8"/>
      <c r="CM133" s="8"/>
      <c r="CN133" s="8"/>
      <c r="CO133" s="8"/>
      <c r="CP133" s="8"/>
      <c r="CQ133" s="8"/>
      <c r="CR133" s="8"/>
      <c r="CS133" s="8"/>
      <c r="CT133" s="8"/>
      <c r="CU133" s="8"/>
      <c r="CV133" s="8"/>
      <c r="CW133" s="8"/>
      <c r="CX133" s="8"/>
      <c r="CY133" s="8"/>
      <c r="CZ133" s="8"/>
      <c r="DA133" s="8"/>
      <c r="DB133" s="8"/>
      <c r="DC133" s="8"/>
      <c r="DD133" s="8"/>
    </row>
    <row r="134" spans="1:108" ht="24" x14ac:dyDescent="0.25">
      <c r="A134" s="6" t="s">
        <v>681</v>
      </c>
      <c r="B134" s="10" t="s">
        <v>680</v>
      </c>
      <c r="C134" s="11" t="s">
        <v>298</v>
      </c>
      <c r="D134" s="11" t="s">
        <v>204</v>
      </c>
      <c r="E134" s="11" t="s">
        <v>300</v>
      </c>
      <c r="F134" s="11" t="s">
        <v>301</v>
      </c>
      <c r="G134" s="11" t="s">
        <v>302</v>
      </c>
      <c r="H134" s="11" t="s">
        <v>303</v>
      </c>
      <c r="I134" s="11" t="s">
        <v>300</v>
      </c>
      <c r="J134" s="20">
        <v>90</v>
      </c>
      <c r="K134" s="20">
        <v>70</v>
      </c>
      <c r="L134" s="11"/>
      <c r="M134" s="11"/>
      <c r="N134" s="11"/>
      <c r="O134" s="11"/>
      <c r="P134" s="11"/>
      <c r="Q134" s="10"/>
      <c r="R134" s="11" t="s">
        <v>806</v>
      </c>
      <c r="S134" s="11"/>
      <c r="T134" s="11"/>
      <c r="U134" s="11"/>
      <c r="V134" s="11" t="s">
        <v>305</v>
      </c>
      <c r="W134" s="11" t="s">
        <v>306</v>
      </c>
      <c r="X134" s="20">
        <v>0</v>
      </c>
      <c r="Y134" s="11" t="b">
        <v>0</v>
      </c>
      <c r="Z134" s="11" t="b">
        <v>0</v>
      </c>
      <c r="AA134" s="11"/>
      <c r="AB134" s="11" t="s">
        <v>218</v>
      </c>
      <c r="AC134" s="11" t="s">
        <v>307</v>
      </c>
      <c r="AD134" s="11" t="s">
        <v>307</v>
      </c>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c r="BD134" s="11"/>
      <c r="BE134" s="11"/>
      <c r="BF134" s="11"/>
      <c r="BG134" s="11"/>
      <c r="BH134" s="11"/>
      <c r="BI134" s="11"/>
      <c r="BJ134" s="11"/>
      <c r="BK134" s="11"/>
      <c r="BL134" s="11"/>
      <c r="BM134" s="11"/>
      <c r="BN134" s="11"/>
      <c r="BO134" s="11"/>
      <c r="BP134" s="11"/>
      <c r="BQ134" s="11"/>
      <c r="BR134" s="11"/>
      <c r="BS134" s="11"/>
      <c r="BT134" s="11"/>
      <c r="BU134" s="11"/>
      <c r="BV134" s="11"/>
      <c r="BW134" s="11"/>
      <c r="BX134" s="11"/>
      <c r="BY134" s="11"/>
      <c r="BZ134" s="11"/>
      <c r="CA134" s="11"/>
      <c r="CB134" s="11"/>
      <c r="CC134" s="11"/>
      <c r="CD134" s="11"/>
      <c r="CE134" s="11"/>
      <c r="CF134" s="11"/>
      <c r="CG134" s="11"/>
      <c r="CH134" s="11"/>
      <c r="CI134" s="11"/>
      <c r="CJ134" s="11"/>
      <c r="CK134" s="11"/>
      <c r="CL134" s="11"/>
      <c r="CM134" s="11"/>
      <c r="CN134" s="11"/>
      <c r="CO134" s="11"/>
      <c r="CP134" s="11"/>
      <c r="CQ134" s="11"/>
      <c r="CR134" s="11"/>
      <c r="CS134" s="11"/>
      <c r="CT134" s="11"/>
      <c r="CU134" s="11"/>
      <c r="CV134" s="11"/>
      <c r="CW134" s="11"/>
      <c r="CX134" s="11"/>
      <c r="CY134" s="11"/>
      <c r="CZ134" s="11"/>
      <c r="DA134" s="11"/>
      <c r="DB134" s="11"/>
      <c r="DC134" s="11"/>
      <c r="DD134" s="11"/>
    </row>
    <row r="135" spans="1:108" ht="24" x14ac:dyDescent="0.25">
      <c r="A135" s="6" t="s">
        <v>681</v>
      </c>
      <c r="B135" s="7" t="s">
        <v>680</v>
      </c>
      <c r="C135" s="8" t="s">
        <v>309</v>
      </c>
      <c r="D135" s="8" t="s">
        <v>299</v>
      </c>
      <c r="E135" s="8" t="s">
        <v>300</v>
      </c>
      <c r="F135" s="8" t="s">
        <v>301</v>
      </c>
      <c r="G135" s="8" t="s">
        <v>302</v>
      </c>
      <c r="H135" s="8" t="s">
        <v>303</v>
      </c>
      <c r="I135" s="8" t="s">
        <v>300</v>
      </c>
      <c r="J135" s="21">
        <v>90</v>
      </c>
      <c r="K135" s="21">
        <v>70</v>
      </c>
      <c r="L135" s="8"/>
      <c r="M135" s="8"/>
      <c r="N135" s="8"/>
      <c r="O135" s="8"/>
      <c r="P135" s="8"/>
      <c r="Q135" s="7" t="s">
        <v>310</v>
      </c>
      <c r="R135" s="8" t="s">
        <v>807</v>
      </c>
      <c r="S135" s="8"/>
      <c r="T135" s="8"/>
      <c r="U135" s="8"/>
      <c r="V135" s="8" t="s">
        <v>305</v>
      </c>
      <c r="W135" s="8" t="s">
        <v>306</v>
      </c>
      <c r="X135" s="21">
        <v>0</v>
      </c>
      <c r="Y135" s="8" t="b">
        <v>0</v>
      </c>
      <c r="Z135" s="8" t="b">
        <v>0</v>
      </c>
      <c r="AA135" s="8"/>
      <c r="AB135" s="8" t="s">
        <v>218</v>
      </c>
      <c r="AC135" s="8" t="s">
        <v>312</v>
      </c>
      <c r="AD135" s="8" t="s">
        <v>312</v>
      </c>
      <c r="AE135" s="8"/>
      <c r="AF135" s="21">
        <v>25</v>
      </c>
      <c r="AG135" s="21">
        <v>25</v>
      </c>
      <c r="AH135" s="21">
        <v>25</v>
      </c>
      <c r="AI135" s="21">
        <v>25</v>
      </c>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21">
        <v>25</v>
      </c>
      <c r="BH135" s="8"/>
      <c r="BI135" s="8"/>
      <c r="BJ135" s="8"/>
      <c r="BK135" s="8"/>
      <c r="BL135" s="8"/>
      <c r="BM135" s="8"/>
      <c r="BN135" s="8"/>
      <c r="BO135" s="8"/>
      <c r="BP135" s="8"/>
      <c r="BQ135" s="8"/>
      <c r="BR135" s="8"/>
      <c r="BS135" s="21">
        <v>25</v>
      </c>
      <c r="BT135" s="8"/>
      <c r="BU135" s="8"/>
      <c r="BV135" s="8"/>
      <c r="BW135" s="8"/>
      <c r="BX135" s="8"/>
      <c r="BY135" s="8"/>
      <c r="BZ135" s="8"/>
      <c r="CA135" s="8"/>
      <c r="CB135" s="8"/>
      <c r="CC135" s="8"/>
      <c r="CD135" s="8"/>
      <c r="CE135" s="21">
        <v>25</v>
      </c>
      <c r="CF135" s="8"/>
      <c r="CG135" s="8"/>
      <c r="CH135" s="8"/>
      <c r="CI135" s="8"/>
      <c r="CJ135" s="8"/>
      <c r="CK135" s="8"/>
      <c r="CL135" s="8"/>
      <c r="CM135" s="8"/>
      <c r="CN135" s="8"/>
      <c r="CO135" s="8"/>
      <c r="CP135" s="8"/>
      <c r="CQ135" s="21">
        <v>25</v>
      </c>
      <c r="CR135" s="8"/>
      <c r="CS135" s="8"/>
      <c r="CT135" s="8"/>
      <c r="CU135" s="8"/>
      <c r="CV135" s="8"/>
      <c r="CW135" s="8"/>
      <c r="CX135" s="8"/>
      <c r="CY135" s="8"/>
      <c r="CZ135" s="8"/>
      <c r="DA135" s="8"/>
      <c r="DB135" s="8"/>
      <c r="DC135" s="8"/>
      <c r="DD135" s="8"/>
    </row>
    <row r="136" spans="1:108" ht="24" x14ac:dyDescent="0.25">
      <c r="A136" s="6" t="s">
        <v>681</v>
      </c>
      <c r="B136" s="10" t="s">
        <v>680</v>
      </c>
      <c r="C136" s="11" t="s">
        <v>309</v>
      </c>
      <c r="D136" s="11" t="s">
        <v>308</v>
      </c>
      <c r="E136" s="11" t="s">
        <v>300</v>
      </c>
      <c r="F136" s="11" t="s">
        <v>301</v>
      </c>
      <c r="G136" s="11" t="s">
        <v>302</v>
      </c>
      <c r="H136" s="11" t="s">
        <v>303</v>
      </c>
      <c r="I136" s="11" t="s">
        <v>300</v>
      </c>
      <c r="J136" s="20">
        <v>90</v>
      </c>
      <c r="K136" s="20">
        <v>70</v>
      </c>
      <c r="L136" s="11"/>
      <c r="M136" s="11"/>
      <c r="N136" s="11"/>
      <c r="O136" s="11"/>
      <c r="P136" s="11"/>
      <c r="Q136" s="10" t="s">
        <v>310</v>
      </c>
      <c r="R136" s="11" t="s">
        <v>807</v>
      </c>
      <c r="S136" s="11"/>
      <c r="T136" s="11"/>
      <c r="U136" s="11"/>
      <c r="V136" s="11" t="s">
        <v>305</v>
      </c>
      <c r="W136" s="11" t="s">
        <v>306</v>
      </c>
      <c r="X136" s="20">
        <v>0</v>
      </c>
      <c r="Y136" s="11" t="b">
        <v>0</v>
      </c>
      <c r="Z136" s="11" t="b">
        <v>0</v>
      </c>
      <c r="AA136" s="11"/>
      <c r="AB136" s="11" t="s">
        <v>218</v>
      </c>
      <c r="AC136" s="11" t="s">
        <v>312</v>
      </c>
      <c r="AD136" s="11" t="s">
        <v>312</v>
      </c>
      <c r="AE136" s="20">
        <v>5</v>
      </c>
      <c r="AF136" s="20">
        <v>29.99</v>
      </c>
      <c r="AG136" s="20">
        <v>29.98</v>
      </c>
      <c r="AH136" s="20">
        <v>30</v>
      </c>
      <c r="AI136" s="20">
        <v>30</v>
      </c>
      <c r="AJ136" s="11"/>
      <c r="AK136" s="11"/>
      <c r="AL136" s="11"/>
      <c r="AM136" s="11"/>
      <c r="AN136" s="11"/>
      <c r="AO136" s="11"/>
      <c r="AP136" s="11"/>
      <c r="AQ136" s="11"/>
      <c r="AR136" s="11"/>
      <c r="AS136" s="11"/>
      <c r="AT136" s="11"/>
      <c r="AU136" s="20">
        <v>5</v>
      </c>
      <c r="AV136" s="11"/>
      <c r="AW136" s="11"/>
      <c r="AX136" s="11"/>
      <c r="AY136" s="11"/>
      <c r="AZ136" s="11"/>
      <c r="BA136" s="11"/>
      <c r="BB136" s="11"/>
      <c r="BC136" s="11"/>
      <c r="BD136" s="11"/>
      <c r="BE136" s="11"/>
      <c r="BF136" s="11"/>
      <c r="BG136" s="20">
        <v>29.99</v>
      </c>
      <c r="BH136" s="11"/>
      <c r="BI136" s="11"/>
      <c r="BJ136" s="11"/>
      <c r="BK136" s="11"/>
      <c r="BL136" s="11"/>
      <c r="BM136" s="11"/>
      <c r="BN136" s="11"/>
      <c r="BO136" s="11"/>
      <c r="BP136" s="11"/>
      <c r="BQ136" s="11"/>
      <c r="BR136" s="11"/>
      <c r="BS136" s="20">
        <v>29.98</v>
      </c>
      <c r="BT136" s="11"/>
      <c r="BU136" s="11"/>
      <c r="BV136" s="11"/>
      <c r="BW136" s="11"/>
      <c r="BX136" s="11"/>
      <c r="BY136" s="11"/>
      <c r="BZ136" s="11"/>
      <c r="CA136" s="11"/>
      <c r="CB136" s="11"/>
      <c r="CC136" s="11"/>
      <c r="CD136" s="11"/>
      <c r="CE136" s="20">
        <v>30</v>
      </c>
      <c r="CF136" s="11"/>
      <c r="CG136" s="11"/>
      <c r="CH136" s="11"/>
      <c r="CI136" s="11"/>
      <c r="CJ136" s="11"/>
      <c r="CK136" s="11"/>
      <c r="CL136" s="11"/>
      <c r="CM136" s="11"/>
      <c r="CN136" s="11"/>
      <c r="CO136" s="11"/>
      <c r="CP136" s="11"/>
      <c r="CQ136" s="20">
        <v>30</v>
      </c>
      <c r="CR136" s="11"/>
      <c r="CS136" s="11"/>
      <c r="CT136" s="11"/>
      <c r="CU136" s="11"/>
      <c r="CV136" s="11"/>
      <c r="CW136" s="11"/>
      <c r="CX136" s="11"/>
      <c r="CY136" s="11"/>
      <c r="CZ136" s="11"/>
      <c r="DA136" s="11"/>
      <c r="DB136" s="11"/>
      <c r="DC136" s="11"/>
      <c r="DD136" s="11"/>
    </row>
    <row r="137" spans="1:108" ht="24" x14ac:dyDescent="0.25">
      <c r="A137" s="6" t="s">
        <v>681</v>
      </c>
      <c r="B137" s="7" t="s">
        <v>680</v>
      </c>
      <c r="C137" s="8" t="s">
        <v>309</v>
      </c>
      <c r="D137" s="8" t="s">
        <v>204</v>
      </c>
      <c r="E137" s="8" t="s">
        <v>300</v>
      </c>
      <c r="F137" s="8" t="s">
        <v>301</v>
      </c>
      <c r="G137" s="8" t="s">
        <v>302</v>
      </c>
      <c r="H137" s="8" t="s">
        <v>303</v>
      </c>
      <c r="I137" s="8" t="s">
        <v>300</v>
      </c>
      <c r="J137" s="21">
        <v>90</v>
      </c>
      <c r="K137" s="21">
        <v>70</v>
      </c>
      <c r="L137" s="8"/>
      <c r="M137" s="8"/>
      <c r="N137" s="8"/>
      <c r="O137" s="8"/>
      <c r="P137" s="8"/>
      <c r="Q137" s="7" t="s">
        <v>310</v>
      </c>
      <c r="R137" s="8" t="s">
        <v>807</v>
      </c>
      <c r="S137" s="8"/>
      <c r="T137" s="8"/>
      <c r="U137" s="8"/>
      <c r="V137" s="8" t="s">
        <v>305</v>
      </c>
      <c r="W137" s="8" t="s">
        <v>306</v>
      </c>
      <c r="X137" s="21">
        <v>0</v>
      </c>
      <c r="Y137" s="8" t="b">
        <v>0</v>
      </c>
      <c r="Z137" s="8" t="b">
        <v>0</v>
      </c>
      <c r="AA137" s="8"/>
      <c r="AB137" s="8" t="s">
        <v>218</v>
      </c>
      <c r="AC137" s="8" t="s">
        <v>312</v>
      </c>
      <c r="AD137" s="8" t="s">
        <v>312</v>
      </c>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c r="CJ137" s="8"/>
      <c r="CK137" s="8"/>
      <c r="CL137" s="8"/>
      <c r="CM137" s="8"/>
      <c r="CN137" s="8"/>
      <c r="CO137" s="8"/>
      <c r="CP137" s="8"/>
      <c r="CQ137" s="8"/>
      <c r="CR137" s="8"/>
      <c r="CS137" s="8"/>
      <c r="CT137" s="8"/>
      <c r="CU137" s="8"/>
      <c r="CV137" s="8"/>
      <c r="CW137" s="8"/>
      <c r="CX137" s="8"/>
      <c r="CY137" s="8"/>
      <c r="CZ137" s="8"/>
      <c r="DA137" s="8"/>
      <c r="DB137" s="8"/>
      <c r="DC137" s="8"/>
      <c r="DD137" s="8"/>
    </row>
    <row r="138" spans="1:108" ht="24" x14ac:dyDescent="0.25">
      <c r="A138" s="6" t="s">
        <v>681</v>
      </c>
      <c r="B138" s="10" t="s">
        <v>680</v>
      </c>
      <c r="C138" s="11" t="s">
        <v>206</v>
      </c>
      <c r="D138" s="11" t="s">
        <v>299</v>
      </c>
      <c r="E138" s="11" t="s">
        <v>300</v>
      </c>
      <c r="F138" s="11" t="s">
        <v>301</v>
      </c>
      <c r="G138" s="11" t="s">
        <v>313</v>
      </c>
      <c r="H138" s="11" t="s">
        <v>303</v>
      </c>
      <c r="I138" s="11" t="s">
        <v>314</v>
      </c>
      <c r="J138" s="20">
        <v>90</v>
      </c>
      <c r="K138" s="20">
        <v>70</v>
      </c>
      <c r="L138" s="11"/>
      <c r="M138" s="11"/>
      <c r="N138" s="11"/>
      <c r="O138" s="11"/>
      <c r="P138" s="11"/>
      <c r="Q138" s="10"/>
      <c r="R138" s="11" t="s">
        <v>808</v>
      </c>
      <c r="S138" s="11"/>
      <c r="T138" s="11"/>
      <c r="U138" s="11"/>
      <c r="V138" s="11" t="s">
        <v>305</v>
      </c>
      <c r="W138" s="11" t="s">
        <v>306</v>
      </c>
      <c r="X138" s="20">
        <v>0</v>
      </c>
      <c r="Y138" s="11" t="b">
        <v>0</v>
      </c>
      <c r="Z138" s="11" t="b">
        <v>0</v>
      </c>
      <c r="AA138" s="11"/>
      <c r="AB138" s="11" t="s">
        <v>218</v>
      </c>
      <c r="AC138" s="11" t="s">
        <v>316</v>
      </c>
      <c r="AD138" s="11" t="s">
        <v>316</v>
      </c>
      <c r="AE138" s="20">
        <v>70</v>
      </c>
      <c r="AF138" s="20">
        <v>75.2</v>
      </c>
      <c r="AG138" s="20">
        <v>77.5</v>
      </c>
      <c r="AH138" s="20">
        <v>77.5</v>
      </c>
      <c r="AI138" s="20">
        <v>77.5</v>
      </c>
      <c r="AJ138" s="11"/>
      <c r="AK138" s="11"/>
      <c r="AL138" s="11"/>
      <c r="AM138" s="11"/>
      <c r="AN138" s="11"/>
      <c r="AO138" s="11"/>
      <c r="AP138" s="11"/>
      <c r="AQ138" s="11"/>
      <c r="AR138" s="11"/>
      <c r="AS138" s="11"/>
      <c r="AT138" s="11"/>
      <c r="AU138" s="20">
        <v>70</v>
      </c>
      <c r="AV138" s="11"/>
      <c r="AW138" s="11"/>
      <c r="AX138" s="11"/>
      <c r="AY138" s="11"/>
      <c r="AZ138" s="11"/>
      <c r="BA138" s="11"/>
      <c r="BB138" s="11"/>
      <c r="BC138" s="11"/>
      <c r="BD138" s="11"/>
      <c r="BE138" s="11"/>
      <c r="BF138" s="11"/>
      <c r="BG138" s="20">
        <v>75.2</v>
      </c>
      <c r="BH138" s="11"/>
      <c r="BI138" s="11"/>
      <c r="BJ138" s="11"/>
      <c r="BK138" s="11"/>
      <c r="BL138" s="11"/>
      <c r="BM138" s="11"/>
      <c r="BN138" s="11"/>
      <c r="BO138" s="11"/>
      <c r="BP138" s="11"/>
      <c r="BQ138" s="11"/>
      <c r="BR138" s="11"/>
      <c r="BS138" s="20">
        <v>77.5</v>
      </c>
      <c r="BT138" s="11"/>
      <c r="BU138" s="11"/>
      <c r="BV138" s="11"/>
      <c r="BW138" s="11"/>
      <c r="BX138" s="11"/>
      <c r="BY138" s="11"/>
      <c r="BZ138" s="11"/>
      <c r="CA138" s="11"/>
      <c r="CB138" s="11"/>
      <c r="CC138" s="11"/>
      <c r="CD138" s="11"/>
      <c r="CE138" s="20">
        <v>77.5</v>
      </c>
      <c r="CF138" s="11"/>
      <c r="CG138" s="11"/>
      <c r="CH138" s="11"/>
      <c r="CI138" s="11"/>
      <c r="CJ138" s="11"/>
      <c r="CK138" s="11"/>
      <c r="CL138" s="11"/>
      <c r="CM138" s="11"/>
      <c r="CN138" s="11"/>
      <c r="CO138" s="11"/>
      <c r="CP138" s="11"/>
      <c r="CQ138" s="20">
        <v>77.5</v>
      </c>
      <c r="CR138" s="11"/>
      <c r="CS138" s="11"/>
      <c r="CT138" s="11"/>
      <c r="CU138" s="11"/>
      <c r="CV138" s="11"/>
      <c r="CW138" s="11"/>
      <c r="CX138" s="11"/>
      <c r="CY138" s="11"/>
      <c r="CZ138" s="11"/>
      <c r="DA138" s="11"/>
      <c r="DB138" s="11"/>
      <c r="DC138" s="11"/>
      <c r="DD138" s="11"/>
    </row>
    <row r="139" spans="1:108" ht="24" x14ac:dyDescent="0.25">
      <c r="A139" s="6" t="s">
        <v>681</v>
      </c>
      <c r="B139" s="7" t="s">
        <v>680</v>
      </c>
      <c r="C139" s="8" t="s">
        <v>206</v>
      </c>
      <c r="D139" s="8" t="s">
        <v>308</v>
      </c>
      <c r="E139" s="8" t="s">
        <v>300</v>
      </c>
      <c r="F139" s="8" t="s">
        <v>301</v>
      </c>
      <c r="G139" s="8" t="s">
        <v>313</v>
      </c>
      <c r="H139" s="8" t="s">
        <v>303</v>
      </c>
      <c r="I139" s="8" t="s">
        <v>314</v>
      </c>
      <c r="J139" s="21">
        <v>90</v>
      </c>
      <c r="K139" s="21">
        <v>70</v>
      </c>
      <c r="L139" s="8"/>
      <c r="M139" s="8"/>
      <c r="N139" s="8"/>
      <c r="O139" s="8"/>
      <c r="P139" s="8"/>
      <c r="Q139" s="7"/>
      <c r="R139" s="8" t="s">
        <v>808</v>
      </c>
      <c r="S139" s="8"/>
      <c r="T139" s="8"/>
      <c r="U139" s="8"/>
      <c r="V139" s="8" t="s">
        <v>305</v>
      </c>
      <c r="W139" s="8" t="s">
        <v>306</v>
      </c>
      <c r="X139" s="21">
        <v>0</v>
      </c>
      <c r="Y139" s="8" t="b">
        <v>0</v>
      </c>
      <c r="Z139" s="8" t="b">
        <v>0</v>
      </c>
      <c r="AA139" s="8"/>
      <c r="AB139" s="8" t="s">
        <v>218</v>
      </c>
      <c r="AC139" s="8" t="s">
        <v>316</v>
      </c>
      <c r="AD139" s="8" t="s">
        <v>316</v>
      </c>
      <c r="AE139" s="21">
        <v>70</v>
      </c>
      <c r="AF139" s="21">
        <v>76.400000000000006</v>
      </c>
      <c r="AG139" s="21">
        <v>79</v>
      </c>
      <c r="AH139" s="21">
        <v>79</v>
      </c>
      <c r="AI139" s="21">
        <v>79</v>
      </c>
      <c r="AJ139" s="8"/>
      <c r="AK139" s="8"/>
      <c r="AL139" s="8"/>
      <c r="AM139" s="8"/>
      <c r="AN139" s="8"/>
      <c r="AO139" s="8"/>
      <c r="AP139" s="8"/>
      <c r="AQ139" s="8"/>
      <c r="AR139" s="8"/>
      <c r="AS139" s="8"/>
      <c r="AT139" s="8"/>
      <c r="AU139" s="21">
        <v>70</v>
      </c>
      <c r="AV139" s="8"/>
      <c r="AW139" s="8"/>
      <c r="AX139" s="8"/>
      <c r="AY139" s="8"/>
      <c r="AZ139" s="8"/>
      <c r="BA139" s="8"/>
      <c r="BB139" s="8"/>
      <c r="BC139" s="8"/>
      <c r="BD139" s="8"/>
      <c r="BE139" s="8"/>
      <c r="BF139" s="8"/>
      <c r="BG139" s="21">
        <v>76.400000000000006</v>
      </c>
      <c r="BH139" s="8"/>
      <c r="BI139" s="8"/>
      <c r="BJ139" s="8"/>
      <c r="BK139" s="8"/>
      <c r="BL139" s="8"/>
      <c r="BM139" s="8"/>
      <c r="BN139" s="8"/>
      <c r="BO139" s="8"/>
      <c r="BP139" s="8"/>
      <c r="BQ139" s="8"/>
      <c r="BR139" s="8"/>
      <c r="BS139" s="21">
        <v>79</v>
      </c>
      <c r="BT139" s="8"/>
      <c r="BU139" s="8"/>
      <c r="BV139" s="8"/>
      <c r="BW139" s="8"/>
      <c r="BX139" s="8"/>
      <c r="BY139" s="8"/>
      <c r="BZ139" s="8"/>
      <c r="CA139" s="8"/>
      <c r="CB139" s="8"/>
      <c r="CC139" s="8"/>
      <c r="CD139" s="8"/>
      <c r="CE139" s="21">
        <v>79</v>
      </c>
      <c r="CF139" s="8"/>
      <c r="CG139" s="8"/>
      <c r="CH139" s="8"/>
      <c r="CI139" s="8"/>
      <c r="CJ139" s="8"/>
      <c r="CK139" s="8"/>
      <c r="CL139" s="8"/>
      <c r="CM139" s="8"/>
      <c r="CN139" s="8"/>
      <c r="CO139" s="8"/>
      <c r="CP139" s="8"/>
      <c r="CQ139" s="21">
        <v>79</v>
      </c>
      <c r="CR139" s="8"/>
      <c r="CS139" s="8"/>
      <c r="CT139" s="8"/>
      <c r="CU139" s="8"/>
      <c r="CV139" s="8"/>
      <c r="CW139" s="8"/>
      <c r="CX139" s="8"/>
      <c r="CY139" s="8"/>
      <c r="CZ139" s="8"/>
      <c r="DA139" s="8"/>
      <c r="DB139" s="8"/>
      <c r="DC139" s="8"/>
      <c r="DD139" s="8"/>
    </row>
    <row r="140" spans="1:108" ht="24" x14ac:dyDescent="0.25">
      <c r="A140" s="6" t="s">
        <v>681</v>
      </c>
      <c r="B140" s="10" t="s">
        <v>680</v>
      </c>
      <c r="C140" s="11" t="s">
        <v>206</v>
      </c>
      <c r="D140" s="11" t="s">
        <v>204</v>
      </c>
      <c r="E140" s="11" t="s">
        <v>300</v>
      </c>
      <c r="F140" s="11" t="s">
        <v>301</v>
      </c>
      <c r="G140" s="11" t="s">
        <v>313</v>
      </c>
      <c r="H140" s="11" t="s">
        <v>303</v>
      </c>
      <c r="I140" s="11" t="s">
        <v>314</v>
      </c>
      <c r="J140" s="20">
        <v>90</v>
      </c>
      <c r="K140" s="20">
        <v>70</v>
      </c>
      <c r="L140" s="11"/>
      <c r="M140" s="11"/>
      <c r="N140" s="11"/>
      <c r="O140" s="11"/>
      <c r="P140" s="11"/>
      <c r="Q140" s="10"/>
      <c r="R140" s="11" t="s">
        <v>808</v>
      </c>
      <c r="S140" s="11"/>
      <c r="T140" s="11"/>
      <c r="U140" s="11"/>
      <c r="V140" s="11" t="s">
        <v>305</v>
      </c>
      <c r="W140" s="11" t="s">
        <v>306</v>
      </c>
      <c r="X140" s="20">
        <v>0</v>
      </c>
      <c r="Y140" s="11" t="b">
        <v>0</v>
      </c>
      <c r="Z140" s="11" t="b">
        <v>0</v>
      </c>
      <c r="AA140" s="11"/>
      <c r="AB140" s="11" t="s">
        <v>218</v>
      </c>
      <c r="AC140" s="11" t="s">
        <v>316</v>
      </c>
      <c r="AD140" s="11" t="s">
        <v>316</v>
      </c>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11"/>
      <c r="BH140" s="11"/>
      <c r="BI140" s="11"/>
      <c r="BJ140" s="11"/>
      <c r="BK140" s="11"/>
      <c r="BL140" s="11"/>
      <c r="BM140" s="11"/>
      <c r="BN140" s="11"/>
      <c r="BO140" s="11"/>
      <c r="BP140" s="11"/>
      <c r="BQ140" s="11"/>
      <c r="BR140" s="11"/>
      <c r="BS140" s="11"/>
      <c r="BT140" s="11"/>
      <c r="BU140" s="11"/>
      <c r="BV140" s="11"/>
      <c r="BW140" s="11"/>
      <c r="BX140" s="11"/>
      <c r="BY140" s="11"/>
      <c r="BZ140" s="11"/>
      <c r="CA140" s="11"/>
      <c r="CB140" s="11"/>
      <c r="CC140" s="11"/>
      <c r="CD140" s="11"/>
      <c r="CE140" s="11"/>
      <c r="CF140" s="11"/>
      <c r="CG140" s="11"/>
      <c r="CH140" s="11"/>
      <c r="CI140" s="11"/>
      <c r="CJ140" s="11"/>
      <c r="CK140" s="11"/>
      <c r="CL140" s="11"/>
      <c r="CM140" s="11"/>
      <c r="CN140" s="11"/>
      <c r="CO140" s="11"/>
      <c r="CP140" s="11"/>
      <c r="CQ140" s="11"/>
      <c r="CR140" s="11"/>
      <c r="CS140" s="11"/>
      <c r="CT140" s="11"/>
      <c r="CU140" s="11"/>
      <c r="CV140" s="11"/>
      <c r="CW140" s="11"/>
      <c r="CX140" s="11"/>
      <c r="CY140" s="11"/>
      <c r="CZ140" s="11"/>
      <c r="DA140" s="11"/>
      <c r="DB140" s="11"/>
      <c r="DC140" s="11"/>
      <c r="DD140" s="11"/>
    </row>
    <row r="141" spans="1:108" ht="24" x14ac:dyDescent="0.25">
      <c r="A141" s="6" t="s">
        <v>681</v>
      </c>
      <c r="B141" s="7" t="s">
        <v>680</v>
      </c>
      <c r="C141" s="8" t="s">
        <v>317</v>
      </c>
      <c r="D141" s="8" t="s">
        <v>299</v>
      </c>
      <c r="E141" s="8" t="s">
        <v>300</v>
      </c>
      <c r="F141" s="8" t="s">
        <v>318</v>
      </c>
      <c r="G141" s="8" t="s">
        <v>313</v>
      </c>
      <c r="H141" s="8" t="s">
        <v>303</v>
      </c>
      <c r="I141" s="8" t="s">
        <v>196</v>
      </c>
      <c r="J141" s="21">
        <v>90</v>
      </c>
      <c r="K141" s="21">
        <v>70</v>
      </c>
      <c r="L141" s="8"/>
      <c r="M141" s="8"/>
      <c r="N141" s="8"/>
      <c r="O141" s="8"/>
      <c r="P141" s="8"/>
      <c r="Q141" s="7"/>
      <c r="R141" s="8" t="s">
        <v>809</v>
      </c>
      <c r="S141" s="8"/>
      <c r="T141" s="8"/>
      <c r="U141" s="8"/>
      <c r="V141" s="8" t="s">
        <v>305</v>
      </c>
      <c r="W141" s="8" t="s">
        <v>306</v>
      </c>
      <c r="X141" s="21">
        <v>0</v>
      </c>
      <c r="Y141" s="8" t="b">
        <v>0</v>
      </c>
      <c r="Z141" s="8" t="b">
        <v>0</v>
      </c>
      <c r="AA141" s="8"/>
      <c r="AB141" s="8" t="s">
        <v>218</v>
      </c>
      <c r="AC141" s="8" t="s">
        <v>320</v>
      </c>
      <c r="AD141" s="8" t="s">
        <v>320</v>
      </c>
      <c r="AE141" s="21">
        <v>359.2</v>
      </c>
      <c r="AF141" s="21">
        <v>434.2</v>
      </c>
      <c r="AG141" s="21">
        <v>479</v>
      </c>
      <c r="AH141" s="21">
        <v>479</v>
      </c>
      <c r="AI141" s="21">
        <v>479</v>
      </c>
      <c r="AJ141" s="21">
        <v>29.94</v>
      </c>
      <c r="AK141" s="21">
        <v>29.94</v>
      </c>
      <c r="AL141" s="21">
        <v>29.94</v>
      </c>
      <c r="AM141" s="21">
        <v>29.94</v>
      </c>
      <c r="AN141" s="21">
        <v>29.94</v>
      </c>
      <c r="AO141" s="21">
        <v>29.94</v>
      </c>
      <c r="AP141" s="21">
        <v>29.94</v>
      </c>
      <c r="AQ141" s="21">
        <v>29.94</v>
      </c>
      <c r="AR141" s="21">
        <v>29.94</v>
      </c>
      <c r="AS141" s="21">
        <v>29.94</v>
      </c>
      <c r="AT141" s="21">
        <v>29.94</v>
      </c>
      <c r="AU141" s="21">
        <v>29.94</v>
      </c>
      <c r="AV141" s="21">
        <v>36.18</v>
      </c>
      <c r="AW141" s="21">
        <v>36.18</v>
      </c>
      <c r="AX141" s="21">
        <v>36.18</v>
      </c>
      <c r="AY141" s="21">
        <v>36.18</v>
      </c>
      <c r="AZ141" s="21">
        <v>36.18</v>
      </c>
      <c r="BA141" s="21">
        <v>36.18</v>
      </c>
      <c r="BB141" s="21">
        <v>36.18</v>
      </c>
      <c r="BC141" s="21">
        <v>36.18</v>
      </c>
      <c r="BD141" s="21">
        <v>36.18</v>
      </c>
      <c r="BE141" s="21">
        <v>36.18</v>
      </c>
      <c r="BF141" s="21">
        <v>36.18</v>
      </c>
      <c r="BG141" s="21">
        <v>36.18</v>
      </c>
      <c r="BH141" s="21">
        <v>39.92</v>
      </c>
      <c r="BI141" s="21">
        <v>39.92</v>
      </c>
      <c r="BJ141" s="21">
        <v>39.92</v>
      </c>
      <c r="BK141" s="21">
        <v>39.92</v>
      </c>
      <c r="BL141" s="21">
        <v>39.92</v>
      </c>
      <c r="BM141" s="21">
        <v>39.92</v>
      </c>
      <c r="BN141" s="21">
        <v>39.92</v>
      </c>
      <c r="BO141" s="21">
        <v>39.92</v>
      </c>
      <c r="BP141" s="21">
        <v>39.92</v>
      </c>
      <c r="BQ141" s="21">
        <v>39.92</v>
      </c>
      <c r="BR141" s="21">
        <v>39.92</v>
      </c>
      <c r="BS141" s="21">
        <v>39.92</v>
      </c>
      <c r="BT141" s="21">
        <v>39.92</v>
      </c>
      <c r="BU141" s="21">
        <v>39.92</v>
      </c>
      <c r="BV141" s="21">
        <v>39.92</v>
      </c>
      <c r="BW141" s="21">
        <v>39.92</v>
      </c>
      <c r="BX141" s="21">
        <v>39.92</v>
      </c>
      <c r="BY141" s="21">
        <v>39.92</v>
      </c>
      <c r="BZ141" s="21">
        <v>39.92</v>
      </c>
      <c r="CA141" s="21">
        <v>39.92</v>
      </c>
      <c r="CB141" s="21">
        <v>39.92</v>
      </c>
      <c r="CC141" s="21">
        <v>39.92</v>
      </c>
      <c r="CD141" s="21">
        <v>39.92</v>
      </c>
      <c r="CE141" s="21">
        <v>39.92</v>
      </c>
      <c r="CF141" s="21">
        <v>39.92</v>
      </c>
      <c r="CG141" s="21">
        <v>39.92</v>
      </c>
      <c r="CH141" s="21">
        <v>39.92</v>
      </c>
      <c r="CI141" s="21">
        <v>39.92</v>
      </c>
      <c r="CJ141" s="21">
        <v>39.92</v>
      </c>
      <c r="CK141" s="21">
        <v>39.92</v>
      </c>
      <c r="CL141" s="21">
        <v>39.92</v>
      </c>
      <c r="CM141" s="21">
        <v>39.92</v>
      </c>
      <c r="CN141" s="21">
        <v>39.92</v>
      </c>
      <c r="CO141" s="21">
        <v>39.92</v>
      </c>
      <c r="CP141" s="21">
        <v>39.92</v>
      </c>
      <c r="CQ141" s="21">
        <v>39.92</v>
      </c>
      <c r="CR141" s="8"/>
      <c r="CS141" s="8"/>
      <c r="CT141" s="8"/>
      <c r="CU141" s="8"/>
      <c r="CV141" s="8"/>
      <c r="CW141" s="8"/>
      <c r="CX141" s="8"/>
      <c r="CY141" s="8"/>
      <c r="CZ141" s="8"/>
      <c r="DA141" s="8"/>
      <c r="DB141" s="8"/>
      <c r="DC141" s="8"/>
      <c r="DD141" s="8"/>
    </row>
    <row r="142" spans="1:108" ht="24" x14ac:dyDescent="0.25">
      <c r="A142" s="6" t="s">
        <v>681</v>
      </c>
      <c r="B142" s="10" t="s">
        <v>680</v>
      </c>
      <c r="C142" s="11" t="s">
        <v>317</v>
      </c>
      <c r="D142" s="11" t="s">
        <v>308</v>
      </c>
      <c r="E142" s="11" t="s">
        <v>300</v>
      </c>
      <c r="F142" s="11" t="s">
        <v>318</v>
      </c>
      <c r="G142" s="11" t="s">
        <v>313</v>
      </c>
      <c r="H142" s="11" t="s">
        <v>303</v>
      </c>
      <c r="I142" s="11" t="s">
        <v>196</v>
      </c>
      <c r="J142" s="20">
        <v>90</v>
      </c>
      <c r="K142" s="20">
        <v>70</v>
      </c>
      <c r="L142" s="11"/>
      <c r="M142" s="11"/>
      <c r="N142" s="11"/>
      <c r="O142" s="11"/>
      <c r="P142" s="11"/>
      <c r="Q142" s="10"/>
      <c r="R142" s="11" t="s">
        <v>809</v>
      </c>
      <c r="S142" s="11"/>
      <c r="T142" s="11"/>
      <c r="U142" s="11"/>
      <c r="V142" s="11" t="s">
        <v>305</v>
      </c>
      <c r="W142" s="11" t="s">
        <v>306</v>
      </c>
      <c r="X142" s="20">
        <v>0</v>
      </c>
      <c r="Y142" s="11" t="b">
        <v>0</v>
      </c>
      <c r="Z142" s="11" t="b">
        <v>0</v>
      </c>
      <c r="AA142" s="11"/>
      <c r="AB142" s="11" t="s">
        <v>218</v>
      </c>
      <c r="AC142" s="11" t="s">
        <v>320</v>
      </c>
      <c r="AD142" s="11" t="s">
        <v>320</v>
      </c>
      <c r="AE142" s="20">
        <v>359.2</v>
      </c>
      <c r="AF142" s="20">
        <v>455.6</v>
      </c>
      <c r="AG142" s="20">
        <v>513.20000000000005</v>
      </c>
      <c r="AH142" s="20">
        <v>513.20000000000005</v>
      </c>
      <c r="AI142" s="20">
        <v>513.20000000000005</v>
      </c>
      <c r="AJ142" s="20">
        <v>29.94</v>
      </c>
      <c r="AK142" s="20">
        <v>29.94</v>
      </c>
      <c r="AL142" s="20">
        <v>29.94</v>
      </c>
      <c r="AM142" s="20">
        <v>29.94</v>
      </c>
      <c r="AN142" s="20">
        <v>29.94</v>
      </c>
      <c r="AO142" s="20">
        <v>29.94</v>
      </c>
      <c r="AP142" s="20">
        <v>29.94</v>
      </c>
      <c r="AQ142" s="20">
        <v>29.94</v>
      </c>
      <c r="AR142" s="20">
        <v>29.94</v>
      </c>
      <c r="AS142" s="20">
        <v>29.94</v>
      </c>
      <c r="AT142" s="20">
        <v>29.94</v>
      </c>
      <c r="AU142" s="20">
        <v>29.94</v>
      </c>
      <c r="AV142" s="20">
        <v>37.96</v>
      </c>
      <c r="AW142" s="20">
        <v>37.96</v>
      </c>
      <c r="AX142" s="20">
        <v>37.96</v>
      </c>
      <c r="AY142" s="20">
        <v>37.96</v>
      </c>
      <c r="AZ142" s="20">
        <v>37.96</v>
      </c>
      <c r="BA142" s="20">
        <v>37.96</v>
      </c>
      <c r="BB142" s="20">
        <v>37.96</v>
      </c>
      <c r="BC142" s="20">
        <v>37.96</v>
      </c>
      <c r="BD142" s="20">
        <v>37.96</v>
      </c>
      <c r="BE142" s="20">
        <v>37.96</v>
      </c>
      <c r="BF142" s="20">
        <v>37.96</v>
      </c>
      <c r="BG142" s="20">
        <v>37.96</v>
      </c>
      <c r="BH142" s="20">
        <v>42.76</v>
      </c>
      <c r="BI142" s="20">
        <v>42.76</v>
      </c>
      <c r="BJ142" s="20">
        <v>42.76</v>
      </c>
      <c r="BK142" s="20">
        <v>42.76</v>
      </c>
      <c r="BL142" s="20">
        <v>42.76</v>
      </c>
      <c r="BM142" s="20">
        <v>42.76</v>
      </c>
      <c r="BN142" s="20">
        <v>42.76</v>
      </c>
      <c r="BO142" s="20">
        <v>42.76</v>
      </c>
      <c r="BP142" s="20">
        <v>42.76</v>
      </c>
      <c r="BQ142" s="20">
        <v>42.76</v>
      </c>
      <c r="BR142" s="20">
        <v>42.76</v>
      </c>
      <c r="BS142" s="20">
        <v>42.76</v>
      </c>
      <c r="BT142" s="20">
        <v>42.76</v>
      </c>
      <c r="BU142" s="20">
        <v>42.76</v>
      </c>
      <c r="BV142" s="20">
        <v>42.76</v>
      </c>
      <c r="BW142" s="20">
        <v>42.76</v>
      </c>
      <c r="BX142" s="20">
        <v>42.76</v>
      </c>
      <c r="BY142" s="20">
        <v>42.76</v>
      </c>
      <c r="BZ142" s="20">
        <v>42.76</v>
      </c>
      <c r="CA142" s="20">
        <v>42.76</v>
      </c>
      <c r="CB142" s="20">
        <v>42.76</v>
      </c>
      <c r="CC142" s="20">
        <v>42.76</v>
      </c>
      <c r="CD142" s="20">
        <v>42.76</v>
      </c>
      <c r="CE142" s="20">
        <v>42.76</v>
      </c>
      <c r="CF142" s="20">
        <v>42.76</v>
      </c>
      <c r="CG142" s="20">
        <v>42.76</v>
      </c>
      <c r="CH142" s="20">
        <v>42.76</v>
      </c>
      <c r="CI142" s="20">
        <v>42.76</v>
      </c>
      <c r="CJ142" s="20">
        <v>42.76</v>
      </c>
      <c r="CK142" s="20">
        <v>42.76</v>
      </c>
      <c r="CL142" s="20">
        <v>42.76</v>
      </c>
      <c r="CM142" s="20">
        <v>42.76</v>
      </c>
      <c r="CN142" s="20">
        <v>42.76</v>
      </c>
      <c r="CO142" s="20">
        <v>42.76</v>
      </c>
      <c r="CP142" s="20">
        <v>42.76</v>
      </c>
      <c r="CQ142" s="20">
        <v>42.76</v>
      </c>
      <c r="CR142" s="11"/>
      <c r="CS142" s="11"/>
      <c r="CT142" s="11"/>
      <c r="CU142" s="11"/>
      <c r="CV142" s="11"/>
      <c r="CW142" s="11"/>
      <c r="CX142" s="11"/>
      <c r="CY142" s="11"/>
      <c r="CZ142" s="11"/>
      <c r="DA142" s="11"/>
      <c r="DB142" s="11"/>
      <c r="DC142" s="11"/>
      <c r="DD142" s="11"/>
    </row>
    <row r="143" spans="1:108" ht="24" x14ac:dyDescent="0.25">
      <c r="A143" s="6" t="s">
        <v>681</v>
      </c>
      <c r="B143" s="7" t="s">
        <v>680</v>
      </c>
      <c r="C143" s="8" t="s">
        <v>317</v>
      </c>
      <c r="D143" s="8" t="s">
        <v>204</v>
      </c>
      <c r="E143" s="8" t="s">
        <v>300</v>
      </c>
      <c r="F143" s="8" t="s">
        <v>318</v>
      </c>
      <c r="G143" s="8" t="s">
        <v>313</v>
      </c>
      <c r="H143" s="8" t="s">
        <v>303</v>
      </c>
      <c r="I143" s="8" t="s">
        <v>196</v>
      </c>
      <c r="J143" s="21">
        <v>90</v>
      </c>
      <c r="K143" s="21">
        <v>70</v>
      </c>
      <c r="L143" s="8"/>
      <c r="M143" s="8"/>
      <c r="N143" s="8"/>
      <c r="O143" s="8"/>
      <c r="P143" s="8"/>
      <c r="Q143" s="7"/>
      <c r="R143" s="8" t="s">
        <v>809</v>
      </c>
      <c r="S143" s="8"/>
      <c r="T143" s="8"/>
      <c r="U143" s="8"/>
      <c r="V143" s="8" t="s">
        <v>305</v>
      </c>
      <c r="W143" s="8" t="s">
        <v>306</v>
      </c>
      <c r="X143" s="21">
        <v>0</v>
      </c>
      <c r="Y143" s="8" t="b">
        <v>0</v>
      </c>
      <c r="Z143" s="8" t="b">
        <v>0</v>
      </c>
      <c r="AA143" s="8"/>
      <c r="AB143" s="8" t="s">
        <v>218</v>
      </c>
      <c r="AC143" s="8" t="s">
        <v>320</v>
      </c>
      <c r="AD143" s="8" t="s">
        <v>320</v>
      </c>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c r="BU143" s="8"/>
      <c r="BV143" s="8"/>
      <c r="BW143" s="8"/>
      <c r="BX143" s="8"/>
      <c r="BY143" s="8"/>
      <c r="BZ143" s="8"/>
      <c r="CA143" s="8"/>
      <c r="CB143" s="8"/>
      <c r="CC143" s="8"/>
      <c r="CD143" s="8"/>
      <c r="CE143" s="8"/>
      <c r="CF143" s="8"/>
      <c r="CG143" s="8"/>
      <c r="CH143" s="8"/>
      <c r="CI143" s="8"/>
      <c r="CJ143" s="8"/>
      <c r="CK143" s="8"/>
      <c r="CL143" s="8"/>
      <c r="CM143" s="8"/>
      <c r="CN143" s="8"/>
      <c r="CO143" s="8"/>
      <c r="CP143" s="8"/>
      <c r="CQ143" s="8"/>
      <c r="CR143" s="8"/>
      <c r="CS143" s="8"/>
      <c r="CT143" s="8"/>
      <c r="CU143" s="8"/>
      <c r="CV143" s="8"/>
      <c r="CW143" s="8"/>
      <c r="CX143" s="8"/>
      <c r="CY143" s="8"/>
      <c r="CZ143" s="8"/>
      <c r="DA143" s="8"/>
      <c r="DB143" s="8"/>
      <c r="DC143" s="8"/>
      <c r="DD143" s="8"/>
    </row>
    <row r="144" spans="1:108" ht="24" x14ac:dyDescent="0.25">
      <c r="A144" s="6" t="s">
        <v>686</v>
      </c>
      <c r="B144" s="7" t="s">
        <v>685</v>
      </c>
      <c r="C144" s="8" t="s">
        <v>327</v>
      </c>
      <c r="D144" s="8" t="s">
        <v>299</v>
      </c>
      <c r="E144" s="8" t="s">
        <v>300</v>
      </c>
      <c r="F144" s="8" t="s">
        <v>318</v>
      </c>
      <c r="G144" s="8" t="s">
        <v>313</v>
      </c>
      <c r="H144" s="8" t="s">
        <v>303</v>
      </c>
      <c r="I144" s="8" t="s">
        <v>196</v>
      </c>
      <c r="J144" s="21">
        <v>90</v>
      </c>
      <c r="K144" s="21">
        <v>70</v>
      </c>
      <c r="L144" s="8"/>
      <c r="M144" s="8"/>
      <c r="N144" s="8"/>
      <c r="O144" s="8"/>
      <c r="P144" s="8"/>
      <c r="Q144" s="7"/>
      <c r="R144" s="8" t="s">
        <v>810</v>
      </c>
      <c r="S144" s="8"/>
      <c r="T144" s="8"/>
      <c r="U144" s="8"/>
      <c r="V144" s="8" t="s">
        <v>305</v>
      </c>
      <c r="W144" s="8" t="s">
        <v>306</v>
      </c>
      <c r="X144" s="21">
        <v>0</v>
      </c>
      <c r="Y144" s="8" t="b">
        <v>0</v>
      </c>
      <c r="Z144" s="8" t="b">
        <v>0</v>
      </c>
      <c r="AA144" s="8"/>
      <c r="AB144" s="8" t="s">
        <v>218</v>
      </c>
      <c r="AC144" s="8" t="s">
        <v>329</v>
      </c>
      <c r="AD144" s="8" t="s">
        <v>329</v>
      </c>
      <c r="AE144" s="21">
        <v>193.6</v>
      </c>
      <c r="AF144" s="21">
        <v>175.4</v>
      </c>
      <c r="AG144" s="21">
        <v>164.4</v>
      </c>
      <c r="AH144" s="21">
        <v>164.4</v>
      </c>
      <c r="AI144" s="21">
        <v>164.4</v>
      </c>
      <c r="AJ144" s="8"/>
      <c r="AK144" s="8"/>
      <c r="AL144" s="8"/>
      <c r="AM144" s="8"/>
      <c r="AN144" s="8"/>
      <c r="AO144" s="8"/>
      <c r="AP144" s="8"/>
      <c r="AQ144" s="8"/>
      <c r="AR144" s="8"/>
      <c r="AS144" s="8"/>
      <c r="AT144" s="8"/>
      <c r="AU144" s="21">
        <v>193.6</v>
      </c>
      <c r="AV144" s="8"/>
      <c r="AW144" s="8"/>
      <c r="AX144" s="8"/>
      <c r="AY144" s="8"/>
      <c r="AZ144" s="8"/>
      <c r="BA144" s="8"/>
      <c r="BB144" s="8"/>
      <c r="BC144" s="8"/>
      <c r="BD144" s="8"/>
      <c r="BE144" s="8"/>
      <c r="BF144" s="8"/>
      <c r="BG144" s="21">
        <v>175.4</v>
      </c>
      <c r="BH144" s="8"/>
      <c r="BI144" s="8"/>
      <c r="BJ144" s="8"/>
      <c r="BK144" s="8"/>
      <c r="BL144" s="8"/>
      <c r="BM144" s="8"/>
      <c r="BN144" s="8"/>
      <c r="BO144" s="8"/>
      <c r="BP144" s="8"/>
      <c r="BQ144" s="8"/>
      <c r="BR144" s="8"/>
      <c r="BS144" s="21">
        <v>164.4</v>
      </c>
      <c r="BT144" s="8"/>
      <c r="BU144" s="8"/>
      <c r="BV144" s="8"/>
      <c r="BW144" s="8"/>
      <c r="BX144" s="8"/>
      <c r="BY144" s="8"/>
      <c r="BZ144" s="8"/>
      <c r="CA144" s="8"/>
      <c r="CB144" s="8"/>
      <c r="CC144" s="8"/>
      <c r="CD144" s="8"/>
      <c r="CE144" s="21">
        <v>164.4</v>
      </c>
      <c r="CF144" s="8"/>
      <c r="CG144" s="8"/>
      <c r="CH144" s="8"/>
      <c r="CI144" s="8"/>
      <c r="CJ144" s="8"/>
      <c r="CK144" s="8"/>
      <c r="CL144" s="8"/>
      <c r="CM144" s="8"/>
      <c r="CN144" s="8"/>
      <c r="CO144" s="8"/>
      <c r="CP144" s="8"/>
      <c r="CQ144" s="21">
        <v>164.4</v>
      </c>
      <c r="CR144" s="8"/>
      <c r="CS144" s="8"/>
      <c r="CT144" s="8"/>
      <c r="CU144" s="8"/>
      <c r="CV144" s="8"/>
      <c r="CW144" s="8"/>
      <c r="CX144" s="8"/>
      <c r="CY144" s="8"/>
      <c r="CZ144" s="8"/>
      <c r="DA144" s="8"/>
      <c r="DB144" s="8"/>
      <c r="DC144" s="8"/>
      <c r="DD144" s="8"/>
    </row>
    <row r="145" spans="1:108" ht="24" x14ac:dyDescent="0.25">
      <c r="A145" s="6" t="s">
        <v>686</v>
      </c>
      <c r="B145" s="10" t="s">
        <v>685</v>
      </c>
      <c r="C145" s="11" t="s">
        <v>327</v>
      </c>
      <c r="D145" s="11" t="s">
        <v>308</v>
      </c>
      <c r="E145" s="11" t="s">
        <v>300</v>
      </c>
      <c r="F145" s="11" t="s">
        <v>318</v>
      </c>
      <c r="G145" s="11" t="s">
        <v>313</v>
      </c>
      <c r="H145" s="11" t="s">
        <v>303</v>
      </c>
      <c r="I145" s="11" t="s">
        <v>196</v>
      </c>
      <c r="J145" s="20">
        <v>90</v>
      </c>
      <c r="K145" s="20">
        <v>70</v>
      </c>
      <c r="L145" s="11"/>
      <c r="M145" s="11"/>
      <c r="N145" s="11"/>
      <c r="O145" s="11"/>
      <c r="P145" s="11"/>
      <c r="Q145" s="10"/>
      <c r="R145" s="11" t="s">
        <v>810</v>
      </c>
      <c r="S145" s="11"/>
      <c r="T145" s="11"/>
      <c r="U145" s="11"/>
      <c r="V145" s="11" t="s">
        <v>305</v>
      </c>
      <c r="W145" s="11" t="s">
        <v>306</v>
      </c>
      <c r="X145" s="20">
        <v>0</v>
      </c>
      <c r="Y145" s="11" t="b">
        <v>0</v>
      </c>
      <c r="Z145" s="11" t="b">
        <v>0</v>
      </c>
      <c r="AA145" s="11"/>
      <c r="AB145" s="11" t="s">
        <v>218</v>
      </c>
      <c r="AC145" s="11" t="s">
        <v>329</v>
      </c>
      <c r="AD145" s="11" t="s">
        <v>329</v>
      </c>
      <c r="AE145" s="20">
        <v>193.6</v>
      </c>
      <c r="AF145" s="20">
        <v>169.4</v>
      </c>
      <c r="AG145" s="20">
        <v>154.80000000000001</v>
      </c>
      <c r="AH145" s="20">
        <v>154.80000000000001</v>
      </c>
      <c r="AI145" s="20">
        <v>154.80000000000001</v>
      </c>
      <c r="AJ145" s="11"/>
      <c r="AK145" s="11"/>
      <c r="AL145" s="11"/>
      <c r="AM145" s="11"/>
      <c r="AN145" s="11"/>
      <c r="AO145" s="11"/>
      <c r="AP145" s="11"/>
      <c r="AQ145" s="11"/>
      <c r="AR145" s="11"/>
      <c r="AS145" s="11"/>
      <c r="AT145" s="11"/>
      <c r="AU145" s="20">
        <v>193.6</v>
      </c>
      <c r="AV145" s="11"/>
      <c r="AW145" s="11"/>
      <c r="AX145" s="11"/>
      <c r="AY145" s="11"/>
      <c r="AZ145" s="11"/>
      <c r="BA145" s="11"/>
      <c r="BB145" s="11"/>
      <c r="BC145" s="11"/>
      <c r="BD145" s="11"/>
      <c r="BE145" s="11"/>
      <c r="BF145" s="11"/>
      <c r="BG145" s="20">
        <v>169.4</v>
      </c>
      <c r="BH145" s="11"/>
      <c r="BI145" s="11"/>
      <c r="BJ145" s="11"/>
      <c r="BK145" s="11"/>
      <c r="BL145" s="11"/>
      <c r="BM145" s="11"/>
      <c r="BN145" s="11"/>
      <c r="BO145" s="11"/>
      <c r="BP145" s="11"/>
      <c r="BQ145" s="11"/>
      <c r="BR145" s="11"/>
      <c r="BS145" s="20">
        <v>154.80000000000001</v>
      </c>
      <c r="BT145" s="11"/>
      <c r="BU145" s="11"/>
      <c r="BV145" s="11"/>
      <c r="BW145" s="11"/>
      <c r="BX145" s="11"/>
      <c r="BY145" s="11"/>
      <c r="BZ145" s="11"/>
      <c r="CA145" s="11"/>
      <c r="CB145" s="11"/>
      <c r="CC145" s="11"/>
      <c r="CD145" s="11"/>
      <c r="CE145" s="20">
        <v>154.80000000000001</v>
      </c>
      <c r="CF145" s="11"/>
      <c r="CG145" s="11"/>
      <c r="CH145" s="11"/>
      <c r="CI145" s="11"/>
      <c r="CJ145" s="11"/>
      <c r="CK145" s="11"/>
      <c r="CL145" s="11"/>
      <c r="CM145" s="11"/>
      <c r="CN145" s="11"/>
      <c r="CO145" s="11"/>
      <c r="CP145" s="11"/>
      <c r="CQ145" s="20">
        <v>154.80000000000001</v>
      </c>
      <c r="CR145" s="11"/>
      <c r="CS145" s="11"/>
      <c r="CT145" s="11"/>
      <c r="CU145" s="11"/>
      <c r="CV145" s="11"/>
      <c r="CW145" s="11"/>
      <c r="CX145" s="11"/>
      <c r="CY145" s="11"/>
      <c r="CZ145" s="11"/>
      <c r="DA145" s="11"/>
      <c r="DB145" s="11"/>
      <c r="DC145" s="11"/>
      <c r="DD145" s="11"/>
    </row>
    <row r="146" spans="1:108" ht="24" x14ac:dyDescent="0.25">
      <c r="A146" s="6" t="s">
        <v>686</v>
      </c>
      <c r="B146" s="7" t="s">
        <v>685</v>
      </c>
      <c r="C146" s="8" t="s">
        <v>327</v>
      </c>
      <c r="D146" s="8" t="s">
        <v>204</v>
      </c>
      <c r="E146" s="8" t="s">
        <v>300</v>
      </c>
      <c r="F146" s="8" t="s">
        <v>318</v>
      </c>
      <c r="G146" s="8" t="s">
        <v>313</v>
      </c>
      <c r="H146" s="8" t="s">
        <v>303</v>
      </c>
      <c r="I146" s="8" t="s">
        <v>196</v>
      </c>
      <c r="J146" s="21">
        <v>90</v>
      </c>
      <c r="K146" s="21">
        <v>70</v>
      </c>
      <c r="L146" s="8"/>
      <c r="M146" s="8"/>
      <c r="N146" s="8"/>
      <c r="O146" s="8"/>
      <c r="P146" s="8"/>
      <c r="Q146" s="7"/>
      <c r="R146" s="8" t="s">
        <v>810</v>
      </c>
      <c r="S146" s="8"/>
      <c r="T146" s="8"/>
      <c r="U146" s="8"/>
      <c r="V146" s="8" t="s">
        <v>305</v>
      </c>
      <c r="W146" s="8" t="s">
        <v>306</v>
      </c>
      <c r="X146" s="21">
        <v>0</v>
      </c>
      <c r="Y146" s="8" t="b">
        <v>0</v>
      </c>
      <c r="Z146" s="8" t="b">
        <v>0</v>
      </c>
      <c r="AA146" s="8"/>
      <c r="AB146" s="8" t="s">
        <v>218</v>
      </c>
      <c r="AC146" s="8" t="s">
        <v>329</v>
      </c>
      <c r="AD146" s="8" t="s">
        <v>329</v>
      </c>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c r="BU146" s="8"/>
      <c r="BV146" s="8"/>
      <c r="BW146" s="8"/>
      <c r="BX146" s="8"/>
      <c r="BY146" s="8"/>
      <c r="BZ146" s="8"/>
      <c r="CA146" s="8"/>
      <c r="CB146" s="8"/>
      <c r="CC146" s="8"/>
      <c r="CD146" s="8"/>
      <c r="CE146" s="8"/>
      <c r="CF146" s="8"/>
      <c r="CG146" s="8"/>
      <c r="CH146" s="8"/>
      <c r="CI146" s="8"/>
      <c r="CJ146" s="8"/>
      <c r="CK146" s="8"/>
      <c r="CL146" s="8"/>
      <c r="CM146" s="8"/>
      <c r="CN146" s="8"/>
      <c r="CO146" s="8"/>
      <c r="CP146" s="8"/>
      <c r="CQ146" s="8"/>
      <c r="CR146" s="8"/>
      <c r="CS146" s="8"/>
      <c r="CT146" s="8"/>
      <c r="CU146" s="8"/>
      <c r="CV146" s="8"/>
      <c r="CW146" s="8"/>
      <c r="CX146" s="8"/>
      <c r="CY146" s="8"/>
      <c r="CZ146" s="8"/>
      <c r="DA146" s="8"/>
      <c r="DB146" s="8"/>
      <c r="DC146" s="8"/>
      <c r="DD146" s="8"/>
    </row>
    <row r="147" spans="1:108" ht="24" x14ac:dyDescent="0.25">
      <c r="A147" s="6" t="s">
        <v>686</v>
      </c>
      <c r="B147" s="10" t="s">
        <v>685</v>
      </c>
      <c r="C147" s="11" t="s">
        <v>206</v>
      </c>
      <c r="D147" s="11" t="s">
        <v>299</v>
      </c>
      <c r="E147" s="11" t="s">
        <v>300</v>
      </c>
      <c r="F147" s="11" t="s">
        <v>301</v>
      </c>
      <c r="G147" s="11" t="s">
        <v>313</v>
      </c>
      <c r="H147" s="11" t="s">
        <v>303</v>
      </c>
      <c r="I147" s="11" t="s">
        <v>314</v>
      </c>
      <c r="J147" s="20">
        <v>90</v>
      </c>
      <c r="K147" s="20">
        <v>70</v>
      </c>
      <c r="L147" s="11"/>
      <c r="M147" s="11"/>
      <c r="N147" s="11"/>
      <c r="O147" s="11"/>
      <c r="P147" s="11"/>
      <c r="Q147" s="10"/>
      <c r="R147" s="11" t="s">
        <v>811</v>
      </c>
      <c r="S147" s="11"/>
      <c r="T147" s="11"/>
      <c r="U147" s="11"/>
      <c r="V147" s="11" t="s">
        <v>305</v>
      </c>
      <c r="W147" s="11" t="s">
        <v>306</v>
      </c>
      <c r="X147" s="20">
        <v>0</v>
      </c>
      <c r="Y147" s="11" t="b">
        <v>0</v>
      </c>
      <c r="Z147" s="11" t="b">
        <v>0</v>
      </c>
      <c r="AA147" s="11"/>
      <c r="AB147" s="11" t="s">
        <v>218</v>
      </c>
      <c r="AC147" s="11" t="s">
        <v>331</v>
      </c>
      <c r="AD147" s="11" t="s">
        <v>331</v>
      </c>
      <c r="AE147" s="20">
        <v>32.700000000000003</v>
      </c>
      <c r="AF147" s="20">
        <v>39</v>
      </c>
      <c r="AG147" s="20">
        <v>42.8</v>
      </c>
      <c r="AH147" s="20">
        <v>42.8</v>
      </c>
      <c r="AI147" s="20">
        <v>42.8</v>
      </c>
      <c r="AJ147" s="11"/>
      <c r="AK147" s="11"/>
      <c r="AL147" s="11"/>
      <c r="AM147" s="11"/>
      <c r="AN147" s="11"/>
      <c r="AO147" s="11"/>
      <c r="AP147" s="11"/>
      <c r="AQ147" s="11"/>
      <c r="AR147" s="11"/>
      <c r="AS147" s="11"/>
      <c r="AT147" s="11"/>
      <c r="AU147" s="20">
        <v>32.700000000000003</v>
      </c>
      <c r="AV147" s="11"/>
      <c r="AW147" s="11"/>
      <c r="AX147" s="11"/>
      <c r="AY147" s="11"/>
      <c r="AZ147" s="11"/>
      <c r="BA147" s="11"/>
      <c r="BB147" s="11"/>
      <c r="BC147" s="11"/>
      <c r="BD147" s="11"/>
      <c r="BE147" s="11"/>
      <c r="BF147" s="11"/>
      <c r="BG147" s="20">
        <v>39</v>
      </c>
      <c r="BH147" s="11"/>
      <c r="BI147" s="11"/>
      <c r="BJ147" s="11"/>
      <c r="BK147" s="11"/>
      <c r="BL147" s="11"/>
      <c r="BM147" s="11"/>
      <c r="BN147" s="11"/>
      <c r="BO147" s="11"/>
      <c r="BP147" s="11"/>
      <c r="BQ147" s="11"/>
      <c r="BR147" s="11"/>
      <c r="BS147" s="20">
        <v>42.8</v>
      </c>
      <c r="BT147" s="11"/>
      <c r="BU147" s="11"/>
      <c r="BV147" s="11"/>
      <c r="BW147" s="11"/>
      <c r="BX147" s="11"/>
      <c r="BY147" s="11"/>
      <c r="BZ147" s="11"/>
      <c r="CA147" s="11"/>
      <c r="CB147" s="11"/>
      <c r="CC147" s="11"/>
      <c r="CD147" s="11"/>
      <c r="CE147" s="20">
        <v>42.8</v>
      </c>
      <c r="CF147" s="11"/>
      <c r="CG147" s="11"/>
      <c r="CH147" s="11"/>
      <c r="CI147" s="11"/>
      <c r="CJ147" s="11"/>
      <c r="CK147" s="11"/>
      <c r="CL147" s="11"/>
      <c r="CM147" s="11"/>
      <c r="CN147" s="11"/>
      <c r="CO147" s="11"/>
      <c r="CP147" s="11"/>
      <c r="CQ147" s="20">
        <v>42.8</v>
      </c>
      <c r="CR147" s="11"/>
      <c r="CS147" s="11"/>
      <c r="CT147" s="11"/>
      <c r="CU147" s="11"/>
      <c r="CV147" s="11"/>
      <c r="CW147" s="11"/>
      <c r="CX147" s="11"/>
      <c r="CY147" s="11"/>
      <c r="CZ147" s="11"/>
      <c r="DA147" s="11"/>
      <c r="DB147" s="11"/>
      <c r="DC147" s="11"/>
      <c r="DD147" s="11"/>
    </row>
    <row r="148" spans="1:108" ht="24" x14ac:dyDescent="0.25">
      <c r="A148" s="6" t="s">
        <v>686</v>
      </c>
      <c r="B148" s="7" t="s">
        <v>685</v>
      </c>
      <c r="C148" s="8" t="s">
        <v>206</v>
      </c>
      <c r="D148" s="8" t="s">
        <v>308</v>
      </c>
      <c r="E148" s="8" t="s">
        <v>300</v>
      </c>
      <c r="F148" s="8" t="s">
        <v>301</v>
      </c>
      <c r="G148" s="8" t="s">
        <v>313</v>
      </c>
      <c r="H148" s="8" t="s">
        <v>303</v>
      </c>
      <c r="I148" s="8" t="s">
        <v>314</v>
      </c>
      <c r="J148" s="21">
        <v>90</v>
      </c>
      <c r="K148" s="21">
        <v>70</v>
      </c>
      <c r="L148" s="8"/>
      <c r="M148" s="8"/>
      <c r="N148" s="8"/>
      <c r="O148" s="8"/>
      <c r="P148" s="8"/>
      <c r="Q148" s="7"/>
      <c r="R148" s="8" t="s">
        <v>811</v>
      </c>
      <c r="S148" s="8"/>
      <c r="T148" s="8"/>
      <c r="U148" s="8"/>
      <c r="V148" s="8" t="s">
        <v>305</v>
      </c>
      <c r="W148" s="8" t="s">
        <v>306</v>
      </c>
      <c r="X148" s="21">
        <v>0</v>
      </c>
      <c r="Y148" s="8" t="b">
        <v>0</v>
      </c>
      <c r="Z148" s="8" t="b">
        <v>0</v>
      </c>
      <c r="AA148" s="8"/>
      <c r="AB148" s="8" t="s">
        <v>218</v>
      </c>
      <c r="AC148" s="8" t="s">
        <v>331</v>
      </c>
      <c r="AD148" s="8" t="s">
        <v>331</v>
      </c>
      <c r="AE148" s="21">
        <v>32.700000000000003</v>
      </c>
      <c r="AF148" s="21">
        <v>41.1</v>
      </c>
      <c r="AG148" s="21">
        <v>46.2</v>
      </c>
      <c r="AH148" s="21">
        <v>46.2</v>
      </c>
      <c r="AI148" s="21">
        <v>46.2</v>
      </c>
      <c r="AJ148" s="8"/>
      <c r="AK148" s="8"/>
      <c r="AL148" s="8"/>
      <c r="AM148" s="8"/>
      <c r="AN148" s="8"/>
      <c r="AO148" s="8"/>
      <c r="AP148" s="8"/>
      <c r="AQ148" s="8"/>
      <c r="AR148" s="8"/>
      <c r="AS148" s="8"/>
      <c r="AT148" s="8"/>
      <c r="AU148" s="21">
        <v>32.700000000000003</v>
      </c>
      <c r="AV148" s="8"/>
      <c r="AW148" s="8"/>
      <c r="AX148" s="8"/>
      <c r="AY148" s="8"/>
      <c r="AZ148" s="8"/>
      <c r="BA148" s="8"/>
      <c r="BB148" s="8"/>
      <c r="BC148" s="8"/>
      <c r="BD148" s="8"/>
      <c r="BE148" s="8"/>
      <c r="BF148" s="8"/>
      <c r="BG148" s="21">
        <v>41.1</v>
      </c>
      <c r="BH148" s="8"/>
      <c r="BI148" s="8"/>
      <c r="BJ148" s="8"/>
      <c r="BK148" s="8"/>
      <c r="BL148" s="8"/>
      <c r="BM148" s="8"/>
      <c r="BN148" s="8"/>
      <c r="BO148" s="8"/>
      <c r="BP148" s="8"/>
      <c r="BQ148" s="8"/>
      <c r="BR148" s="8"/>
      <c r="BS148" s="21">
        <v>46.2</v>
      </c>
      <c r="BT148" s="8"/>
      <c r="BU148" s="8"/>
      <c r="BV148" s="8"/>
      <c r="BW148" s="8"/>
      <c r="BX148" s="8"/>
      <c r="BY148" s="8"/>
      <c r="BZ148" s="8"/>
      <c r="CA148" s="8"/>
      <c r="CB148" s="8"/>
      <c r="CC148" s="8"/>
      <c r="CD148" s="8"/>
      <c r="CE148" s="21">
        <v>46.2</v>
      </c>
      <c r="CF148" s="8"/>
      <c r="CG148" s="8"/>
      <c r="CH148" s="8"/>
      <c r="CI148" s="8"/>
      <c r="CJ148" s="8"/>
      <c r="CK148" s="8"/>
      <c r="CL148" s="8"/>
      <c r="CM148" s="8"/>
      <c r="CN148" s="8"/>
      <c r="CO148" s="8"/>
      <c r="CP148" s="8"/>
      <c r="CQ148" s="21">
        <v>46.2</v>
      </c>
      <c r="CR148" s="8"/>
      <c r="CS148" s="8"/>
      <c r="CT148" s="8"/>
      <c r="CU148" s="8"/>
      <c r="CV148" s="8"/>
      <c r="CW148" s="8"/>
      <c r="CX148" s="8"/>
      <c r="CY148" s="8"/>
      <c r="CZ148" s="8"/>
      <c r="DA148" s="8"/>
      <c r="DB148" s="8"/>
      <c r="DC148" s="8"/>
      <c r="DD148" s="8"/>
    </row>
    <row r="149" spans="1:108" ht="24" x14ac:dyDescent="0.25">
      <c r="A149" s="6" t="s">
        <v>686</v>
      </c>
      <c r="B149" s="10" t="s">
        <v>685</v>
      </c>
      <c r="C149" s="11" t="s">
        <v>206</v>
      </c>
      <c r="D149" s="11" t="s">
        <v>204</v>
      </c>
      <c r="E149" s="11" t="s">
        <v>300</v>
      </c>
      <c r="F149" s="11" t="s">
        <v>301</v>
      </c>
      <c r="G149" s="11" t="s">
        <v>313</v>
      </c>
      <c r="H149" s="11" t="s">
        <v>303</v>
      </c>
      <c r="I149" s="11" t="s">
        <v>314</v>
      </c>
      <c r="J149" s="20">
        <v>90</v>
      </c>
      <c r="K149" s="20">
        <v>70</v>
      </c>
      <c r="L149" s="11"/>
      <c r="M149" s="11"/>
      <c r="N149" s="11"/>
      <c r="O149" s="11"/>
      <c r="P149" s="11"/>
      <c r="Q149" s="10"/>
      <c r="R149" s="11" t="s">
        <v>811</v>
      </c>
      <c r="S149" s="11"/>
      <c r="T149" s="11"/>
      <c r="U149" s="11"/>
      <c r="V149" s="11" t="s">
        <v>305</v>
      </c>
      <c r="W149" s="11" t="s">
        <v>306</v>
      </c>
      <c r="X149" s="20">
        <v>0</v>
      </c>
      <c r="Y149" s="11" t="b">
        <v>0</v>
      </c>
      <c r="Z149" s="11" t="b">
        <v>0</v>
      </c>
      <c r="AA149" s="11"/>
      <c r="AB149" s="11" t="s">
        <v>218</v>
      </c>
      <c r="AC149" s="11" t="s">
        <v>331</v>
      </c>
      <c r="AD149" s="11" t="s">
        <v>331</v>
      </c>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11"/>
      <c r="BK149" s="11"/>
      <c r="BL149" s="11"/>
      <c r="BM149" s="11"/>
      <c r="BN149" s="11"/>
      <c r="BO149" s="11"/>
      <c r="BP149" s="11"/>
      <c r="BQ149" s="11"/>
      <c r="BR149" s="11"/>
      <c r="BS149" s="11"/>
      <c r="BT149" s="11"/>
      <c r="BU149" s="11"/>
      <c r="BV149" s="11"/>
      <c r="BW149" s="11"/>
      <c r="BX149" s="11"/>
      <c r="BY149" s="11"/>
      <c r="BZ149" s="11"/>
      <c r="CA149" s="11"/>
      <c r="CB149" s="11"/>
      <c r="CC149" s="11"/>
      <c r="CD149" s="11"/>
      <c r="CE149" s="11"/>
      <c r="CF149" s="11"/>
      <c r="CG149" s="11"/>
      <c r="CH149" s="11"/>
      <c r="CI149" s="11"/>
      <c r="CJ149" s="11"/>
      <c r="CK149" s="11"/>
      <c r="CL149" s="11"/>
      <c r="CM149" s="11"/>
      <c r="CN149" s="11"/>
      <c r="CO149" s="11"/>
      <c r="CP149" s="11"/>
      <c r="CQ149" s="11"/>
      <c r="CR149" s="11"/>
      <c r="CS149" s="11"/>
      <c r="CT149" s="11"/>
      <c r="CU149" s="11"/>
      <c r="CV149" s="11"/>
      <c r="CW149" s="11"/>
      <c r="CX149" s="11"/>
      <c r="CY149" s="11"/>
      <c r="CZ149" s="11"/>
      <c r="DA149" s="11"/>
      <c r="DB149" s="11"/>
      <c r="DC149" s="11"/>
      <c r="DD149" s="11"/>
    </row>
    <row r="150" spans="1:108" ht="24" x14ac:dyDescent="0.25">
      <c r="A150" s="6" t="s">
        <v>686</v>
      </c>
      <c r="B150" s="7" t="s">
        <v>685</v>
      </c>
      <c r="C150" s="8" t="s">
        <v>332</v>
      </c>
      <c r="D150" s="8" t="s">
        <v>299</v>
      </c>
      <c r="E150" s="8" t="s">
        <v>300</v>
      </c>
      <c r="F150" s="8" t="s">
        <v>301</v>
      </c>
      <c r="G150" s="8" t="s">
        <v>313</v>
      </c>
      <c r="H150" s="8" t="s">
        <v>333</v>
      </c>
      <c r="I150" s="8"/>
      <c r="J150" s="21">
        <v>90</v>
      </c>
      <c r="K150" s="21">
        <v>70</v>
      </c>
      <c r="L150" s="8"/>
      <c r="M150" s="8"/>
      <c r="N150" s="8"/>
      <c r="O150" s="8"/>
      <c r="P150" s="8"/>
      <c r="Q150" s="7"/>
      <c r="R150" s="8" t="s">
        <v>812</v>
      </c>
      <c r="S150" s="8"/>
      <c r="T150" s="8"/>
      <c r="U150" s="8"/>
      <c r="V150" s="8" t="s">
        <v>305</v>
      </c>
      <c r="W150" s="8" t="s">
        <v>306</v>
      </c>
      <c r="X150" s="21">
        <v>0</v>
      </c>
      <c r="Y150" s="8" t="b">
        <v>0</v>
      </c>
      <c r="Z150" s="8" t="b">
        <v>0</v>
      </c>
      <c r="AA150" s="8"/>
      <c r="AB150" s="8" t="s">
        <v>218</v>
      </c>
      <c r="AC150" s="8" t="s">
        <v>335</v>
      </c>
      <c r="AD150" s="8" t="s">
        <v>335</v>
      </c>
      <c r="AE150" s="8"/>
      <c r="AF150" s="21">
        <v>20</v>
      </c>
      <c r="AG150" s="21">
        <v>20</v>
      </c>
      <c r="AH150" s="21">
        <v>20</v>
      </c>
      <c r="AI150" s="21">
        <v>20</v>
      </c>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21">
        <v>20</v>
      </c>
      <c r="BH150" s="8"/>
      <c r="BI150" s="8"/>
      <c r="BJ150" s="8"/>
      <c r="BK150" s="8"/>
      <c r="BL150" s="8"/>
      <c r="BM150" s="8"/>
      <c r="BN150" s="8"/>
      <c r="BO150" s="8"/>
      <c r="BP150" s="8"/>
      <c r="BQ150" s="8"/>
      <c r="BR150" s="8"/>
      <c r="BS150" s="21">
        <v>20</v>
      </c>
      <c r="BT150" s="8"/>
      <c r="BU150" s="8"/>
      <c r="BV150" s="8"/>
      <c r="BW150" s="8"/>
      <c r="BX150" s="8"/>
      <c r="BY150" s="8"/>
      <c r="BZ150" s="8"/>
      <c r="CA150" s="8"/>
      <c r="CB150" s="8"/>
      <c r="CC150" s="8"/>
      <c r="CD150" s="8"/>
      <c r="CE150" s="21">
        <v>20</v>
      </c>
      <c r="CF150" s="8"/>
      <c r="CG150" s="8"/>
      <c r="CH150" s="8"/>
      <c r="CI150" s="8"/>
      <c r="CJ150" s="8"/>
      <c r="CK150" s="8"/>
      <c r="CL150" s="8"/>
      <c r="CM150" s="8"/>
      <c r="CN150" s="8"/>
      <c r="CO150" s="8"/>
      <c r="CP150" s="8"/>
      <c r="CQ150" s="21">
        <v>20</v>
      </c>
      <c r="CR150" s="8"/>
      <c r="CS150" s="8"/>
      <c r="CT150" s="8"/>
      <c r="CU150" s="8"/>
      <c r="CV150" s="8"/>
      <c r="CW150" s="8"/>
      <c r="CX150" s="8"/>
      <c r="CY150" s="8"/>
      <c r="CZ150" s="8"/>
      <c r="DA150" s="8"/>
      <c r="DB150" s="8"/>
      <c r="DC150" s="8"/>
      <c r="DD150" s="8"/>
    </row>
    <row r="151" spans="1:108" ht="24" x14ac:dyDescent="0.25">
      <c r="A151" s="6" t="s">
        <v>686</v>
      </c>
      <c r="B151" s="10" t="s">
        <v>685</v>
      </c>
      <c r="C151" s="11" t="s">
        <v>332</v>
      </c>
      <c r="D151" s="11" t="s">
        <v>308</v>
      </c>
      <c r="E151" s="11" t="s">
        <v>300</v>
      </c>
      <c r="F151" s="11" t="s">
        <v>301</v>
      </c>
      <c r="G151" s="11" t="s">
        <v>313</v>
      </c>
      <c r="H151" s="11" t="s">
        <v>333</v>
      </c>
      <c r="I151" s="11"/>
      <c r="J151" s="20">
        <v>90</v>
      </c>
      <c r="K151" s="20">
        <v>70</v>
      </c>
      <c r="L151" s="11"/>
      <c r="M151" s="11"/>
      <c r="N151" s="11"/>
      <c r="O151" s="11"/>
      <c r="P151" s="11"/>
      <c r="Q151" s="10"/>
      <c r="R151" s="11" t="s">
        <v>812</v>
      </c>
      <c r="S151" s="11"/>
      <c r="T151" s="11"/>
      <c r="U151" s="11"/>
      <c r="V151" s="11" t="s">
        <v>305</v>
      </c>
      <c r="W151" s="11" t="s">
        <v>306</v>
      </c>
      <c r="X151" s="20">
        <v>0</v>
      </c>
      <c r="Y151" s="11" t="b">
        <v>0</v>
      </c>
      <c r="Z151" s="11" t="b">
        <v>0</v>
      </c>
      <c r="AA151" s="11"/>
      <c r="AB151" s="11" t="s">
        <v>218</v>
      </c>
      <c r="AC151" s="11" t="s">
        <v>335</v>
      </c>
      <c r="AD151" s="11" t="s">
        <v>335</v>
      </c>
      <c r="AE151" s="11"/>
      <c r="AF151" s="20">
        <v>20</v>
      </c>
      <c r="AG151" s="20">
        <v>20</v>
      </c>
      <c r="AH151" s="20">
        <v>20</v>
      </c>
      <c r="AI151" s="20">
        <v>20</v>
      </c>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11"/>
      <c r="BF151" s="11"/>
      <c r="BG151" s="20">
        <v>20</v>
      </c>
      <c r="BH151" s="11"/>
      <c r="BI151" s="11"/>
      <c r="BJ151" s="11"/>
      <c r="BK151" s="11"/>
      <c r="BL151" s="11"/>
      <c r="BM151" s="11"/>
      <c r="BN151" s="11"/>
      <c r="BO151" s="11"/>
      <c r="BP151" s="11"/>
      <c r="BQ151" s="11"/>
      <c r="BR151" s="11"/>
      <c r="BS151" s="20">
        <v>20</v>
      </c>
      <c r="BT151" s="11"/>
      <c r="BU151" s="11"/>
      <c r="BV151" s="11"/>
      <c r="BW151" s="11"/>
      <c r="BX151" s="11"/>
      <c r="BY151" s="11"/>
      <c r="BZ151" s="11"/>
      <c r="CA151" s="11"/>
      <c r="CB151" s="11"/>
      <c r="CC151" s="11"/>
      <c r="CD151" s="11"/>
      <c r="CE151" s="20">
        <v>20</v>
      </c>
      <c r="CF151" s="11"/>
      <c r="CG151" s="11"/>
      <c r="CH151" s="11"/>
      <c r="CI151" s="11"/>
      <c r="CJ151" s="11"/>
      <c r="CK151" s="11"/>
      <c r="CL151" s="11"/>
      <c r="CM151" s="11"/>
      <c r="CN151" s="11"/>
      <c r="CO151" s="11"/>
      <c r="CP151" s="11"/>
      <c r="CQ151" s="20">
        <v>20</v>
      </c>
      <c r="CR151" s="11"/>
      <c r="CS151" s="11"/>
      <c r="CT151" s="11"/>
      <c r="CU151" s="11"/>
      <c r="CV151" s="11"/>
      <c r="CW151" s="11"/>
      <c r="CX151" s="11"/>
      <c r="CY151" s="11"/>
      <c r="CZ151" s="11"/>
      <c r="DA151" s="11"/>
      <c r="DB151" s="11"/>
      <c r="DC151" s="11"/>
      <c r="DD151" s="11"/>
    </row>
    <row r="152" spans="1:108" ht="24" x14ac:dyDescent="0.25">
      <c r="A152" s="6" t="s">
        <v>686</v>
      </c>
      <c r="B152" s="7" t="s">
        <v>685</v>
      </c>
      <c r="C152" s="8" t="s">
        <v>332</v>
      </c>
      <c r="D152" s="8" t="s">
        <v>204</v>
      </c>
      <c r="E152" s="8" t="s">
        <v>300</v>
      </c>
      <c r="F152" s="8" t="s">
        <v>301</v>
      </c>
      <c r="G152" s="8" t="s">
        <v>313</v>
      </c>
      <c r="H152" s="8" t="s">
        <v>333</v>
      </c>
      <c r="I152" s="8"/>
      <c r="J152" s="21">
        <v>90</v>
      </c>
      <c r="K152" s="21">
        <v>70</v>
      </c>
      <c r="L152" s="8"/>
      <c r="M152" s="8"/>
      <c r="N152" s="8"/>
      <c r="O152" s="8"/>
      <c r="P152" s="8"/>
      <c r="Q152" s="7"/>
      <c r="R152" s="8" t="s">
        <v>812</v>
      </c>
      <c r="S152" s="8"/>
      <c r="T152" s="8"/>
      <c r="U152" s="8"/>
      <c r="V152" s="8" t="s">
        <v>305</v>
      </c>
      <c r="W152" s="8" t="s">
        <v>306</v>
      </c>
      <c r="X152" s="21">
        <v>0</v>
      </c>
      <c r="Y152" s="8" t="b">
        <v>0</v>
      </c>
      <c r="Z152" s="8" t="b">
        <v>0</v>
      </c>
      <c r="AA152" s="8"/>
      <c r="AB152" s="8" t="s">
        <v>218</v>
      </c>
      <c r="AC152" s="8" t="s">
        <v>335</v>
      </c>
      <c r="AD152" s="8" t="s">
        <v>335</v>
      </c>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c r="BU152" s="8"/>
      <c r="BV152" s="8"/>
      <c r="BW152" s="8"/>
      <c r="BX152" s="8"/>
      <c r="BY152" s="8"/>
      <c r="BZ152" s="8"/>
      <c r="CA152" s="8"/>
      <c r="CB152" s="8"/>
      <c r="CC152" s="8"/>
      <c r="CD152" s="8"/>
      <c r="CE152" s="8"/>
      <c r="CF152" s="8"/>
      <c r="CG152" s="8"/>
      <c r="CH152" s="8"/>
      <c r="CI152" s="8"/>
      <c r="CJ152" s="8"/>
      <c r="CK152" s="8"/>
      <c r="CL152" s="8"/>
      <c r="CM152" s="8"/>
      <c r="CN152" s="8"/>
      <c r="CO152" s="8"/>
      <c r="CP152" s="8"/>
      <c r="CQ152" s="8"/>
      <c r="CR152" s="8"/>
      <c r="CS152" s="8"/>
      <c r="CT152" s="8"/>
      <c r="CU152" s="8"/>
      <c r="CV152" s="8"/>
      <c r="CW152" s="8"/>
      <c r="CX152" s="8"/>
      <c r="CY152" s="8"/>
      <c r="CZ152" s="8"/>
      <c r="DA152" s="8"/>
      <c r="DB152" s="8"/>
      <c r="DC152" s="8"/>
      <c r="DD152" s="8"/>
    </row>
    <row r="153" spans="1:108" ht="24" x14ac:dyDescent="0.25">
      <c r="A153" s="6" t="s">
        <v>686</v>
      </c>
      <c r="B153" s="10" t="s">
        <v>685</v>
      </c>
      <c r="C153" s="11" t="s">
        <v>336</v>
      </c>
      <c r="D153" s="11" t="s">
        <v>299</v>
      </c>
      <c r="E153" s="11" t="s">
        <v>300</v>
      </c>
      <c r="F153" s="11" t="s">
        <v>301</v>
      </c>
      <c r="G153" s="11" t="s">
        <v>313</v>
      </c>
      <c r="H153" s="11" t="s">
        <v>303</v>
      </c>
      <c r="I153" s="11" t="s">
        <v>300</v>
      </c>
      <c r="J153" s="20">
        <v>90</v>
      </c>
      <c r="K153" s="20">
        <v>70</v>
      </c>
      <c r="L153" s="11"/>
      <c r="M153" s="11"/>
      <c r="N153" s="11"/>
      <c r="O153" s="11"/>
      <c r="P153" s="11"/>
      <c r="Q153" s="10"/>
      <c r="R153" s="11" t="s">
        <v>813</v>
      </c>
      <c r="S153" s="11"/>
      <c r="T153" s="11"/>
      <c r="U153" s="11"/>
      <c r="V153" s="11" t="s">
        <v>305</v>
      </c>
      <c r="W153" s="11" t="s">
        <v>306</v>
      </c>
      <c r="X153" s="20">
        <v>0</v>
      </c>
      <c r="Y153" s="11" t="b">
        <v>0</v>
      </c>
      <c r="Z153" s="11" t="b">
        <v>0</v>
      </c>
      <c r="AA153" s="11"/>
      <c r="AB153" s="11" t="s">
        <v>218</v>
      </c>
      <c r="AC153" s="11" t="s">
        <v>338</v>
      </c>
      <c r="AD153" s="11" t="s">
        <v>338</v>
      </c>
      <c r="AE153" s="20">
        <v>5</v>
      </c>
      <c r="AF153" s="20">
        <v>25</v>
      </c>
      <c r="AG153" s="20">
        <v>40</v>
      </c>
      <c r="AH153" s="20">
        <v>40</v>
      </c>
      <c r="AI153" s="20">
        <v>40</v>
      </c>
      <c r="AJ153" s="11"/>
      <c r="AK153" s="11"/>
      <c r="AL153" s="11"/>
      <c r="AM153" s="11"/>
      <c r="AN153" s="11"/>
      <c r="AO153" s="11"/>
      <c r="AP153" s="11"/>
      <c r="AQ153" s="11"/>
      <c r="AR153" s="11"/>
      <c r="AS153" s="11"/>
      <c r="AT153" s="11"/>
      <c r="AU153" s="20">
        <v>5</v>
      </c>
      <c r="AV153" s="11"/>
      <c r="AW153" s="11"/>
      <c r="AX153" s="11"/>
      <c r="AY153" s="11"/>
      <c r="AZ153" s="11"/>
      <c r="BA153" s="11"/>
      <c r="BB153" s="11"/>
      <c r="BC153" s="11"/>
      <c r="BD153" s="11"/>
      <c r="BE153" s="11"/>
      <c r="BF153" s="11"/>
      <c r="BG153" s="20">
        <v>25</v>
      </c>
      <c r="BH153" s="11"/>
      <c r="BI153" s="11"/>
      <c r="BJ153" s="11"/>
      <c r="BK153" s="11"/>
      <c r="BL153" s="11"/>
      <c r="BM153" s="11"/>
      <c r="BN153" s="11"/>
      <c r="BO153" s="11"/>
      <c r="BP153" s="11"/>
      <c r="BQ153" s="11"/>
      <c r="BR153" s="11"/>
      <c r="BS153" s="20">
        <v>40</v>
      </c>
      <c r="BT153" s="11"/>
      <c r="BU153" s="11"/>
      <c r="BV153" s="11"/>
      <c r="BW153" s="11"/>
      <c r="BX153" s="11"/>
      <c r="BY153" s="11"/>
      <c r="BZ153" s="11"/>
      <c r="CA153" s="11"/>
      <c r="CB153" s="11"/>
      <c r="CC153" s="11"/>
      <c r="CD153" s="11"/>
      <c r="CE153" s="20">
        <v>40</v>
      </c>
      <c r="CF153" s="11"/>
      <c r="CG153" s="11"/>
      <c r="CH153" s="11"/>
      <c r="CI153" s="11"/>
      <c r="CJ153" s="11"/>
      <c r="CK153" s="11"/>
      <c r="CL153" s="11"/>
      <c r="CM153" s="11"/>
      <c r="CN153" s="11"/>
      <c r="CO153" s="11"/>
      <c r="CP153" s="11"/>
      <c r="CQ153" s="20">
        <v>40</v>
      </c>
      <c r="CR153" s="11"/>
      <c r="CS153" s="11"/>
      <c r="CT153" s="11"/>
      <c r="CU153" s="11"/>
      <c r="CV153" s="11"/>
      <c r="CW153" s="11"/>
      <c r="CX153" s="11"/>
      <c r="CY153" s="11"/>
      <c r="CZ153" s="11"/>
      <c r="DA153" s="11"/>
      <c r="DB153" s="11"/>
      <c r="DC153" s="11"/>
      <c r="DD153" s="11"/>
    </row>
    <row r="154" spans="1:108" ht="24" x14ac:dyDescent="0.25">
      <c r="A154" s="6" t="s">
        <v>686</v>
      </c>
      <c r="B154" s="7" t="s">
        <v>685</v>
      </c>
      <c r="C154" s="8" t="s">
        <v>336</v>
      </c>
      <c r="D154" s="8" t="s">
        <v>308</v>
      </c>
      <c r="E154" s="8" t="s">
        <v>300</v>
      </c>
      <c r="F154" s="8" t="s">
        <v>301</v>
      </c>
      <c r="G154" s="8" t="s">
        <v>313</v>
      </c>
      <c r="H154" s="8" t="s">
        <v>303</v>
      </c>
      <c r="I154" s="8" t="s">
        <v>300</v>
      </c>
      <c r="J154" s="21">
        <v>90</v>
      </c>
      <c r="K154" s="21">
        <v>70</v>
      </c>
      <c r="L154" s="8"/>
      <c r="M154" s="8"/>
      <c r="N154" s="8"/>
      <c r="O154" s="8"/>
      <c r="P154" s="8"/>
      <c r="Q154" s="7"/>
      <c r="R154" s="8" t="s">
        <v>813</v>
      </c>
      <c r="S154" s="8"/>
      <c r="T154" s="8"/>
      <c r="U154" s="8"/>
      <c r="V154" s="8" t="s">
        <v>305</v>
      </c>
      <c r="W154" s="8" t="s">
        <v>306</v>
      </c>
      <c r="X154" s="21">
        <v>0</v>
      </c>
      <c r="Y154" s="8" t="b">
        <v>0</v>
      </c>
      <c r="Z154" s="8" t="b">
        <v>0</v>
      </c>
      <c r="AA154" s="8"/>
      <c r="AB154" s="8" t="s">
        <v>218</v>
      </c>
      <c r="AC154" s="8" t="s">
        <v>338</v>
      </c>
      <c r="AD154" s="8" t="s">
        <v>338</v>
      </c>
      <c r="AE154" s="21">
        <v>15</v>
      </c>
      <c r="AF154" s="21">
        <v>40</v>
      </c>
      <c r="AG154" s="21">
        <v>40</v>
      </c>
      <c r="AH154" s="21">
        <v>40</v>
      </c>
      <c r="AI154" s="21">
        <v>40</v>
      </c>
      <c r="AJ154" s="8"/>
      <c r="AK154" s="8"/>
      <c r="AL154" s="8"/>
      <c r="AM154" s="8"/>
      <c r="AN154" s="8"/>
      <c r="AO154" s="8"/>
      <c r="AP154" s="8"/>
      <c r="AQ154" s="8"/>
      <c r="AR154" s="8"/>
      <c r="AS154" s="8"/>
      <c r="AT154" s="8"/>
      <c r="AU154" s="21">
        <v>15</v>
      </c>
      <c r="AV154" s="8"/>
      <c r="AW154" s="8"/>
      <c r="AX154" s="8"/>
      <c r="AY154" s="8"/>
      <c r="AZ154" s="8"/>
      <c r="BA154" s="8"/>
      <c r="BB154" s="8"/>
      <c r="BC154" s="8"/>
      <c r="BD154" s="8"/>
      <c r="BE154" s="8"/>
      <c r="BF154" s="8"/>
      <c r="BG154" s="21">
        <v>40</v>
      </c>
      <c r="BH154" s="8"/>
      <c r="BI154" s="8"/>
      <c r="BJ154" s="8"/>
      <c r="BK154" s="8"/>
      <c r="BL154" s="8"/>
      <c r="BM154" s="8"/>
      <c r="BN154" s="8"/>
      <c r="BO154" s="8"/>
      <c r="BP154" s="8"/>
      <c r="BQ154" s="8"/>
      <c r="BR154" s="8"/>
      <c r="BS154" s="21">
        <v>40</v>
      </c>
      <c r="BT154" s="8"/>
      <c r="BU154" s="8"/>
      <c r="BV154" s="8"/>
      <c r="BW154" s="8"/>
      <c r="BX154" s="8"/>
      <c r="BY154" s="8"/>
      <c r="BZ154" s="8"/>
      <c r="CA154" s="8"/>
      <c r="CB154" s="8"/>
      <c r="CC154" s="8"/>
      <c r="CD154" s="8"/>
      <c r="CE154" s="21">
        <v>40</v>
      </c>
      <c r="CF154" s="8"/>
      <c r="CG154" s="8"/>
      <c r="CH154" s="8"/>
      <c r="CI154" s="8"/>
      <c r="CJ154" s="8"/>
      <c r="CK154" s="8"/>
      <c r="CL154" s="8"/>
      <c r="CM154" s="8"/>
      <c r="CN154" s="8"/>
      <c r="CO154" s="8"/>
      <c r="CP154" s="8"/>
      <c r="CQ154" s="21">
        <v>40</v>
      </c>
      <c r="CR154" s="8"/>
      <c r="CS154" s="8"/>
      <c r="CT154" s="8"/>
      <c r="CU154" s="8"/>
      <c r="CV154" s="8"/>
      <c r="CW154" s="8"/>
      <c r="CX154" s="8"/>
      <c r="CY154" s="8"/>
      <c r="CZ154" s="8"/>
      <c r="DA154" s="8"/>
      <c r="DB154" s="8"/>
      <c r="DC154" s="8"/>
      <c r="DD154" s="8"/>
    </row>
    <row r="155" spans="1:108" ht="24" x14ac:dyDescent="0.25">
      <c r="A155" s="6" t="s">
        <v>686</v>
      </c>
      <c r="B155" s="10" t="s">
        <v>685</v>
      </c>
      <c r="C155" s="11" t="s">
        <v>336</v>
      </c>
      <c r="D155" s="11" t="s">
        <v>204</v>
      </c>
      <c r="E155" s="11" t="s">
        <v>300</v>
      </c>
      <c r="F155" s="11" t="s">
        <v>301</v>
      </c>
      <c r="G155" s="11" t="s">
        <v>313</v>
      </c>
      <c r="H155" s="11" t="s">
        <v>303</v>
      </c>
      <c r="I155" s="11" t="s">
        <v>300</v>
      </c>
      <c r="J155" s="20">
        <v>90</v>
      </c>
      <c r="K155" s="20">
        <v>70</v>
      </c>
      <c r="L155" s="11"/>
      <c r="M155" s="11"/>
      <c r="N155" s="11"/>
      <c r="O155" s="11"/>
      <c r="P155" s="11"/>
      <c r="Q155" s="10"/>
      <c r="R155" s="11" t="s">
        <v>813</v>
      </c>
      <c r="S155" s="11"/>
      <c r="T155" s="11"/>
      <c r="U155" s="11"/>
      <c r="V155" s="11" t="s">
        <v>305</v>
      </c>
      <c r="W155" s="11" t="s">
        <v>306</v>
      </c>
      <c r="X155" s="20">
        <v>0</v>
      </c>
      <c r="Y155" s="11" t="b">
        <v>0</v>
      </c>
      <c r="Z155" s="11" t="b">
        <v>0</v>
      </c>
      <c r="AA155" s="11"/>
      <c r="AB155" s="11" t="s">
        <v>218</v>
      </c>
      <c r="AC155" s="11" t="s">
        <v>338</v>
      </c>
      <c r="AD155" s="11" t="s">
        <v>338</v>
      </c>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c r="BF155" s="11"/>
      <c r="BG155" s="11"/>
      <c r="BH155" s="11"/>
      <c r="BI155" s="11"/>
      <c r="BJ155" s="11"/>
      <c r="BK155" s="11"/>
      <c r="BL155" s="11"/>
      <c r="BM155" s="11"/>
      <c r="BN155" s="11"/>
      <c r="BO155" s="11"/>
      <c r="BP155" s="11"/>
      <c r="BQ155" s="11"/>
      <c r="BR155" s="11"/>
      <c r="BS155" s="11"/>
      <c r="BT155" s="11"/>
      <c r="BU155" s="11"/>
      <c r="BV155" s="11"/>
      <c r="BW155" s="11"/>
      <c r="BX155" s="11"/>
      <c r="BY155" s="11"/>
      <c r="BZ155" s="11"/>
      <c r="CA155" s="11"/>
      <c r="CB155" s="11"/>
      <c r="CC155" s="11"/>
      <c r="CD155" s="11"/>
      <c r="CE155" s="11"/>
      <c r="CF155" s="11"/>
      <c r="CG155" s="11"/>
      <c r="CH155" s="11"/>
      <c r="CI155" s="11"/>
      <c r="CJ155" s="11"/>
      <c r="CK155" s="11"/>
      <c r="CL155" s="11"/>
      <c r="CM155" s="11"/>
      <c r="CN155" s="11"/>
      <c r="CO155" s="11"/>
      <c r="CP155" s="11"/>
      <c r="CQ155" s="11"/>
      <c r="CR155" s="11"/>
      <c r="CS155" s="11"/>
      <c r="CT155" s="11"/>
      <c r="CU155" s="11"/>
      <c r="CV155" s="11"/>
      <c r="CW155" s="11"/>
      <c r="CX155" s="11"/>
      <c r="CY155" s="11"/>
      <c r="CZ155" s="11"/>
      <c r="DA155" s="11"/>
      <c r="DB155" s="11"/>
      <c r="DC155" s="11"/>
      <c r="DD155" s="11"/>
    </row>
    <row r="156" spans="1:108" ht="24" x14ac:dyDescent="0.25">
      <c r="A156" s="6" t="s">
        <v>686</v>
      </c>
      <c r="B156" s="7" t="s">
        <v>685</v>
      </c>
      <c r="C156" s="8" t="s">
        <v>339</v>
      </c>
      <c r="D156" s="8" t="s">
        <v>299</v>
      </c>
      <c r="E156" s="8" t="s">
        <v>300</v>
      </c>
      <c r="F156" s="8" t="s">
        <v>301</v>
      </c>
      <c r="G156" s="8" t="s">
        <v>313</v>
      </c>
      <c r="H156" s="8" t="s">
        <v>303</v>
      </c>
      <c r="I156" s="8" t="s">
        <v>300</v>
      </c>
      <c r="J156" s="21">
        <v>90</v>
      </c>
      <c r="K156" s="21">
        <v>70</v>
      </c>
      <c r="L156" s="8"/>
      <c r="M156" s="8"/>
      <c r="N156" s="8"/>
      <c r="O156" s="8"/>
      <c r="P156" s="8"/>
      <c r="Q156" s="7"/>
      <c r="R156" s="8" t="s">
        <v>814</v>
      </c>
      <c r="S156" s="8"/>
      <c r="T156" s="8"/>
      <c r="U156" s="8"/>
      <c r="V156" s="8" t="s">
        <v>305</v>
      </c>
      <c r="W156" s="8" t="s">
        <v>306</v>
      </c>
      <c r="X156" s="21">
        <v>0</v>
      </c>
      <c r="Y156" s="8" t="b">
        <v>0</v>
      </c>
      <c r="Z156" s="8" t="b">
        <v>0</v>
      </c>
      <c r="AA156" s="8"/>
      <c r="AB156" s="8" t="s">
        <v>218</v>
      </c>
      <c r="AC156" s="8" t="s">
        <v>341</v>
      </c>
      <c r="AD156" s="8" t="s">
        <v>341</v>
      </c>
      <c r="AE156" s="8"/>
      <c r="AF156" s="21">
        <v>10</v>
      </c>
      <c r="AG156" s="21">
        <v>10</v>
      </c>
      <c r="AH156" s="21">
        <v>10</v>
      </c>
      <c r="AI156" s="21">
        <v>10</v>
      </c>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21">
        <v>10</v>
      </c>
      <c r="BH156" s="8"/>
      <c r="BI156" s="8"/>
      <c r="BJ156" s="8"/>
      <c r="BK156" s="8"/>
      <c r="BL156" s="8"/>
      <c r="BM156" s="8"/>
      <c r="BN156" s="8"/>
      <c r="BO156" s="8"/>
      <c r="BP156" s="8"/>
      <c r="BQ156" s="8"/>
      <c r="BR156" s="8"/>
      <c r="BS156" s="21">
        <v>10</v>
      </c>
      <c r="BT156" s="8"/>
      <c r="BU156" s="8"/>
      <c r="BV156" s="8"/>
      <c r="BW156" s="8"/>
      <c r="BX156" s="8"/>
      <c r="BY156" s="8"/>
      <c r="BZ156" s="8"/>
      <c r="CA156" s="8"/>
      <c r="CB156" s="8"/>
      <c r="CC156" s="8"/>
      <c r="CD156" s="8"/>
      <c r="CE156" s="21">
        <v>10</v>
      </c>
      <c r="CF156" s="8"/>
      <c r="CG156" s="8"/>
      <c r="CH156" s="8"/>
      <c r="CI156" s="8"/>
      <c r="CJ156" s="8"/>
      <c r="CK156" s="8"/>
      <c r="CL156" s="8"/>
      <c r="CM156" s="8"/>
      <c r="CN156" s="8"/>
      <c r="CO156" s="8"/>
      <c r="CP156" s="8"/>
      <c r="CQ156" s="21">
        <v>10</v>
      </c>
      <c r="CR156" s="8"/>
      <c r="CS156" s="8"/>
      <c r="CT156" s="8"/>
      <c r="CU156" s="8"/>
      <c r="CV156" s="8"/>
      <c r="CW156" s="8"/>
      <c r="CX156" s="8"/>
      <c r="CY156" s="8"/>
      <c r="CZ156" s="8"/>
      <c r="DA156" s="8"/>
      <c r="DB156" s="8"/>
      <c r="DC156" s="8"/>
      <c r="DD156" s="8"/>
    </row>
    <row r="157" spans="1:108" ht="24" x14ac:dyDescent="0.25">
      <c r="A157" s="6" t="s">
        <v>686</v>
      </c>
      <c r="B157" s="10" t="s">
        <v>685</v>
      </c>
      <c r="C157" s="11" t="s">
        <v>339</v>
      </c>
      <c r="D157" s="11" t="s">
        <v>308</v>
      </c>
      <c r="E157" s="11" t="s">
        <v>300</v>
      </c>
      <c r="F157" s="11" t="s">
        <v>301</v>
      </c>
      <c r="G157" s="11" t="s">
        <v>313</v>
      </c>
      <c r="H157" s="11" t="s">
        <v>303</v>
      </c>
      <c r="I157" s="11" t="s">
        <v>300</v>
      </c>
      <c r="J157" s="20">
        <v>90</v>
      </c>
      <c r="K157" s="20">
        <v>70</v>
      </c>
      <c r="L157" s="11"/>
      <c r="M157" s="11"/>
      <c r="N157" s="11"/>
      <c r="O157" s="11"/>
      <c r="P157" s="11"/>
      <c r="Q157" s="10"/>
      <c r="R157" s="11" t="s">
        <v>814</v>
      </c>
      <c r="S157" s="11"/>
      <c r="T157" s="11"/>
      <c r="U157" s="11"/>
      <c r="V157" s="11" t="s">
        <v>305</v>
      </c>
      <c r="W157" s="11" t="s">
        <v>306</v>
      </c>
      <c r="X157" s="20">
        <v>0</v>
      </c>
      <c r="Y157" s="11" t="b">
        <v>0</v>
      </c>
      <c r="Z157" s="11" t="b">
        <v>0</v>
      </c>
      <c r="AA157" s="11"/>
      <c r="AB157" s="11" t="s">
        <v>218</v>
      </c>
      <c r="AC157" s="11" t="s">
        <v>341</v>
      </c>
      <c r="AD157" s="11" t="s">
        <v>341</v>
      </c>
      <c r="AE157" s="11"/>
      <c r="AF157" s="20">
        <v>10</v>
      </c>
      <c r="AG157" s="20">
        <v>10</v>
      </c>
      <c r="AH157" s="20">
        <v>10</v>
      </c>
      <c r="AI157" s="20">
        <v>10</v>
      </c>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c r="BF157" s="11"/>
      <c r="BG157" s="20">
        <v>10</v>
      </c>
      <c r="BH157" s="11"/>
      <c r="BI157" s="11"/>
      <c r="BJ157" s="11"/>
      <c r="BK157" s="11"/>
      <c r="BL157" s="11"/>
      <c r="BM157" s="11"/>
      <c r="BN157" s="11"/>
      <c r="BO157" s="11"/>
      <c r="BP157" s="11"/>
      <c r="BQ157" s="11"/>
      <c r="BR157" s="11"/>
      <c r="BS157" s="20">
        <v>10</v>
      </c>
      <c r="BT157" s="11"/>
      <c r="BU157" s="11"/>
      <c r="BV157" s="11"/>
      <c r="BW157" s="11"/>
      <c r="BX157" s="11"/>
      <c r="BY157" s="11"/>
      <c r="BZ157" s="11"/>
      <c r="CA157" s="11"/>
      <c r="CB157" s="11"/>
      <c r="CC157" s="11"/>
      <c r="CD157" s="11"/>
      <c r="CE157" s="20">
        <v>10</v>
      </c>
      <c r="CF157" s="11"/>
      <c r="CG157" s="11"/>
      <c r="CH157" s="11"/>
      <c r="CI157" s="11"/>
      <c r="CJ157" s="11"/>
      <c r="CK157" s="11"/>
      <c r="CL157" s="11"/>
      <c r="CM157" s="11"/>
      <c r="CN157" s="11"/>
      <c r="CO157" s="11"/>
      <c r="CP157" s="11"/>
      <c r="CQ157" s="20">
        <v>10</v>
      </c>
      <c r="CR157" s="11"/>
      <c r="CS157" s="11"/>
      <c r="CT157" s="11"/>
      <c r="CU157" s="11"/>
      <c r="CV157" s="11"/>
      <c r="CW157" s="11"/>
      <c r="CX157" s="11"/>
      <c r="CY157" s="11"/>
      <c r="CZ157" s="11"/>
      <c r="DA157" s="11"/>
      <c r="DB157" s="11"/>
      <c r="DC157" s="11"/>
      <c r="DD157" s="11"/>
    </row>
    <row r="158" spans="1:108" ht="24" x14ac:dyDescent="0.25">
      <c r="A158" s="6" t="s">
        <v>686</v>
      </c>
      <c r="B158" s="7" t="s">
        <v>685</v>
      </c>
      <c r="C158" s="8" t="s">
        <v>339</v>
      </c>
      <c r="D158" s="8" t="s">
        <v>204</v>
      </c>
      <c r="E158" s="8" t="s">
        <v>300</v>
      </c>
      <c r="F158" s="8" t="s">
        <v>301</v>
      </c>
      <c r="G158" s="8" t="s">
        <v>313</v>
      </c>
      <c r="H158" s="8" t="s">
        <v>303</v>
      </c>
      <c r="I158" s="8" t="s">
        <v>300</v>
      </c>
      <c r="J158" s="21">
        <v>90</v>
      </c>
      <c r="K158" s="21">
        <v>70</v>
      </c>
      <c r="L158" s="8"/>
      <c r="M158" s="8"/>
      <c r="N158" s="8"/>
      <c r="O158" s="8"/>
      <c r="P158" s="8"/>
      <c r="Q158" s="7"/>
      <c r="R158" s="8" t="s">
        <v>814</v>
      </c>
      <c r="S158" s="8"/>
      <c r="T158" s="8"/>
      <c r="U158" s="8"/>
      <c r="V158" s="8" t="s">
        <v>305</v>
      </c>
      <c r="W158" s="8" t="s">
        <v>306</v>
      </c>
      <c r="X158" s="21">
        <v>0</v>
      </c>
      <c r="Y158" s="8" t="b">
        <v>0</v>
      </c>
      <c r="Z158" s="8" t="b">
        <v>0</v>
      </c>
      <c r="AA158" s="8"/>
      <c r="AB158" s="8" t="s">
        <v>218</v>
      </c>
      <c r="AC158" s="8" t="s">
        <v>341</v>
      </c>
      <c r="AD158" s="8" t="s">
        <v>341</v>
      </c>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c r="BU158" s="8"/>
      <c r="BV158" s="8"/>
      <c r="BW158" s="8"/>
      <c r="BX158" s="8"/>
      <c r="BY158" s="8"/>
      <c r="BZ158" s="8"/>
      <c r="CA158" s="8"/>
      <c r="CB158" s="8"/>
      <c r="CC158" s="8"/>
      <c r="CD158" s="8"/>
      <c r="CE158" s="8"/>
      <c r="CF158" s="8"/>
      <c r="CG158" s="8"/>
      <c r="CH158" s="8"/>
      <c r="CI158" s="8"/>
      <c r="CJ158" s="8"/>
      <c r="CK158" s="8"/>
      <c r="CL158" s="8"/>
      <c r="CM158" s="8"/>
      <c r="CN158" s="8"/>
      <c r="CO158" s="8"/>
      <c r="CP158" s="8"/>
      <c r="CQ158" s="8"/>
      <c r="CR158" s="8"/>
      <c r="CS158" s="8"/>
      <c r="CT158" s="8"/>
      <c r="CU158" s="8"/>
      <c r="CV158" s="8"/>
      <c r="CW158" s="8"/>
      <c r="CX158" s="8"/>
      <c r="CY158" s="8"/>
      <c r="CZ158" s="8"/>
      <c r="DA158" s="8"/>
      <c r="DB158" s="8"/>
      <c r="DC158" s="8"/>
      <c r="DD158" s="8"/>
    </row>
    <row r="159" spans="1:108" ht="24" x14ac:dyDescent="0.25">
      <c r="A159" s="6" t="s">
        <v>686</v>
      </c>
      <c r="B159" s="10" t="s">
        <v>685</v>
      </c>
      <c r="C159" s="11" t="s">
        <v>342</v>
      </c>
      <c r="D159" s="11" t="s">
        <v>299</v>
      </c>
      <c r="E159" s="11" t="s">
        <v>300</v>
      </c>
      <c r="F159" s="11" t="s">
        <v>301</v>
      </c>
      <c r="G159" s="11" t="s">
        <v>313</v>
      </c>
      <c r="H159" s="11" t="s">
        <v>333</v>
      </c>
      <c r="I159" s="11"/>
      <c r="J159" s="20">
        <v>90</v>
      </c>
      <c r="K159" s="20">
        <v>70</v>
      </c>
      <c r="L159" s="11"/>
      <c r="M159" s="11"/>
      <c r="N159" s="11"/>
      <c r="O159" s="11"/>
      <c r="P159" s="11"/>
      <c r="Q159" s="10"/>
      <c r="R159" s="11" t="s">
        <v>815</v>
      </c>
      <c r="S159" s="11"/>
      <c r="T159" s="11"/>
      <c r="U159" s="11"/>
      <c r="V159" s="11" t="s">
        <v>305</v>
      </c>
      <c r="W159" s="11" t="s">
        <v>306</v>
      </c>
      <c r="X159" s="20">
        <v>0</v>
      </c>
      <c r="Y159" s="11" t="b">
        <v>0</v>
      </c>
      <c r="Z159" s="11" t="b">
        <v>0</v>
      </c>
      <c r="AA159" s="11"/>
      <c r="AB159" s="11" t="s">
        <v>218</v>
      </c>
      <c r="AC159" s="11" t="s">
        <v>344</v>
      </c>
      <c r="AD159" s="11" t="s">
        <v>344</v>
      </c>
      <c r="AE159" s="20">
        <v>80</v>
      </c>
      <c r="AF159" s="20">
        <v>80</v>
      </c>
      <c r="AG159" s="20">
        <v>80</v>
      </c>
      <c r="AH159" s="20">
        <v>80</v>
      </c>
      <c r="AI159" s="20">
        <v>80</v>
      </c>
      <c r="AJ159" s="11"/>
      <c r="AK159" s="11"/>
      <c r="AL159" s="11"/>
      <c r="AM159" s="11"/>
      <c r="AN159" s="11"/>
      <c r="AO159" s="11"/>
      <c r="AP159" s="11"/>
      <c r="AQ159" s="11"/>
      <c r="AR159" s="11"/>
      <c r="AS159" s="11"/>
      <c r="AT159" s="11"/>
      <c r="AU159" s="20">
        <v>80</v>
      </c>
      <c r="AV159" s="11"/>
      <c r="AW159" s="11"/>
      <c r="AX159" s="11"/>
      <c r="AY159" s="11"/>
      <c r="AZ159" s="11"/>
      <c r="BA159" s="11"/>
      <c r="BB159" s="11"/>
      <c r="BC159" s="11"/>
      <c r="BD159" s="11"/>
      <c r="BE159" s="11"/>
      <c r="BF159" s="11"/>
      <c r="BG159" s="20">
        <v>80</v>
      </c>
      <c r="BH159" s="11"/>
      <c r="BI159" s="11"/>
      <c r="BJ159" s="11"/>
      <c r="BK159" s="11"/>
      <c r="BL159" s="11"/>
      <c r="BM159" s="11"/>
      <c r="BN159" s="11"/>
      <c r="BO159" s="11"/>
      <c r="BP159" s="11"/>
      <c r="BQ159" s="11"/>
      <c r="BR159" s="11"/>
      <c r="BS159" s="20">
        <v>80</v>
      </c>
      <c r="BT159" s="11"/>
      <c r="BU159" s="11"/>
      <c r="BV159" s="11"/>
      <c r="BW159" s="11"/>
      <c r="BX159" s="11"/>
      <c r="BY159" s="11"/>
      <c r="BZ159" s="11"/>
      <c r="CA159" s="11"/>
      <c r="CB159" s="11"/>
      <c r="CC159" s="11"/>
      <c r="CD159" s="11"/>
      <c r="CE159" s="20">
        <v>80</v>
      </c>
      <c r="CF159" s="11"/>
      <c r="CG159" s="11"/>
      <c r="CH159" s="11"/>
      <c r="CI159" s="11"/>
      <c r="CJ159" s="11"/>
      <c r="CK159" s="11"/>
      <c r="CL159" s="11"/>
      <c r="CM159" s="11"/>
      <c r="CN159" s="11"/>
      <c r="CO159" s="11"/>
      <c r="CP159" s="11"/>
      <c r="CQ159" s="20">
        <v>80</v>
      </c>
      <c r="CR159" s="11"/>
      <c r="CS159" s="11"/>
      <c r="CT159" s="11"/>
      <c r="CU159" s="11"/>
      <c r="CV159" s="11"/>
      <c r="CW159" s="11"/>
      <c r="CX159" s="11"/>
      <c r="CY159" s="11"/>
      <c r="CZ159" s="11"/>
      <c r="DA159" s="11"/>
      <c r="DB159" s="11"/>
      <c r="DC159" s="11"/>
      <c r="DD159" s="11"/>
    </row>
    <row r="160" spans="1:108" ht="24" x14ac:dyDescent="0.25">
      <c r="A160" s="6" t="s">
        <v>686</v>
      </c>
      <c r="B160" s="7" t="s">
        <v>685</v>
      </c>
      <c r="C160" s="8" t="s">
        <v>342</v>
      </c>
      <c r="D160" s="8" t="s">
        <v>308</v>
      </c>
      <c r="E160" s="8" t="s">
        <v>300</v>
      </c>
      <c r="F160" s="8" t="s">
        <v>301</v>
      </c>
      <c r="G160" s="8" t="s">
        <v>313</v>
      </c>
      <c r="H160" s="8" t="s">
        <v>333</v>
      </c>
      <c r="I160" s="8"/>
      <c r="J160" s="21">
        <v>90</v>
      </c>
      <c r="K160" s="21">
        <v>70</v>
      </c>
      <c r="L160" s="8"/>
      <c r="M160" s="8"/>
      <c r="N160" s="8"/>
      <c r="O160" s="8"/>
      <c r="P160" s="8"/>
      <c r="Q160" s="7"/>
      <c r="R160" s="8" t="s">
        <v>815</v>
      </c>
      <c r="S160" s="8"/>
      <c r="T160" s="8"/>
      <c r="U160" s="8"/>
      <c r="V160" s="8" t="s">
        <v>305</v>
      </c>
      <c r="W160" s="8" t="s">
        <v>306</v>
      </c>
      <c r="X160" s="21">
        <v>0</v>
      </c>
      <c r="Y160" s="8" t="b">
        <v>0</v>
      </c>
      <c r="Z160" s="8" t="b">
        <v>0</v>
      </c>
      <c r="AA160" s="8"/>
      <c r="AB160" s="8" t="s">
        <v>218</v>
      </c>
      <c r="AC160" s="8" t="s">
        <v>344</v>
      </c>
      <c r="AD160" s="8" t="s">
        <v>344</v>
      </c>
      <c r="AE160" s="21">
        <v>80</v>
      </c>
      <c r="AF160" s="21">
        <v>80</v>
      </c>
      <c r="AG160" s="21">
        <v>80</v>
      </c>
      <c r="AH160" s="21">
        <v>80</v>
      </c>
      <c r="AI160" s="21">
        <v>80</v>
      </c>
      <c r="AJ160" s="8"/>
      <c r="AK160" s="8"/>
      <c r="AL160" s="8"/>
      <c r="AM160" s="8"/>
      <c r="AN160" s="8"/>
      <c r="AO160" s="8"/>
      <c r="AP160" s="8"/>
      <c r="AQ160" s="8"/>
      <c r="AR160" s="8"/>
      <c r="AS160" s="8"/>
      <c r="AT160" s="8"/>
      <c r="AU160" s="21">
        <v>80</v>
      </c>
      <c r="AV160" s="8"/>
      <c r="AW160" s="8"/>
      <c r="AX160" s="8"/>
      <c r="AY160" s="8"/>
      <c r="AZ160" s="8"/>
      <c r="BA160" s="8"/>
      <c r="BB160" s="8"/>
      <c r="BC160" s="8"/>
      <c r="BD160" s="8"/>
      <c r="BE160" s="8"/>
      <c r="BF160" s="8"/>
      <c r="BG160" s="21">
        <v>80</v>
      </c>
      <c r="BH160" s="8"/>
      <c r="BI160" s="8"/>
      <c r="BJ160" s="8"/>
      <c r="BK160" s="8"/>
      <c r="BL160" s="8"/>
      <c r="BM160" s="8"/>
      <c r="BN160" s="8"/>
      <c r="BO160" s="8"/>
      <c r="BP160" s="8"/>
      <c r="BQ160" s="8"/>
      <c r="BR160" s="8"/>
      <c r="BS160" s="21">
        <v>80</v>
      </c>
      <c r="BT160" s="8"/>
      <c r="BU160" s="8"/>
      <c r="BV160" s="8"/>
      <c r="BW160" s="8"/>
      <c r="BX160" s="8"/>
      <c r="BY160" s="8"/>
      <c r="BZ160" s="8"/>
      <c r="CA160" s="8"/>
      <c r="CB160" s="8"/>
      <c r="CC160" s="8"/>
      <c r="CD160" s="8"/>
      <c r="CE160" s="21">
        <v>80</v>
      </c>
      <c r="CF160" s="8"/>
      <c r="CG160" s="8"/>
      <c r="CH160" s="8"/>
      <c r="CI160" s="8"/>
      <c r="CJ160" s="8"/>
      <c r="CK160" s="8"/>
      <c r="CL160" s="8"/>
      <c r="CM160" s="8"/>
      <c r="CN160" s="8"/>
      <c r="CO160" s="8"/>
      <c r="CP160" s="8"/>
      <c r="CQ160" s="21">
        <v>80</v>
      </c>
      <c r="CR160" s="8"/>
      <c r="CS160" s="8"/>
      <c r="CT160" s="8"/>
      <c r="CU160" s="8"/>
      <c r="CV160" s="8"/>
      <c r="CW160" s="8"/>
      <c r="CX160" s="8"/>
      <c r="CY160" s="8"/>
      <c r="CZ160" s="8"/>
      <c r="DA160" s="8"/>
      <c r="DB160" s="8"/>
      <c r="DC160" s="8"/>
      <c r="DD160" s="8"/>
    </row>
    <row r="161" spans="1:108" ht="24" x14ac:dyDescent="0.25">
      <c r="A161" s="6" t="s">
        <v>686</v>
      </c>
      <c r="B161" s="10" t="s">
        <v>685</v>
      </c>
      <c r="C161" s="11" t="s">
        <v>342</v>
      </c>
      <c r="D161" s="11" t="s">
        <v>204</v>
      </c>
      <c r="E161" s="11" t="s">
        <v>300</v>
      </c>
      <c r="F161" s="11" t="s">
        <v>301</v>
      </c>
      <c r="G161" s="11" t="s">
        <v>313</v>
      </c>
      <c r="H161" s="11" t="s">
        <v>333</v>
      </c>
      <c r="I161" s="11"/>
      <c r="J161" s="20">
        <v>90</v>
      </c>
      <c r="K161" s="20">
        <v>70</v>
      </c>
      <c r="L161" s="11"/>
      <c r="M161" s="11"/>
      <c r="N161" s="11"/>
      <c r="O161" s="11"/>
      <c r="P161" s="11"/>
      <c r="Q161" s="10"/>
      <c r="R161" s="11" t="s">
        <v>815</v>
      </c>
      <c r="S161" s="11"/>
      <c r="T161" s="11"/>
      <c r="U161" s="11"/>
      <c r="V161" s="11" t="s">
        <v>305</v>
      </c>
      <c r="W161" s="11" t="s">
        <v>306</v>
      </c>
      <c r="X161" s="20">
        <v>0</v>
      </c>
      <c r="Y161" s="11" t="b">
        <v>0</v>
      </c>
      <c r="Z161" s="11" t="b">
        <v>0</v>
      </c>
      <c r="AA161" s="11"/>
      <c r="AB161" s="11" t="s">
        <v>218</v>
      </c>
      <c r="AC161" s="11" t="s">
        <v>344</v>
      </c>
      <c r="AD161" s="11" t="s">
        <v>344</v>
      </c>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c r="BF161" s="11"/>
      <c r="BG161" s="11"/>
      <c r="BH161" s="11"/>
      <c r="BI161" s="11"/>
      <c r="BJ161" s="11"/>
      <c r="BK161" s="11"/>
      <c r="BL161" s="11"/>
      <c r="BM161" s="11"/>
      <c r="BN161" s="11"/>
      <c r="BO161" s="11"/>
      <c r="BP161" s="11"/>
      <c r="BQ161" s="11"/>
      <c r="BR161" s="11"/>
      <c r="BS161" s="11"/>
      <c r="BT161" s="11"/>
      <c r="BU161" s="11"/>
      <c r="BV161" s="11"/>
      <c r="BW161" s="11"/>
      <c r="BX161" s="11"/>
      <c r="BY161" s="11"/>
      <c r="BZ161" s="11"/>
      <c r="CA161" s="11"/>
      <c r="CB161" s="11"/>
      <c r="CC161" s="11"/>
      <c r="CD161" s="11"/>
      <c r="CE161" s="11"/>
      <c r="CF161" s="11"/>
      <c r="CG161" s="11"/>
      <c r="CH161" s="11"/>
      <c r="CI161" s="11"/>
      <c r="CJ161" s="11"/>
      <c r="CK161" s="11"/>
      <c r="CL161" s="11"/>
      <c r="CM161" s="11"/>
      <c r="CN161" s="11"/>
      <c r="CO161" s="11"/>
      <c r="CP161" s="11"/>
      <c r="CQ161" s="11"/>
      <c r="CR161" s="11"/>
      <c r="CS161" s="11"/>
      <c r="CT161" s="11"/>
      <c r="CU161" s="11"/>
      <c r="CV161" s="11"/>
      <c r="CW161" s="11"/>
      <c r="CX161" s="11"/>
      <c r="CY161" s="11"/>
      <c r="CZ161" s="11"/>
      <c r="DA161" s="11"/>
      <c r="DB161" s="11"/>
      <c r="DC161" s="11"/>
      <c r="DD161" s="11"/>
    </row>
    <row r="162" spans="1:108" ht="24" x14ac:dyDescent="0.25">
      <c r="A162" s="6" t="s">
        <v>686</v>
      </c>
      <c r="B162" s="7" t="s">
        <v>685</v>
      </c>
      <c r="C162" s="8" t="s">
        <v>345</v>
      </c>
      <c r="D162" s="8" t="s">
        <v>299</v>
      </c>
      <c r="E162" s="8" t="s">
        <v>300</v>
      </c>
      <c r="F162" s="8" t="s">
        <v>301</v>
      </c>
      <c r="G162" s="8" t="s">
        <v>313</v>
      </c>
      <c r="H162" s="8" t="s">
        <v>303</v>
      </c>
      <c r="I162" s="8" t="s">
        <v>300</v>
      </c>
      <c r="J162" s="21">
        <v>90</v>
      </c>
      <c r="K162" s="21">
        <v>70</v>
      </c>
      <c r="L162" s="8"/>
      <c r="M162" s="8"/>
      <c r="N162" s="8"/>
      <c r="O162" s="8"/>
      <c r="P162" s="8"/>
      <c r="Q162" s="7"/>
      <c r="R162" s="8" t="s">
        <v>816</v>
      </c>
      <c r="S162" s="8"/>
      <c r="T162" s="8"/>
      <c r="U162" s="8"/>
      <c r="V162" s="8" t="s">
        <v>305</v>
      </c>
      <c r="W162" s="8" t="s">
        <v>306</v>
      </c>
      <c r="X162" s="21">
        <v>0</v>
      </c>
      <c r="Y162" s="8" t="b">
        <v>0</v>
      </c>
      <c r="Z162" s="8" t="b">
        <v>0</v>
      </c>
      <c r="AA162" s="8"/>
      <c r="AB162" s="8" t="s">
        <v>218</v>
      </c>
      <c r="AC162" s="8" t="s">
        <v>347</v>
      </c>
      <c r="AD162" s="8" t="s">
        <v>347</v>
      </c>
      <c r="AE162" s="8"/>
      <c r="AF162" s="21">
        <v>90</v>
      </c>
      <c r="AG162" s="21">
        <v>90</v>
      </c>
      <c r="AH162" s="21">
        <v>90</v>
      </c>
      <c r="AI162" s="21">
        <v>90</v>
      </c>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21">
        <v>90</v>
      </c>
      <c r="BH162" s="8"/>
      <c r="BI162" s="8"/>
      <c r="BJ162" s="8"/>
      <c r="BK162" s="8"/>
      <c r="BL162" s="8"/>
      <c r="BM162" s="8"/>
      <c r="BN162" s="8"/>
      <c r="BO162" s="8"/>
      <c r="BP162" s="8"/>
      <c r="BQ162" s="8"/>
      <c r="BR162" s="8"/>
      <c r="BS162" s="21">
        <v>90</v>
      </c>
      <c r="BT162" s="8"/>
      <c r="BU162" s="8"/>
      <c r="BV162" s="8"/>
      <c r="BW162" s="8"/>
      <c r="BX162" s="8"/>
      <c r="BY162" s="8"/>
      <c r="BZ162" s="8"/>
      <c r="CA162" s="8"/>
      <c r="CB162" s="8"/>
      <c r="CC162" s="8"/>
      <c r="CD162" s="8"/>
      <c r="CE162" s="21">
        <v>90</v>
      </c>
      <c r="CF162" s="8"/>
      <c r="CG162" s="8"/>
      <c r="CH162" s="8"/>
      <c r="CI162" s="8"/>
      <c r="CJ162" s="8"/>
      <c r="CK162" s="8"/>
      <c r="CL162" s="8"/>
      <c r="CM162" s="8"/>
      <c r="CN162" s="8"/>
      <c r="CO162" s="8"/>
      <c r="CP162" s="8"/>
      <c r="CQ162" s="21">
        <v>90</v>
      </c>
      <c r="CR162" s="8"/>
      <c r="CS162" s="8"/>
      <c r="CT162" s="8"/>
      <c r="CU162" s="8"/>
      <c r="CV162" s="8"/>
      <c r="CW162" s="8"/>
      <c r="CX162" s="8"/>
      <c r="CY162" s="8"/>
      <c r="CZ162" s="8"/>
      <c r="DA162" s="8"/>
      <c r="DB162" s="8"/>
      <c r="DC162" s="8"/>
      <c r="DD162" s="8"/>
    </row>
    <row r="163" spans="1:108" ht="24" x14ac:dyDescent="0.25">
      <c r="A163" s="6" t="s">
        <v>686</v>
      </c>
      <c r="B163" s="10" t="s">
        <v>685</v>
      </c>
      <c r="C163" s="11" t="s">
        <v>345</v>
      </c>
      <c r="D163" s="11" t="s">
        <v>308</v>
      </c>
      <c r="E163" s="11" t="s">
        <v>300</v>
      </c>
      <c r="F163" s="11" t="s">
        <v>301</v>
      </c>
      <c r="G163" s="11" t="s">
        <v>313</v>
      </c>
      <c r="H163" s="11" t="s">
        <v>303</v>
      </c>
      <c r="I163" s="11" t="s">
        <v>300</v>
      </c>
      <c r="J163" s="20">
        <v>90</v>
      </c>
      <c r="K163" s="20">
        <v>70</v>
      </c>
      <c r="L163" s="11"/>
      <c r="M163" s="11"/>
      <c r="N163" s="11"/>
      <c r="O163" s="11"/>
      <c r="P163" s="11"/>
      <c r="Q163" s="10"/>
      <c r="R163" s="11" t="s">
        <v>816</v>
      </c>
      <c r="S163" s="11"/>
      <c r="T163" s="11"/>
      <c r="U163" s="11"/>
      <c r="V163" s="11" t="s">
        <v>305</v>
      </c>
      <c r="W163" s="11" t="s">
        <v>306</v>
      </c>
      <c r="X163" s="20">
        <v>0</v>
      </c>
      <c r="Y163" s="11" t="b">
        <v>0</v>
      </c>
      <c r="Z163" s="11" t="b">
        <v>0</v>
      </c>
      <c r="AA163" s="11"/>
      <c r="AB163" s="11" t="s">
        <v>218</v>
      </c>
      <c r="AC163" s="11" t="s">
        <v>347</v>
      </c>
      <c r="AD163" s="11" t="s">
        <v>347</v>
      </c>
      <c r="AE163" s="11"/>
      <c r="AF163" s="20">
        <v>90</v>
      </c>
      <c r="AG163" s="20">
        <v>90</v>
      </c>
      <c r="AH163" s="20">
        <v>90</v>
      </c>
      <c r="AI163" s="20">
        <v>90</v>
      </c>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20">
        <v>90</v>
      </c>
      <c r="BH163" s="11"/>
      <c r="BI163" s="11"/>
      <c r="BJ163" s="11"/>
      <c r="BK163" s="11"/>
      <c r="BL163" s="11"/>
      <c r="BM163" s="11"/>
      <c r="BN163" s="11"/>
      <c r="BO163" s="11"/>
      <c r="BP163" s="11"/>
      <c r="BQ163" s="11"/>
      <c r="BR163" s="11"/>
      <c r="BS163" s="20">
        <v>90</v>
      </c>
      <c r="BT163" s="11"/>
      <c r="BU163" s="11"/>
      <c r="BV163" s="11"/>
      <c r="BW163" s="11"/>
      <c r="BX163" s="11"/>
      <c r="BY163" s="11"/>
      <c r="BZ163" s="11"/>
      <c r="CA163" s="11"/>
      <c r="CB163" s="11"/>
      <c r="CC163" s="11"/>
      <c r="CD163" s="11"/>
      <c r="CE163" s="20">
        <v>90</v>
      </c>
      <c r="CF163" s="11"/>
      <c r="CG163" s="11"/>
      <c r="CH163" s="11"/>
      <c r="CI163" s="11"/>
      <c r="CJ163" s="11"/>
      <c r="CK163" s="11"/>
      <c r="CL163" s="11"/>
      <c r="CM163" s="11"/>
      <c r="CN163" s="11"/>
      <c r="CO163" s="11"/>
      <c r="CP163" s="11"/>
      <c r="CQ163" s="20">
        <v>90</v>
      </c>
      <c r="CR163" s="11"/>
      <c r="CS163" s="11"/>
      <c r="CT163" s="11"/>
      <c r="CU163" s="11"/>
      <c r="CV163" s="11"/>
      <c r="CW163" s="11"/>
      <c r="CX163" s="11"/>
      <c r="CY163" s="11"/>
      <c r="CZ163" s="11"/>
      <c r="DA163" s="11"/>
      <c r="DB163" s="11"/>
      <c r="DC163" s="11"/>
      <c r="DD163" s="11"/>
    </row>
    <row r="164" spans="1:108" ht="24" x14ac:dyDescent="0.25">
      <c r="A164" s="6" t="s">
        <v>686</v>
      </c>
      <c r="B164" s="7" t="s">
        <v>685</v>
      </c>
      <c r="C164" s="8" t="s">
        <v>345</v>
      </c>
      <c r="D164" s="8" t="s">
        <v>204</v>
      </c>
      <c r="E164" s="8" t="s">
        <v>300</v>
      </c>
      <c r="F164" s="8" t="s">
        <v>301</v>
      </c>
      <c r="G164" s="8" t="s">
        <v>313</v>
      </c>
      <c r="H164" s="8" t="s">
        <v>303</v>
      </c>
      <c r="I164" s="8" t="s">
        <v>300</v>
      </c>
      <c r="J164" s="21">
        <v>90</v>
      </c>
      <c r="K164" s="21">
        <v>70</v>
      </c>
      <c r="L164" s="8"/>
      <c r="M164" s="8"/>
      <c r="N164" s="8"/>
      <c r="O164" s="8"/>
      <c r="P164" s="8"/>
      <c r="Q164" s="7"/>
      <c r="R164" s="8" t="s">
        <v>816</v>
      </c>
      <c r="S164" s="8"/>
      <c r="T164" s="8"/>
      <c r="U164" s="8"/>
      <c r="V164" s="8" t="s">
        <v>305</v>
      </c>
      <c r="W164" s="8" t="s">
        <v>306</v>
      </c>
      <c r="X164" s="21">
        <v>0</v>
      </c>
      <c r="Y164" s="8" t="b">
        <v>0</v>
      </c>
      <c r="Z164" s="8" t="b">
        <v>0</v>
      </c>
      <c r="AA164" s="8"/>
      <c r="AB164" s="8" t="s">
        <v>218</v>
      </c>
      <c r="AC164" s="8" t="s">
        <v>347</v>
      </c>
      <c r="AD164" s="8" t="s">
        <v>347</v>
      </c>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c r="BU164" s="8"/>
      <c r="BV164" s="8"/>
      <c r="BW164" s="8"/>
      <c r="BX164" s="8"/>
      <c r="BY164" s="8"/>
      <c r="BZ164" s="8"/>
      <c r="CA164" s="8"/>
      <c r="CB164" s="8"/>
      <c r="CC164" s="8"/>
      <c r="CD164" s="8"/>
      <c r="CE164" s="8"/>
      <c r="CF164" s="8"/>
      <c r="CG164" s="8"/>
      <c r="CH164" s="8"/>
      <c r="CI164" s="8"/>
      <c r="CJ164" s="8"/>
      <c r="CK164" s="8"/>
      <c r="CL164" s="8"/>
      <c r="CM164" s="8"/>
      <c r="CN164" s="8"/>
      <c r="CO164" s="8"/>
      <c r="CP164" s="8"/>
      <c r="CQ164" s="8"/>
      <c r="CR164" s="8"/>
      <c r="CS164" s="8"/>
      <c r="CT164" s="8"/>
      <c r="CU164" s="8"/>
      <c r="CV164" s="8"/>
      <c r="CW164" s="8"/>
      <c r="CX164" s="8"/>
      <c r="CY164" s="8"/>
      <c r="CZ164" s="8"/>
      <c r="DA164" s="8"/>
      <c r="DB164" s="8"/>
      <c r="DC164" s="8"/>
      <c r="DD164" s="8"/>
    </row>
    <row r="165" spans="1:108" x14ac:dyDescent="0.25">
      <c r="A165" s="6" t="s">
        <v>689</v>
      </c>
      <c r="B165" s="7" t="s">
        <v>688</v>
      </c>
      <c r="C165" s="8" t="s">
        <v>358</v>
      </c>
      <c r="D165" s="8" t="s">
        <v>299</v>
      </c>
      <c r="E165" s="8" t="s">
        <v>300</v>
      </c>
      <c r="F165" s="8" t="s">
        <v>349</v>
      </c>
      <c r="G165" s="8" t="s">
        <v>313</v>
      </c>
      <c r="H165" s="8" t="s">
        <v>303</v>
      </c>
      <c r="I165" s="8"/>
      <c r="J165" s="21">
        <v>90</v>
      </c>
      <c r="K165" s="21">
        <v>70</v>
      </c>
      <c r="L165" s="8"/>
      <c r="M165" s="8"/>
      <c r="N165" s="8"/>
      <c r="O165" s="8"/>
      <c r="P165" s="8"/>
      <c r="Q165" s="7"/>
      <c r="R165" s="8" t="s">
        <v>817</v>
      </c>
      <c r="S165" s="8"/>
      <c r="T165" s="8"/>
      <c r="U165" s="8"/>
      <c r="V165" s="8" t="s">
        <v>305</v>
      </c>
      <c r="W165" s="8" t="s">
        <v>306</v>
      </c>
      <c r="X165" s="21">
        <v>0</v>
      </c>
      <c r="Y165" s="8" t="b">
        <v>0</v>
      </c>
      <c r="Z165" s="8" t="b">
        <v>0</v>
      </c>
      <c r="AA165" s="8"/>
      <c r="AB165" s="8" t="s">
        <v>218</v>
      </c>
      <c r="AC165" s="8" t="s">
        <v>360</v>
      </c>
      <c r="AD165" s="8" t="s">
        <v>360</v>
      </c>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c r="BU165" s="8"/>
      <c r="BV165" s="8"/>
      <c r="BW165" s="8"/>
      <c r="BX165" s="8"/>
      <c r="BY165" s="8"/>
      <c r="BZ165" s="8"/>
      <c r="CA165" s="8"/>
      <c r="CB165" s="8"/>
      <c r="CC165" s="8"/>
      <c r="CD165" s="8"/>
      <c r="CE165" s="8"/>
      <c r="CF165" s="8"/>
      <c r="CG165" s="8"/>
      <c r="CH165" s="8"/>
      <c r="CI165" s="8"/>
      <c r="CJ165" s="8"/>
      <c r="CK165" s="8"/>
      <c r="CL165" s="8"/>
      <c r="CM165" s="8"/>
      <c r="CN165" s="8"/>
      <c r="CO165" s="8"/>
      <c r="CP165" s="8"/>
      <c r="CQ165" s="8"/>
      <c r="CR165" s="8"/>
      <c r="CS165" s="8"/>
      <c r="CT165" s="8"/>
      <c r="CU165" s="8"/>
      <c r="CV165" s="8"/>
      <c r="CW165" s="8"/>
      <c r="CX165" s="8"/>
      <c r="CY165" s="8"/>
      <c r="CZ165" s="8"/>
      <c r="DA165" s="8"/>
      <c r="DB165" s="8"/>
      <c r="DC165" s="8"/>
      <c r="DD165" s="8"/>
    </row>
    <row r="166" spans="1:108" x14ac:dyDescent="0.25">
      <c r="A166" s="6" t="s">
        <v>689</v>
      </c>
      <c r="B166" s="10" t="s">
        <v>688</v>
      </c>
      <c r="C166" s="11" t="s">
        <v>358</v>
      </c>
      <c r="D166" s="11" t="s">
        <v>308</v>
      </c>
      <c r="E166" s="11" t="s">
        <v>300</v>
      </c>
      <c r="F166" s="11" t="s">
        <v>349</v>
      </c>
      <c r="G166" s="11" t="s">
        <v>313</v>
      </c>
      <c r="H166" s="11" t="s">
        <v>303</v>
      </c>
      <c r="I166" s="11"/>
      <c r="J166" s="20">
        <v>90</v>
      </c>
      <c r="K166" s="20">
        <v>70</v>
      </c>
      <c r="L166" s="11"/>
      <c r="M166" s="11"/>
      <c r="N166" s="11"/>
      <c r="O166" s="11"/>
      <c r="P166" s="11"/>
      <c r="Q166" s="10"/>
      <c r="R166" s="11" t="s">
        <v>817</v>
      </c>
      <c r="S166" s="11"/>
      <c r="T166" s="11"/>
      <c r="U166" s="11"/>
      <c r="V166" s="11" t="s">
        <v>305</v>
      </c>
      <c r="W166" s="11" t="s">
        <v>306</v>
      </c>
      <c r="X166" s="20">
        <v>0</v>
      </c>
      <c r="Y166" s="11" t="b">
        <v>0</v>
      </c>
      <c r="Z166" s="11" t="b">
        <v>0</v>
      </c>
      <c r="AA166" s="11"/>
      <c r="AB166" s="11" t="s">
        <v>218</v>
      </c>
      <c r="AC166" s="11" t="s">
        <v>360</v>
      </c>
      <c r="AD166" s="11" t="s">
        <v>360</v>
      </c>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c r="BE166" s="11"/>
      <c r="BF166" s="11"/>
      <c r="BG166" s="11"/>
      <c r="BH166" s="11"/>
      <c r="BI166" s="11"/>
      <c r="BJ166" s="11"/>
      <c r="BK166" s="11"/>
      <c r="BL166" s="11"/>
      <c r="BM166" s="11"/>
      <c r="BN166" s="11"/>
      <c r="BO166" s="11"/>
      <c r="BP166" s="11"/>
      <c r="BQ166" s="11"/>
      <c r="BR166" s="11"/>
      <c r="BS166" s="11"/>
      <c r="BT166" s="11"/>
      <c r="BU166" s="11"/>
      <c r="BV166" s="11"/>
      <c r="BW166" s="11"/>
      <c r="BX166" s="11"/>
      <c r="BY166" s="11"/>
      <c r="BZ166" s="11"/>
      <c r="CA166" s="11"/>
      <c r="CB166" s="11"/>
      <c r="CC166" s="11"/>
      <c r="CD166" s="11"/>
      <c r="CE166" s="11"/>
      <c r="CF166" s="11"/>
      <c r="CG166" s="11"/>
      <c r="CH166" s="11"/>
      <c r="CI166" s="11"/>
      <c r="CJ166" s="11"/>
      <c r="CK166" s="11"/>
      <c r="CL166" s="11"/>
      <c r="CM166" s="11"/>
      <c r="CN166" s="11"/>
      <c r="CO166" s="11"/>
      <c r="CP166" s="11"/>
      <c r="CQ166" s="11"/>
      <c r="CR166" s="11"/>
      <c r="CS166" s="11"/>
      <c r="CT166" s="11"/>
      <c r="CU166" s="11"/>
      <c r="CV166" s="11"/>
      <c r="CW166" s="11"/>
      <c r="CX166" s="11"/>
      <c r="CY166" s="11"/>
      <c r="CZ166" s="11"/>
      <c r="DA166" s="11"/>
      <c r="DB166" s="11"/>
      <c r="DC166" s="11"/>
      <c r="DD166" s="11"/>
    </row>
    <row r="167" spans="1:108" x14ac:dyDescent="0.25">
      <c r="A167" s="6" t="s">
        <v>689</v>
      </c>
      <c r="B167" s="7" t="s">
        <v>688</v>
      </c>
      <c r="C167" s="8" t="s">
        <v>358</v>
      </c>
      <c r="D167" s="8" t="s">
        <v>204</v>
      </c>
      <c r="E167" s="8" t="s">
        <v>300</v>
      </c>
      <c r="F167" s="8" t="s">
        <v>349</v>
      </c>
      <c r="G167" s="8" t="s">
        <v>313</v>
      </c>
      <c r="H167" s="8" t="s">
        <v>303</v>
      </c>
      <c r="I167" s="8"/>
      <c r="J167" s="21">
        <v>90</v>
      </c>
      <c r="K167" s="21">
        <v>70</v>
      </c>
      <c r="L167" s="8"/>
      <c r="M167" s="8"/>
      <c r="N167" s="8"/>
      <c r="O167" s="8"/>
      <c r="P167" s="8"/>
      <c r="Q167" s="7"/>
      <c r="R167" s="8" t="s">
        <v>817</v>
      </c>
      <c r="S167" s="8"/>
      <c r="T167" s="8"/>
      <c r="U167" s="8"/>
      <c r="V167" s="8" t="s">
        <v>305</v>
      </c>
      <c r="W167" s="8" t="s">
        <v>306</v>
      </c>
      <c r="X167" s="21">
        <v>0</v>
      </c>
      <c r="Y167" s="8" t="b">
        <v>0</v>
      </c>
      <c r="Z167" s="8" t="b">
        <v>0</v>
      </c>
      <c r="AA167" s="8"/>
      <c r="AB167" s="8" t="s">
        <v>218</v>
      </c>
      <c r="AC167" s="8" t="s">
        <v>360</v>
      </c>
      <c r="AD167" s="8" t="s">
        <v>360</v>
      </c>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c r="BU167" s="8"/>
      <c r="BV167" s="8"/>
      <c r="BW167" s="8"/>
      <c r="BX167" s="8"/>
      <c r="BY167" s="8"/>
      <c r="BZ167" s="8"/>
      <c r="CA167" s="8"/>
      <c r="CB167" s="8"/>
      <c r="CC167" s="8"/>
      <c r="CD167" s="8"/>
      <c r="CE167" s="8"/>
      <c r="CF167" s="8"/>
      <c r="CG167" s="8"/>
      <c r="CH167" s="8"/>
      <c r="CI167" s="8"/>
      <c r="CJ167" s="8"/>
      <c r="CK167" s="8"/>
      <c r="CL167" s="8"/>
      <c r="CM167" s="8"/>
      <c r="CN167" s="8"/>
      <c r="CO167" s="8"/>
      <c r="CP167" s="8"/>
      <c r="CQ167" s="8"/>
      <c r="CR167" s="8"/>
      <c r="CS167" s="8"/>
      <c r="CT167" s="8"/>
      <c r="CU167" s="8"/>
      <c r="CV167" s="8"/>
      <c r="CW167" s="8"/>
      <c r="CX167" s="8"/>
      <c r="CY167" s="8"/>
      <c r="CZ167" s="8"/>
      <c r="DA167" s="8"/>
      <c r="DB167" s="8"/>
      <c r="DC167" s="8"/>
      <c r="DD167" s="8"/>
    </row>
    <row r="168" spans="1:108" x14ac:dyDescent="0.25">
      <c r="A168" s="6" t="s">
        <v>689</v>
      </c>
      <c r="B168" s="10" t="s">
        <v>688</v>
      </c>
      <c r="C168" s="11" t="s">
        <v>361</v>
      </c>
      <c r="D168" s="11" t="s">
        <v>299</v>
      </c>
      <c r="E168" s="11" t="s">
        <v>300</v>
      </c>
      <c r="F168" s="11" t="s">
        <v>349</v>
      </c>
      <c r="G168" s="11" t="s">
        <v>313</v>
      </c>
      <c r="H168" s="11" t="s">
        <v>303</v>
      </c>
      <c r="I168" s="11"/>
      <c r="J168" s="20">
        <v>90</v>
      </c>
      <c r="K168" s="20">
        <v>70</v>
      </c>
      <c r="L168" s="11"/>
      <c r="M168" s="11"/>
      <c r="N168" s="11"/>
      <c r="O168" s="11"/>
      <c r="P168" s="11"/>
      <c r="Q168" s="10"/>
      <c r="R168" s="11" t="s">
        <v>818</v>
      </c>
      <c r="S168" s="11"/>
      <c r="T168" s="11"/>
      <c r="U168" s="11"/>
      <c r="V168" s="11" t="s">
        <v>305</v>
      </c>
      <c r="W168" s="11" t="s">
        <v>306</v>
      </c>
      <c r="X168" s="20">
        <v>0</v>
      </c>
      <c r="Y168" s="11" t="b">
        <v>0</v>
      </c>
      <c r="Z168" s="11" t="b">
        <v>0</v>
      </c>
      <c r="AA168" s="11"/>
      <c r="AB168" s="11" t="s">
        <v>218</v>
      </c>
      <c r="AC168" s="11" t="s">
        <v>363</v>
      </c>
      <c r="AD168" s="11" t="s">
        <v>363</v>
      </c>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c r="BC168" s="11"/>
      <c r="BD168" s="11"/>
      <c r="BE168" s="11"/>
      <c r="BF168" s="11"/>
      <c r="BG168" s="11"/>
      <c r="BH168" s="11"/>
      <c r="BI168" s="11"/>
      <c r="BJ168" s="11"/>
      <c r="BK168" s="11"/>
      <c r="BL168" s="11"/>
      <c r="BM168" s="11"/>
      <c r="BN168" s="11"/>
      <c r="BO168" s="11"/>
      <c r="BP168" s="11"/>
      <c r="BQ168" s="11"/>
      <c r="BR168" s="11"/>
      <c r="BS168" s="11"/>
      <c r="BT168" s="11"/>
      <c r="BU168" s="11"/>
      <c r="BV168" s="11"/>
      <c r="BW168" s="11"/>
      <c r="BX168" s="11"/>
      <c r="BY168" s="11"/>
      <c r="BZ168" s="11"/>
      <c r="CA168" s="11"/>
      <c r="CB168" s="11"/>
      <c r="CC168" s="11"/>
      <c r="CD168" s="11"/>
      <c r="CE168" s="11"/>
      <c r="CF168" s="11"/>
      <c r="CG168" s="11"/>
      <c r="CH168" s="11"/>
      <c r="CI168" s="11"/>
      <c r="CJ168" s="11"/>
      <c r="CK168" s="11"/>
      <c r="CL168" s="11"/>
      <c r="CM168" s="11"/>
      <c r="CN168" s="11"/>
      <c r="CO168" s="11"/>
      <c r="CP168" s="11"/>
      <c r="CQ168" s="11"/>
      <c r="CR168" s="11"/>
      <c r="CS168" s="11"/>
      <c r="CT168" s="11"/>
      <c r="CU168" s="11"/>
      <c r="CV168" s="11"/>
      <c r="CW168" s="11"/>
      <c r="CX168" s="11"/>
      <c r="CY168" s="11"/>
      <c r="CZ168" s="11"/>
      <c r="DA168" s="11"/>
      <c r="DB168" s="11"/>
      <c r="DC168" s="11"/>
      <c r="DD168" s="11"/>
    </row>
    <row r="169" spans="1:108" x14ac:dyDescent="0.25">
      <c r="A169" s="6" t="s">
        <v>689</v>
      </c>
      <c r="B169" s="7" t="s">
        <v>688</v>
      </c>
      <c r="C169" s="8" t="s">
        <v>361</v>
      </c>
      <c r="D169" s="8" t="s">
        <v>308</v>
      </c>
      <c r="E169" s="8" t="s">
        <v>300</v>
      </c>
      <c r="F169" s="8" t="s">
        <v>349</v>
      </c>
      <c r="G169" s="8" t="s">
        <v>313</v>
      </c>
      <c r="H169" s="8" t="s">
        <v>303</v>
      </c>
      <c r="I169" s="8"/>
      <c r="J169" s="21">
        <v>90</v>
      </c>
      <c r="K169" s="21">
        <v>70</v>
      </c>
      <c r="L169" s="8"/>
      <c r="M169" s="8"/>
      <c r="N169" s="8"/>
      <c r="O169" s="8"/>
      <c r="P169" s="8"/>
      <c r="Q169" s="7"/>
      <c r="R169" s="8" t="s">
        <v>818</v>
      </c>
      <c r="S169" s="8"/>
      <c r="T169" s="8"/>
      <c r="U169" s="8"/>
      <c r="V169" s="8" t="s">
        <v>305</v>
      </c>
      <c r="W169" s="8" t="s">
        <v>306</v>
      </c>
      <c r="X169" s="21">
        <v>0</v>
      </c>
      <c r="Y169" s="8" t="b">
        <v>0</v>
      </c>
      <c r="Z169" s="8" t="b">
        <v>0</v>
      </c>
      <c r="AA169" s="8"/>
      <c r="AB169" s="8" t="s">
        <v>218</v>
      </c>
      <c r="AC169" s="8" t="s">
        <v>363</v>
      </c>
      <c r="AD169" s="8" t="s">
        <v>363</v>
      </c>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c r="BU169" s="8"/>
      <c r="BV169" s="8"/>
      <c r="BW169" s="8"/>
      <c r="BX169" s="8"/>
      <c r="BY169" s="8"/>
      <c r="BZ169" s="8"/>
      <c r="CA169" s="8"/>
      <c r="CB169" s="8"/>
      <c r="CC169" s="8"/>
      <c r="CD169" s="8"/>
      <c r="CE169" s="8"/>
      <c r="CF169" s="8"/>
      <c r="CG169" s="8"/>
      <c r="CH169" s="8"/>
      <c r="CI169" s="8"/>
      <c r="CJ169" s="8"/>
      <c r="CK169" s="8"/>
      <c r="CL169" s="8"/>
      <c r="CM169" s="8"/>
      <c r="CN169" s="8"/>
      <c r="CO169" s="8"/>
      <c r="CP169" s="8"/>
      <c r="CQ169" s="8"/>
      <c r="CR169" s="8"/>
      <c r="CS169" s="8"/>
      <c r="CT169" s="8"/>
      <c r="CU169" s="8"/>
      <c r="CV169" s="8"/>
      <c r="CW169" s="8"/>
      <c r="CX169" s="8"/>
      <c r="CY169" s="8"/>
      <c r="CZ169" s="8"/>
      <c r="DA169" s="8"/>
      <c r="DB169" s="8"/>
      <c r="DC169" s="8"/>
      <c r="DD169" s="8"/>
    </row>
    <row r="170" spans="1:108" x14ac:dyDescent="0.25">
      <c r="A170" s="6" t="s">
        <v>689</v>
      </c>
      <c r="B170" s="10" t="s">
        <v>688</v>
      </c>
      <c r="C170" s="11" t="s">
        <v>361</v>
      </c>
      <c r="D170" s="11" t="s">
        <v>204</v>
      </c>
      <c r="E170" s="11" t="s">
        <v>300</v>
      </c>
      <c r="F170" s="11" t="s">
        <v>349</v>
      </c>
      <c r="G170" s="11" t="s">
        <v>313</v>
      </c>
      <c r="H170" s="11" t="s">
        <v>303</v>
      </c>
      <c r="I170" s="11"/>
      <c r="J170" s="20">
        <v>90</v>
      </c>
      <c r="K170" s="20">
        <v>70</v>
      </c>
      <c r="L170" s="11"/>
      <c r="M170" s="11"/>
      <c r="N170" s="11"/>
      <c r="O170" s="11"/>
      <c r="P170" s="11"/>
      <c r="Q170" s="10"/>
      <c r="R170" s="11" t="s">
        <v>818</v>
      </c>
      <c r="S170" s="11"/>
      <c r="T170" s="11"/>
      <c r="U170" s="11"/>
      <c r="V170" s="11" t="s">
        <v>305</v>
      </c>
      <c r="W170" s="11" t="s">
        <v>306</v>
      </c>
      <c r="X170" s="20">
        <v>0</v>
      </c>
      <c r="Y170" s="11" t="b">
        <v>0</v>
      </c>
      <c r="Z170" s="11" t="b">
        <v>0</v>
      </c>
      <c r="AA170" s="11"/>
      <c r="AB170" s="11" t="s">
        <v>218</v>
      </c>
      <c r="AC170" s="11" t="s">
        <v>363</v>
      </c>
      <c r="AD170" s="11" t="s">
        <v>363</v>
      </c>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c r="BD170" s="11"/>
      <c r="BE170" s="11"/>
      <c r="BF170" s="11"/>
      <c r="BG170" s="11"/>
      <c r="BH170" s="11"/>
      <c r="BI170" s="11"/>
      <c r="BJ170" s="11"/>
      <c r="BK170" s="11"/>
      <c r="BL170" s="11"/>
      <c r="BM170" s="11"/>
      <c r="BN170" s="11"/>
      <c r="BO170" s="11"/>
      <c r="BP170" s="11"/>
      <c r="BQ170" s="11"/>
      <c r="BR170" s="11"/>
      <c r="BS170" s="11"/>
      <c r="BT170" s="11"/>
      <c r="BU170" s="11"/>
      <c r="BV170" s="11"/>
      <c r="BW170" s="11"/>
      <c r="BX170" s="11"/>
      <c r="BY170" s="11"/>
      <c r="BZ170" s="11"/>
      <c r="CA170" s="11"/>
      <c r="CB170" s="11"/>
      <c r="CC170" s="11"/>
      <c r="CD170" s="11"/>
      <c r="CE170" s="11"/>
      <c r="CF170" s="11"/>
      <c r="CG170" s="11"/>
      <c r="CH170" s="11"/>
      <c r="CI170" s="11"/>
      <c r="CJ170" s="11"/>
      <c r="CK170" s="11"/>
      <c r="CL170" s="11"/>
      <c r="CM170" s="11"/>
      <c r="CN170" s="11"/>
      <c r="CO170" s="11"/>
      <c r="CP170" s="11"/>
      <c r="CQ170" s="11"/>
      <c r="CR170" s="11"/>
      <c r="CS170" s="11"/>
      <c r="CT170" s="11"/>
      <c r="CU170" s="11"/>
      <c r="CV170" s="11"/>
      <c r="CW170" s="11"/>
      <c r="CX170" s="11"/>
      <c r="CY170" s="11"/>
      <c r="CZ170" s="11"/>
      <c r="DA170" s="11"/>
      <c r="DB170" s="11"/>
      <c r="DC170" s="11"/>
      <c r="DD170" s="11"/>
    </row>
    <row r="171" spans="1:108" x14ac:dyDescent="0.25">
      <c r="A171" s="6" t="s">
        <v>689</v>
      </c>
      <c r="B171" s="7" t="s">
        <v>688</v>
      </c>
      <c r="C171" s="8" t="s">
        <v>364</v>
      </c>
      <c r="D171" s="8" t="s">
        <v>299</v>
      </c>
      <c r="E171" s="8" t="s">
        <v>300</v>
      </c>
      <c r="F171" s="8" t="s">
        <v>349</v>
      </c>
      <c r="G171" s="8" t="s">
        <v>313</v>
      </c>
      <c r="H171" s="8" t="s">
        <v>333</v>
      </c>
      <c r="I171" s="8"/>
      <c r="J171" s="21">
        <v>90</v>
      </c>
      <c r="K171" s="21">
        <v>70</v>
      </c>
      <c r="L171" s="8"/>
      <c r="M171" s="8"/>
      <c r="N171" s="8"/>
      <c r="O171" s="8"/>
      <c r="P171" s="8"/>
      <c r="Q171" s="7"/>
      <c r="R171" s="8" t="s">
        <v>819</v>
      </c>
      <c r="S171" s="8"/>
      <c r="T171" s="8"/>
      <c r="U171" s="8"/>
      <c r="V171" s="8" t="s">
        <v>305</v>
      </c>
      <c r="W171" s="8" t="s">
        <v>306</v>
      </c>
      <c r="X171" s="21">
        <v>0</v>
      </c>
      <c r="Y171" s="8" t="b">
        <v>0</v>
      </c>
      <c r="Z171" s="8" t="b">
        <v>0</v>
      </c>
      <c r="AA171" s="8"/>
      <c r="AB171" s="8" t="s">
        <v>218</v>
      </c>
      <c r="AC171" s="8" t="s">
        <v>366</v>
      </c>
      <c r="AD171" s="8" t="s">
        <v>366</v>
      </c>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c r="BU171" s="8"/>
      <c r="BV171" s="8"/>
      <c r="BW171" s="8"/>
      <c r="BX171" s="8"/>
      <c r="BY171" s="8"/>
      <c r="BZ171" s="8"/>
      <c r="CA171" s="8"/>
      <c r="CB171" s="8"/>
      <c r="CC171" s="8"/>
      <c r="CD171" s="8"/>
      <c r="CE171" s="8"/>
      <c r="CF171" s="8"/>
      <c r="CG171" s="8"/>
      <c r="CH171" s="8"/>
      <c r="CI171" s="8"/>
      <c r="CJ171" s="8"/>
      <c r="CK171" s="8"/>
      <c r="CL171" s="8"/>
      <c r="CM171" s="8"/>
      <c r="CN171" s="8"/>
      <c r="CO171" s="8"/>
      <c r="CP171" s="8"/>
      <c r="CQ171" s="8"/>
      <c r="CR171" s="8"/>
      <c r="CS171" s="8"/>
      <c r="CT171" s="8"/>
      <c r="CU171" s="8"/>
      <c r="CV171" s="8"/>
      <c r="CW171" s="8"/>
      <c r="CX171" s="8"/>
      <c r="CY171" s="8"/>
      <c r="CZ171" s="8"/>
      <c r="DA171" s="8"/>
      <c r="DB171" s="8"/>
      <c r="DC171" s="8"/>
      <c r="DD171" s="8"/>
    </row>
    <row r="172" spans="1:108" x14ac:dyDescent="0.25">
      <c r="A172" s="6" t="s">
        <v>689</v>
      </c>
      <c r="B172" s="10" t="s">
        <v>688</v>
      </c>
      <c r="C172" s="11" t="s">
        <v>364</v>
      </c>
      <c r="D172" s="11" t="s">
        <v>308</v>
      </c>
      <c r="E172" s="11" t="s">
        <v>300</v>
      </c>
      <c r="F172" s="11" t="s">
        <v>349</v>
      </c>
      <c r="G172" s="11" t="s">
        <v>313</v>
      </c>
      <c r="H172" s="11" t="s">
        <v>333</v>
      </c>
      <c r="I172" s="11"/>
      <c r="J172" s="20">
        <v>90</v>
      </c>
      <c r="K172" s="20">
        <v>70</v>
      </c>
      <c r="L172" s="11"/>
      <c r="M172" s="11"/>
      <c r="N172" s="11"/>
      <c r="O172" s="11"/>
      <c r="P172" s="11"/>
      <c r="Q172" s="10"/>
      <c r="R172" s="11" t="s">
        <v>819</v>
      </c>
      <c r="S172" s="11"/>
      <c r="T172" s="11"/>
      <c r="U172" s="11"/>
      <c r="V172" s="11" t="s">
        <v>305</v>
      </c>
      <c r="W172" s="11" t="s">
        <v>306</v>
      </c>
      <c r="X172" s="20">
        <v>0</v>
      </c>
      <c r="Y172" s="11" t="b">
        <v>0</v>
      </c>
      <c r="Z172" s="11" t="b">
        <v>0</v>
      </c>
      <c r="AA172" s="11"/>
      <c r="AB172" s="11" t="s">
        <v>218</v>
      </c>
      <c r="AC172" s="11" t="s">
        <v>366</v>
      </c>
      <c r="AD172" s="11" t="s">
        <v>366</v>
      </c>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c r="BC172" s="11"/>
      <c r="BD172" s="11"/>
      <c r="BE172" s="11"/>
      <c r="BF172" s="11"/>
      <c r="BG172" s="11"/>
      <c r="BH172" s="11"/>
      <c r="BI172" s="11"/>
      <c r="BJ172" s="11"/>
      <c r="BK172" s="11"/>
      <c r="BL172" s="11"/>
      <c r="BM172" s="11"/>
      <c r="BN172" s="11"/>
      <c r="BO172" s="11"/>
      <c r="BP172" s="11"/>
      <c r="BQ172" s="11"/>
      <c r="BR172" s="11"/>
      <c r="BS172" s="11"/>
      <c r="BT172" s="11"/>
      <c r="BU172" s="11"/>
      <c r="BV172" s="11"/>
      <c r="BW172" s="11"/>
      <c r="BX172" s="11"/>
      <c r="BY172" s="11"/>
      <c r="BZ172" s="11"/>
      <c r="CA172" s="11"/>
      <c r="CB172" s="11"/>
      <c r="CC172" s="11"/>
      <c r="CD172" s="11"/>
      <c r="CE172" s="11"/>
      <c r="CF172" s="11"/>
      <c r="CG172" s="11"/>
      <c r="CH172" s="11"/>
      <c r="CI172" s="11"/>
      <c r="CJ172" s="11"/>
      <c r="CK172" s="11"/>
      <c r="CL172" s="11"/>
      <c r="CM172" s="11"/>
      <c r="CN172" s="11"/>
      <c r="CO172" s="11"/>
      <c r="CP172" s="11"/>
      <c r="CQ172" s="11"/>
      <c r="CR172" s="11"/>
      <c r="CS172" s="11"/>
      <c r="CT172" s="11"/>
      <c r="CU172" s="11"/>
      <c r="CV172" s="11"/>
      <c r="CW172" s="11"/>
      <c r="CX172" s="11"/>
      <c r="CY172" s="11"/>
      <c r="CZ172" s="11"/>
      <c r="DA172" s="11"/>
      <c r="DB172" s="11"/>
      <c r="DC172" s="11"/>
      <c r="DD172" s="11"/>
    </row>
    <row r="173" spans="1:108" x14ac:dyDescent="0.25">
      <c r="A173" s="6" t="s">
        <v>689</v>
      </c>
      <c r="B173" s="7" t="s">
        <v>688</v>
      </c>
      <c r="C173" s="8" t="s">
        <v>364</v>
      </c>
      <c r="D173" s="8" t="s">
        <v>204</v>
      </c>
      <c r="E173" s="8" t="s">
        <v>300</v>
      </c>
      <c r="F173" s="8" t="s">
        <v>349</v>
      </c>
      <c r="G173" s="8" t="s">
        <v>313</v>
      </c>
      <c r="H173" s="8" t="s">
        <v>333</v>
      </c>
      <c r="I173" s="8"/>
      <c r="J173" s="21">
        <v>90</v>
      </c>
      <c r="K173" s="21">
        <v>70</v>
      </c>
      <c r="L173" s="8"/>
      <c r="M173" s="8"/>
      <c r="N173" s="8"/>
      <c r="O173" s="8"/>
      <c r="P173" s="8"/>
      <c r="Q173" s="7"/>
      <c r="R173" s="8" t="s">
        <v>819</v>
      </c>
      <c r="S173" s="8"/>
      <c r="T173" s="8"/>
      <c r="U173" s="8"/>
      <c r="V173" s="8" t="s">
        <v>305</v>
      </c>
      <c r="W173" s="8" t="s">
        <v>306</v>
      </c>
      <c r="X173" s="21">
        <v>0</v>
      </c>
      <c r="Y173" s="8" t="b">
        <v>0</v>
      </c>
      <c r="Z173" s="8" t="b">
        <v>0</v>
      </c>
      <c r="AA173" s="8"/>
      <c r="AB173" s="8" t="s">
        <v>218</v>
      </c>
      <c r="AC173" s="8" t="s">
        <v>366</v>
      </c>
      <c r="AD173" s="8" t="s">
        <v>366</v>
      </c>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c r="BU173" s="8"/>
      <c r="BV173" s="8"/>
      <c r="BW173" s="8"/>
      <c r="BX173" s="8"/>
      <c r="BY173" s="8"/>
      <c r="BZ173" s="8"/>
      <c r="CA173" s="8"/>
      <c r="CB173" s="8"/>
      <c r="CC173" s="8"/>
      <c r="CD173" s="8"/>
      <c r="CE173" s="8"/>
      <c r="CF173" s="8"/>
      <c r="CG173" s="8"/>
      <c r="CH173" s="8"/>
      <c r="CI173" s="8"/>
      <c r="CJ173" s="8"/>
      <c r="CK173" s="8"/>
      <c r="CL173" s="8"/>
      <c r="CM173" s="8"/>
      <c r="CN173" s="8"/>
      <c r="CO173" s="8"/>
      <c r="CP173" s="8"/>
      <c r="CQ173" s="8"/>
      <c r="CR173" s="8"/>
      <c r="CS173" s="8"/>
      <c r="CT173" s="8"/>
      <c r="CU173" s="8"/>
      <c r="CV173" s="8"/>
      <c r="CW173" s="8"/>
      <c r="CX173" s="8"/>
      <c r="CY173" s="8"/>
      <c r="CZ173" s="8"/>
      <c r="DA173" s="8"/>
      <c r="DB173" s="8"/>
      <c r="DC173" s="8"/>
      <c r="DD173" s="8"/>
    </row>
    <row r="174" spans="1:108" x14ac:dyDescent="0.25">
      <c r="A174" s="6" t="s">
        <v>693</v>
      </c>
      <c r="B174" s="10" t="s">
        <v>692</v>
      </c>
      <c r="C174" s="11" t="s">
        <v>348</v>
      </c>
      <c r="D174" s="11" t="s">
        <v>299</v>
      </c>
      <c r="E174" s="11" t="s">
        <v>300</v>
      </c>
      <c r="F174" s="11" t="s">
        <v>349</v>
      </c>
      <c r="G174" s="11" t="s">
        <v>313</v>
      </c>
      <c r="H174" s="11" t="s">
        <v>303</v>
      </c>
      <c r="I174" s="11"/>
      <c r="J174" s="20">
        <v>90</v>
      </c>
      <c r="K174" s="20">
        <v>70</v>
      </c>
      <c r="L174" s="11"/>
      <c r="M174" s="11"/>
      <c r="N174" s="11"/>
      <c r="O174" s="11"/>
      <c r="P174" s="11"/>
      <c r="Q174" s="10"/>
      <c r="R174" s="11" t="s">
        <v>820</v>
      </c>
      <c r="S174" s="11"/>
      <c r="T174" s="11"/>
      <c r="U174" s="11"/>
      <c r="V174" s="11" t="s">
        <v>305</v>
      </c>
      <c r="W174" s="11" t="s">
        <v>306</v>
      </c>
      <c r="X174" s="20">
        <v>0</v>
      </c>
      <c r="Y174" s="11" t="b">
        <v>0</v>
      </c>
      <c r="Z174" s="11" t="b">
        <v>0</v>
      </c>
      <c r="AA174" s="11"/>
      <c r="AB174" s="11" t="s">
        <v>218</v>
      </c>
      <c r="AC174" s="11" t="s">
        <v>351</v>
      </c>
      <c r="AD174" s="11" t="s">
        <v>351</v>
      </c>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c r="BC174" s="11"/>
      <c r="BD174" s="11"/>
      <c r="BE174" s="11"/>
      <c r="BF174" s="11"/>
      <c r="BG174" s="11"/>
      <c r="BH174" s="11"/>
      <c r="BI174" s="11"/>
      <c r="BJ174" s="11"/>
      <c r="BK174" s="11"/>
      <c r="BL174" s="11"/>
      <c r="BM174" s="11"/>
      <c r="BN174" s="11"/>
      <c r="BO174" s="11"/>
      <c r="BP174" s="11"/>
      <c r="BQ174" s="11"/>
      <c r="BR174" s="11"/>
      <c r="BS174" s="11"/>
      <c r="BT174" s="11"/>
      <c r="BU174" s="11"/>
      <c r="BV174" s="11"/>
      <c r="BW174" s="11"/>
      <c r="BX174" s="11"/>
      <c r="BY174" s="11"/>
      <c r="BZ174" s="11"/>
      <c r="CA174" s="11"/>
      <c r="CB174" s="11"/>
      <c r="CC174" s="11"/>
      <c r="CD174" s="11"/>
      <c r="CE174" s="11"/>
      <c r="CF174" s="11"/>
      <c r="CG174" s="11"/>
      <c r="CH174" s="11"/>
      <c r="CI174" s="11"/>
      <c r="CJ174" s="11"/>
      <c r="CK174" s="11"/>
      <c r="CL174" s="11"/>
      <c r="CM174" s="11"/>
      <c r="CN174" s="11"/>
      <c r="CO174" s="11"/>
      <c r="CP174" s="11"/>
      <c r="CQ174" s="11"/>
      <c r="CR174" s="11"/>
      <c r="CS174" s="11"/>
      <c r="CT174" s="11"/>
      <c r="CU174" s="11"/>
      <c r="CV174" s="11"/>
      <c r="CW174" s="11"/>
      <c r="CX174" s="11"/>
      <c r="CY174" s="11"/>
      <c r="CZ174" s="11"/>
      <c r="DA174" s="11"/>
      <c r="DB174" s="11"/>
      <c r="DC174" s="11"/>
      <c r="DD174" s="11"/>
    </row>
    <row r="175" spans="1:108" x14ac:dyDescent="0.25">
      <c r="A175" s="6" t="s">
        <v>693</v>
      </c>
      <c r="B175" s="7" t="s">
        <v>692</v>
      </c>
      <c r="C175" s="8" t="s">
        <v>348</v>
      </c>
      <c r="D175" s="8" t="s">
        <v>308</v>
      </c>
      <c r="E175" s="8" t="s">
        <v>300</v>
      </c>
      <c r="F175" s="8" t="s">
        <v>349</v>
      </c>
      <c r="G175" s="8" t="s">
        <v>313</v>
      </c>
      <c r="H175" s="8" t="s">
        <v>303</v>
      </c>
      <c r="I175" s="8"/>
      <c r="J175" s="21">
        <v>90</v>
      </c>
      <c r="K175" s="21">
        <v>70</v>
      </c>
      <c r="L175" s="8"/>
      <c r="M175" s="8"/>
      <c r="N175" s="8"/>
      <c r="O175" s="8"/>
      <c r="P175" s="8"/>
      <c r="Q175" s="7"/>
      <c r="R175" s="8" t="s">
        <v>820</v>
      </c>
      <c r="S175" s="8"/>
      <c r="T175" s="8"/>
      <c r="U175" s="8"/>
      <c r="V175" s="8" t="s">
        <v>305</v>
      </c>
      <c r="W175" s="8" t="s">
        <v>306</v>
      </c>
      <c r="X175" s="21">
        <v>0</v>
      </c>
      <c r="Y175" s="8" t="b">
        <v>0</v>
      </c>
      <c r="Z175" s="8" t="b">
        <v>0</v>
      </c>
      <c r="AA175" s="8"/>
      <c r="AB175" s="8" t="s">
        <v>218</v>
      </c>
      <c r="AC175" s="8" t="s">
        <v>351</v>
      </c>
      <c r="AD175" s="8" t="s">
        <v>351</v>
      </c>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c r="BU175" s="8"/>
      <c r="BV175" s="8"/>
      <c r="BW175" s="8"/>
      <c r="BX175" s="8"/>
      <c r="BY175" s="8"/>
      <c r="BZ175" s="8"/>
      <c r="CA175" s="8"/>
      <c r="CB175" s="8"/>
      <c r="CC175" s="8"/>
      <c r="CD175" s="8"/>
      <c r="CE175" s="8"/>
      <c r="CF175" s="8"/>
      <c r="CG175" s="8"/>
      <c r="CH175" s="8"/>
      <c r="CI175" s="8"/>
      <c r="CJ175" s="8"/>
      <c r="CK175" s="8"/>
      <c r="CL175" s="8"/>
      <c r="CM175" s="8"/>
      <c r="CN175" s="8"/>
      <c r="CO175" s="8"/>
      <c r="CP175" s="8"/>
      <c r="CQ175" s="8"/>
      <c r="CR175" s="8"/>
      <c r="CS175" s="8"/>
      <c r="CT175" s="8"/>
      <c r="CU175" s="8"/>
      <c r="CV175" s="8"/>
      <c r="CW175" s="8"/>
      <c r="CX175" s="8"/>
      <c r="CY175" s="8"/>
      <c r="CZ175" s="8"/>
      <c r="DA175" s="8"/>
      <c r="DB175" s="8"/>
      <c r="DC175" s="8"/>
      <c r="DD175" s="8"/>
    </row>
    <row r="176" spans="1:108" x14ac:dyDescent="0.25">
      <c r="A176" s="6" t="s">
        <v>693</v>
      </c>
      <c r="B176" s="10" t="s">
        <v>692</v>
      </c>
      <c r="C176" s="11" t="s">
        <v>348</v>
      </c>
      <c r="D176" s="11" t="s">
        <v>204</v>
      </c>
      <c r="E176" s="11" t="s">
        <v>300</v>
      </c>
      <c r="F176" s="11" t="s">
        <v>349</v>
      </c>
      <c r="G176" s="11" t="s">
        <v>313</v>
      </c>
      <c r="H176" s="11" t="s">
        <v>303</v>
      </c>
      <c r="I176" s="11"/>
      <c r="J176" s="20">
        <v>90</v>
      </c>
      <c r="K176" s="20">
        <v>70</v>
      </c>
      <c r="L176" s="11"/>
      <c r="M176" s="11"/>
      <c r="N176" s="11"/>
      <c r="O176" s="11"/>
      <c r="P176" s="11"/>
      <c r="Q176" s="10"/>
      <c r="R176" s="11" t="s">
        <v>820</v>
      </c>
      <c r="S176" s="11"/>
      <c r="T176" s="11"/>
      <c r="U176" s="11"/>
      <c r="V176" s="11" t="s">
        <v>305</v>
      </c>
      <c r="W176" s="11" t="s">
        <v>306</v>
      </c>
      <c r="X176" s="20">
        <v>0</v>
      </c>
      <c r="Y176" s="11" t="b">
        <v>0</v>
      </c>
      <c r="Z176" s="11" t="b">
        <v>0</v>
      </c>
      <c r="AA176" s="11"/>
      <c r="AB176" s="11" t="s">
        <v>218</v>
      </c>
      <c r="AC176" s="11" t="s">
        <v>351</v>
      </c>
      <c r="AD176" s="11" t="s">
        <v>351</v>
      </c>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11"/>
      <c r="BD176" s="11"/>
      <c r="BE176" s="11"/>
      <c r="BF176" s="11"/>
      <c r="BG176" s="11"/>
      <c r="BH176" s="11"/>
      <c r="BI176" s="11"/>
      <c r="BJ176" s="11"/>
      <c r="BK176" s="11"/>
      <c r="BL176" s="11"/>
      <c r="BM176" s="11"/>
      <c r="BN176" s="11"/>
      <c r="BO176" s="11"/>
      <c r="BP176" s="11"/>
      <c r="BQ176" s="11"/>
      <c r="BR176" s="11"/>
      <c r="BS176" s="11"/>
      <c r="BT176" s="11"/>
      <c r="BU176" s="11"/>
      <c r="BV176" s="11"/>
      <c r="BW176" s="11"/>
      <c r="BX176" s="11"/>
      <c r="BY176" s="11"/>
      <c r="BZ176" s="11"/>
      <c r="CA176" s="11"/>
      <c r="CB176" s="11"/>
      <c r="CC176" s="11"/>
      <c r="CD176" s="11"/>
      <c r="CE176" s="11"/>
      <c r="CF176" s="11"/>
      <c r="CG176" s="11"/>
      <c r="CH176" s="11"/>
      <c r="CI176" s="11"/>
      <c r="CJ176" s="11"/>
      <c r="CK176" s="11"/>
      <c r="CL176" s="11"/>
      <c r="CM176" s="11"/>
      <c r="CN176" s="11"/>
      <c r="CO176" s="11"/>
      <c r="CP176" s="11"/>
      <c r="CQ176" s="11"/>
      <c r="CR176" s="11"/>
      <c r="CS176" s="11"/>
      <c r="CT176" s="11"/>
      <c r="CU176" s="11"/>
      <c r="CV176" s="11"/>
      <c r="CW176" s="11"/>
      <c r="CX176" s="11"/>
      <c r="CY176" s="11"/>
      <c r="CZ176" s="11"/>
      <c r="DA176" s="11"/>
      <c r="DB176" s="11"/>
      <c r="DC176" s="11"/>
      <c r="DD176" s="11"/>
    </row>
    <row r="177" spans="1:108" x14ac:dyDescent="0.25">
      <c r="A177" s="6" t="s">
        <v>693</v>
      </c>
      <c r="B177" s="7" t="s">
        <v>692</v>
      </c>
      <c r="C177" s="8" t="s">
        <v>352</v>
      </c>
      <c r="D177" s="8" t="s">
        <v>299</v>
      </c>
      <c r="E177" s="8" t="s">
        <v>300</v>
      </c>
      <c r="F177" s="8" t="s">
        <v>349</v>
      </c>
      <c r="G177" s="8" t="s">
        <v>313</v>
      </c>
      <c r="H177" s="8" t="s">
        <v>333</v>
      </c>
      <c r="I177" s="8"/>
      <c r="J177" s="21">
        <v>90</v>
      </c>
      <c r="K177" s="21">
        <v>70</v>
      </c>
      <c r="L177" s="8"/>
      <c r="M177" s="8"/>
      <c r="N177" s="8"/>
      <c r="O177" s="8"/>
      <c r="P177" s="8"/>
      <c r="Q177" s="7"/>
      <c r="R177" s="25" t="s">
        <v>821</v>
      </c>
      <c r="S177" s="8"/>
      <c r="T177" s="8"/>
      <c r="U177" s="8"/>
      <c r="V177" s="8" t="s">
        <v>305</v>
      </c>
      <c r="W177" s="8" t="s">
        <v>306</v>
      </c>
      <c r="X177" s="21">
        <v>0</v>
      </c>
      <c r="Y177" s="8" t="b">
        <v>0</v>
      </c>
      <c r="Z177" s="8" t="b">
        <v>0</v>
      </c>
      <c r="AA177" s="8"/>
      <c r="AB177" s="8" t="s">
        <v>218</v>
      </c>
      <c r="AC177" s="8" t="s">
        <v>354</v>
      </c>
      <c r="AD177" s="8" t="s">
        <v>354</v>
      </c>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c r="BU177" s="8"/>
      <c r="BV177" s="8"/>
      <c r="BW177" s="8"/>
      <c r="BX177" s="8"/>
      <c r="BY177" s="8"/>
      <c r="BZ177" s="8"/>
      <c r="CA177" s="8"/>
      <c r="CB177" s="8"/>
      <c r="CC177" s="8"/>
      <c r="CD177" s="8"/>
      <c r="CE177" s="8"/>
      <c r="CF177" s="8"/>
      <c r="CG177" s="8"/>
      <c r="CH177" s="8"/>
      <c r="CI177" s="8"/>
      <c r="CJ177" s="8"/>
      <c r="CK177" s="8"/>
      <c r="CL177" s="8"/>
      <c r="CM177" s="8"/>
      <c r="CN177" s="8"/>
      <c r="CO177" s="8"/>
      <c r="CP177" s="8"/>
      <c r="CQ177" s="8"/>
      <c r="CR177" s="8"/>
      <c r="CS177" s="8"/>
      <c r="CT177" s="8"/>
      <c r="CU177" s="8"/>
      <c r="CV177" s="8"/>
      <c r="CW177" s="8"/>
      <c r="CX177" s="8"/>
      <c r="CY177" s="8"/>
      <c r="CZ177" s="8"/>
      <c r="DA177" s="8"/>
      <c r="DB177" s="8"/>
      <c r="DC177" s="8"/>
      <c r="DD177" s="8"/>
    </row>
    <row r="178" spans="1:108" x14ac:dyDescent="0.25">
      <c r="A178" s="6" t="s">
        <v>693</v>
      </c>
      <c r="B178" s="10" t="s">
        <v>692</v>
      </c>
      <c r="C178" s="11" t="s">
        <v>352</v>
      </c>
      <c r="D178" s="11" t="s">
        <v>308</v>
      </c>
      <c r="E178" s="11" t="s">
        <v>300</v>
      </c>
      <c r="F178" s="11" t="s">
        <v>349</v>
      </c>
      <c r="G178" s="11" t="s">
        <v>313</v>
      </c>
      <c r="H178" s="11" t="s">
        <v>333</v>
      </c>
      <c r="I178" s="11"/>
      <c r="J178" s="20">
        <v>90</v>
      </c>
      <c r="K178" s="20">
        <v>70</v>
      </c>
      <c r="L178" s="11"/>
      <c r="M178" s="11"/>
      <c r="N178" s="11"/>
      <c r="O178" s="11"/>
      <c r="P178" s="11"/>
      <c r="Q178" s="10"/>
      <c r="R178" s="26" t="s">
        <v>821</v>
      </c>
      <c r="S178" s="11"/>
      <c r="T178" s="11"/>
      <c r="U178" s="11"/>
      <c r="V178" s="11" t="s">
        <v>305</v>
      </c>
      <c r="W178" s="11" t="s">
        <v>306</v>
      </c>
      <c r="X178" s="20">
        <v>0</v>
      </c>
      <c r="Y178" s="11" t="b">
        <v>0</v>
      </c>
      <c r="Z178" s="11" t="b">
        <v>0</v>
      </c>
      <c r="AA178" s="11"/>
      <c r="AB178" s="11" t="s">
        <v>218</v>
      </c>
      <c r="AC178" s="11" t="s">
        <v>354</v>
      </c>
      <c r="AD178" s="11" t="s">
        <v>354</v>
      </c>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c r="BD178" s="11"/>
      <c r="BE178" s="11"/>
      <c r="BF178" s="11"/>
      <c r="BG178" s="11"/>
      <c r="BH178" s="11"/>
      <c r="BI178" s="11"/>
      <c r="BJ178" s="11"/>
      <c r="BK178" s="11"/>
      <c r="BL178" s="11"/>
      <c r="BM178" s="11"/>
      <c r="BN178" s="11"/>
      <c r="BO178" s="11"/>
      <c r="BP178" s="11"/>
      <c r="BQ178" s="11"/>
      <c r="BR178" s="11"/>
      <c r="BS178" s="11"/>
      <c r="BT178" s="11"/>
      <c r="BU178" s="11"/>
      <c r="BV178" s="11"/>
      <c r="BW178" s="11"/>
      <c r="BX178" s="11"/>
      <c r="BY178" s="11"/>
      <c r="BZ178" s="11"/>
      <c r="CA178" s="11"/>
      <c r="CB178" s="11"/>
      <c r="CC178" s="11"/>
      <c r="CD178" s="11"/>
      <c r="CE178" s="11"/>
      <c r="CF178" s="11"/>
      <c r="CG178" s="11"/>
      <c r="CH178" s="11"/>
      <c r="CI178" s="11"/>
      <c r="CJ178" s="11"/>
      <c r="CK178" s="11"/>
      <c r="CL178" s="11"/>
      <c r="CM178" s="11"/>
      <c r="CN178" s="11"/>
      <c r="CO178" s="11"/>
      <c r="CP178" s="11"/>
      <c r="CQ178" s="11"/>
      <c r="CR178" s="11"/>
      <c r="CS178" s="11"/>
      <c r="CT178" s="11"/>
      <c r="CU178" s="11"/>
      <c r="CV178" s="11"/>
      <c r="CW178" s="11"/>
      <c r="CX178" s="11"/>
      <c r="CY178" s="11"/>
      <c r="CZ178" s="11"/>
      <c r="DA178" s="11"/>
      <c r="DB178" s="11"/>
      <c r="DC178" s="11"/>
      <c r="DD178" s="11"/>
    </row>
    <row r="179" spans="1:108" x14ac:dyDescent="0.25">
      <c r="A179" s="6" t="s">
        <v>693</v>
      </c>
      <c r="B179" s="7" t="s">
        <v>692</v>
      </c>
      <c r="C179" s="8" t="s">
        <v>352</v>
      </c>
      <c r="D179" s="8" t="s">
        <v>204</v>
      </c>
      <c r="E179" s="8" t="s">
        <v>300</v>
      </c>
      <c r="F179" s="8" t="s">
        <v>349</v>
      </c>
      <c r="G179" s="8" t="s">
        <v>313</v>
      </c>
      <c r="H179" s="8" t="s">
        <v>333</v>
      </c>
      <c r="I179" s="8"/>
      <c r="J179" s="21">
        <v>90</v>
      </c>
      <c r="K179" s="21">
        <v>70</v>
      </c>
      <c r="L179" s="8"/>
      <c r="M179" s="8"/>
      <c r="N179" s="8"/>
      <c r="O179" s="8"/>
      <c r="P179" s="8"/>
      <c r="Q179" s="7"/>
      <c r="R179" s="25" t="s">
        <v>821</v>
      </c>
      <c r="S179" s="8"/>
      <c r="T179" s="8"/>
      <c r="U179" s="8"/>
      <c r="V179" s="8" t="s">
        <v>305</v>
      </c>
      <c r="W179" s="8" t="s">
        <v>306</v>
      </c>
      <c r="X179" s="21">
        <v>0</v>
      </c>
      <c r="Y179" s="8" t="b">
        <v>0</v>
      </c>
      <c r="Z179" s="8" t="b">
        <v>0</v>
      </c>
      <c r="AA179" s="8"/>
      <c r="AB179" s="8" t="s">
        <v>218</v>
      </c>
      <c r="AC179" s="8" t="s">
        <v>354</v>
      </c>
      <c r="AD179" s="8" t="s">
        <v>354</v>
      </c>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c r="BU179" s="8"/>
      <c r="BV179" s="8"/>
      <c r="BW179" s="8"/>
      <c r="BX179" s="8"/>
      <c r="BY179" s="8"/>
      <c r="BZ179" s="8"/>
      <c r="CA179" s="8"/>
      <c r="CB179" s="8"/>
      <c r="CC179" s="8"/>
      <c r="CD179" s="8"/>
      <c r="CE179" s="8"/>
      <c r="CF179" s="8"/>
      <c r="CG179" s="8"/>
      <c r="CH179" s="8"/>
      <c r="CI179" s="8"/>
      <c r="CJ179" s="8"/>
      <c r="CK179" s="8"/>
      <c r="CL179" s="8"/>
      <c r="CM179" s="8"/>
      <c r="CN179" s="8"/>
      <c r="CO179" s="8"/>
      <c r="CP179" s="8"/>
      <c r="CQ179" s="8"/>
      <c r="CR179" s="8"/>
      <c r="CS179" s="8"/>
      <c r="CT179" s="8"/>
      <c r="CU179" s="8"/>
      <c r="CV179" s="8"/>
      <c r="CW179" s="8"/>
      <c r="CX179" s="8"/>
      <c r="CY179" s="8"/>
      <c r="CZ179" s="8"/>
      <c r="DA179" s="8"/>
      <c r="DB179" s="8"/>
      <c r="DC179" s="8"/>
      <c r="DD179" s="8"/>
    </row>
    <row r="180" spans="1:108" x14ac:dyDescent="0.25">
      <c r="A180" s="6" t="s">
        <v>693</v>
      </c>
      <c r="B180" s="10" t="s">
        <v>692</v>
      </c>
      <c r="C180" s="11" t="s">
        <v>355</v>
      </c>
      <c r="D180" s="11" t="s">
        <v>299</v>
      </c>
      <c r="E180" s="11" t="s">
        <v>300</v>
      </c>
      <c r="F180" s="11" t="s">
        <v>349</v>
      </c>
      <c r="G180" s="11" t="s">
        <v>313</v>
      </c>
      <c r="H180" s="11" t="s">
        <v>303</v>
      </c>
      <c r="I180" s="11"/>
      <c r="J180" s="20">
        <v>90</v>
      </c>
      <c r="K180" s="20">
        <v>70</v>
      </c>
      <c r="L180" s="11"/>
      <c r="M180" s="11"/>
      <c r="N180" s="11"/>
      <c r="O180" s="11"/>
      <c r="P180" s="11"/>
      <c r="Q180" s="10"/>
      <c r="R180" s="11" t="s">
        <v>822</v>
      </c>
      <c r="S180" s="11"/>
      <c r="T180" s="11"/>
      <c r="U180" s="11"/>
      <c r="V180" s="11" t="s">
        <v>305</v>
      </c>
      <c r="W180" s="11" t="s">
        <v>306</v>
      </c>
      <c r="X180" s="20">
        <v>0</v>
      </c>
      <c r="Y180" s="11" t="b">
        <v>0</v>
      </c>
      <c r="Z180" s="11" t="b">
        <v>0</v>
      </c>
      <c r="AA180" s="11"/>
      <c r="AB180" s="11" t="s">
        <v>218</v>
      </c>
      <c r="AC180" s="11" t="s">
        <v>357</v>
      </c>
      <c r="AD180" s="11" t="s">
        <v>357</v>
      </c>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c r="BD180" s="11"/>
      <c r="BE180" s="11"/>
      <c r="BF180" s="11"/>
      <c r="BG180" s="11"/>
      <c r="BH180" s="11"/>
      <c r="BI180" s="11"/>
      <c r="BJ180" s="11"/>
      <c r="BK180" s="11"/>
      <c r="BL180" s="11"/>
      <c r="BM180" s="11"/>
      <c r="BN180" s="11"/>
      <c r="BO180" s="11"/>
      <c r="BP180" s="11"/>
      <c r="BQ180" s="11"/>
      <c r="BR180" s="11"/>
      <c r="BS180" s="11"/>
      <c r="BT180" s="11"/>
      <c r="BU180" s="11"/>
      <c r="BV180" s="11"/>
      <c r="BW180" s="11"/>
      <c r="BX180" s="11"/>
      <c r="BY180" s="11"/>
      <c r="BZ180" s="11"/>
      <c r="CA180" s="11"/>
      <c r="CB180" s="11"/>
      <c r="CC180" s="11"/>
      <c r="CD180" s="11"/>
      <c r="CE180" s="11"/>
      <c r="CF180" s="11"/>
      <c r="CG180" s="11"/>
      <c r="CH180" s="11"/>
      <c r="CI180" s="11"/>
      <c r="CJ180" s="11"/>
      <c r="CK180" s="11"/>
      <c r="CL180" s="11"/>
      <c r="CM180" s="11"/>
      <c r="CN180" s="11"/>
      <c r="CO180" s="11"/>
      <c r="CP180" s="11"/>
      <c r="CQ180" s="11"/>
      <c r="CR180" s="11"/>
      <c r="CS180" s="11"/>
      <c r="CT180" s="11"/>
      <c r="CU180" s="11"/>
      <c r="CV180" s="11"/>
      <c r="CW180" s="11"/>
      <c r="CX180" s="11"/>
      <c r="CY180" s="11"/>
      <c r="CZ180" s="11"/>
      <c r="DA180" s="11"/>
      <c r="DB180" s="11"/>
      <c r="DC180" s="11"/>
      <c r="DD180" s="11"/>
    </row>
    <row r="181" spans="1:108" x14ac:dyDescent="0.25">
      <c r="A181" s="6" t="s">
        <v>693</v>
      </c>
      <c r="B181" s="7" t="s">
        <v>692</v>
      </c>
      <c r="C181" s="8" t="s">
        <v>355</v>
      </c>
      <c r="D181" s="8" t="s">
        <v>308</v>
      </c>
      <c r="E181" s="8" t="s">
        <v>300</v>
      </c>
      <c r="F181" s="8" t="s">
        <v>349</v>
      </c>
      <c r="G181" s="8" t="s">
        <v>313</v>
      </c>
      <c r="H181" s="8" t="s">
        <v>303</v>
      </c>
      <c r="I181" s="8"/>
      <c r="J181" s="21">
        <v>90</v>
      </c>
      <c r="K181" s="21">
        <v>70</v>
      </c>
      <c r="L181" s="8"/>
      <c r="M181" s="8"/>
      <c r="N181" s="8"/>
      <c r="O181" s="8"/>
      <c r="P181" s="8"/>
      <c r="Q181" s="7"/>
      <c r="R181" s="8" t="s">
        <v>822</v>
      </c>
      <c r="S181" s="8"/>
      <c r="T181" s="8"/>
      <c r="U181" s="8"/>
      <c r="V181" s="8" t="s">
        <v>305</v>
      </c>
      <c r="W181" s="8" t="s">
        <v>306</v>
      </c>
      <c r="X181" s="21">
        <v>0</v>
      </c>
      <c r="Y181" s="8" t="b">
        <v>0</v>
      </c>
      <c r="Z181" s="8" t="b">
        <v>0</v>
      </c>
      <c r="AA181" s="8"/>
      <c r="AB181" s="8" t="s">
        <v>218</v>
      </c>
      <c r="AC181" s="8" t="s">
        <v>357</v>
      </c>
      <c r="AD181" s="8" t="s">
        <v>357</v>
      </c>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c r="BU181" s="8"/>
      <c r="BV181" s="8"/>
      <c r="BW181" s="8"/>
      <c r="BX181" s="8"/>
      <c r="BY181" s="8"/>
      <c r="BZ181" s="8"/>
      <c r="CA181" s="8"/>
      <c r="CB181" s="8"/>
      <c r="CC181" s="8"/>
      <c r="CD181" s="8"/>
      <c r="CE181" s="8"/>
      <c r="CF181" s="8"/>
      <c r="CG181" s="8"/>
      <c r="CH181" s="8"/>
      <c r="CI181" s="8"/>
      <c r="CJ181" s="8"/>
      <c r="CK181" s="8"/>
      <c r="CL181" s="8"/>
      <c r="CM181" s="8"/>
      <c r="CN181" s="8"/>
      <c r="CO181" s="8"/>
      <c r="CP181" s="8"/>
      <c r="CQ181" s="8"/>
      <c r="CR181" s="8"/>
      <c r="CS181" s="8"/>
      <c r="CT181" s="8"/>
      <c r="CU181" s="8"/>
      <c r="CV181" s="8"/>
      <c r="CW181" s="8"/>
      <c r="CX181" s="8"/>
      <c r="CY181" s="8"/>
      <c r="CZ181" s="8"/>
      <c r="DA181" s="8"/>
      <c r="DB181" s="8"/>
      <c r="DC181" s="8"/>
      <c r="DD181" s="8"/>
    </row>
    <row r="182" spans="1:108" x14ac:dyDescent="0.25">
      <c r="A182" s="6" t="s">
        <v>693</v>
      </c>
      <c r="B182" s="10" t="s">
        <v>692</v>
      </c>
      <c r="C182" s="11" t="s">
        <v>355</v>
      </c>
      <c r="D182" s="11" t="s">
        <v>204</v>
      </c>
      <c r="E182" s="11" t="s">
        <v>300</v>
      </c>
      <c r="F182" s="11" t="s">
        <v>349</v>
      </c>
      <c r="G182" s="11" t="s">
        <v>313</v>
      </c>
      <c r="H182" s="11" t="s">
        <v>303</v>
      </c>
      <c r="I182" s="11"/>
      <c r="J182" s="20">
        <v>90</v>
      </c>
      <c r="K182" s="20">
        <v>70</v>
      </c>
      <c r="L182" s="11"/>
      <c r="M182" s="11"/>
      <c r="N182" s="11"/>
      <c r="O182" s="11"/>
      <c r="P182" s="11"/>
      <c r="Q182" s="10"/>
      <c r="R182" s="11" t="s">
        <v>822</v>
      </c>
      <c r="S182" s="11"/>
      <c r="T182" s="11"/>
      <c r="U182" s="11"/>
      <c r="V182" s="11" t="s">
        <v>305</v>
      </c>
      <c r="W182" s="11" t="s">
        <v>306</v>
      </c>
      <c r="X182" s="20">
        <v>0</v>
      </c>
      <c r="Y182" s="11" t="b">
        <v>0</v>
      </c>
      <c r="Z182" s="11" t="b">
        <v>0</v>
      </c>
      <c r="AA182" s="11"/>
      <c r="AB182" s="11" t="s">
        <v>218</v>
      </c>
      <c r="AC182" s="11" t="s">
        <v>357</v>
      </c>
      <c r="AD182" s="11" t="s">
        <v>357</v>
      </c>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c r="BD182" s="11"/>
      <c r="BE182" s="11"/>
      <c r="BF182" s="11"/>
      <c r="BG182" s="11"/>
      <c r="BH182" s="11"/>
      <c r="BI182" s="11"/>
      <c r="BJ182" s="11"/>
      <c r="BK182" s="11"/>
      <c r="BL182" s="11"/>
      <c r="BM182" s="11"/>
      <c r="BN182" s="11"/>
      <c r="BO182" s="11"/>
      <c r="BP182" s="11"/>
      <c r="BQ182" s="11"/>
      <c r="BR182" s="11"/>
      <c r="BS182" s="11"/>
      <c r="BT182" s="11"/>
      <c r="BU182" s="11"/>
      <c r="BV182" s="11"/>
      <c r="BW182" s="11"/>
      <c r="BX182" s="11"/>
      <c r="BY182" s="11"/>
      <c r="BZ182" s="11"/>
      <c r="CA182" s="11"/>
      <c r="CB182" s="11"/>
      <c r="CC182" s="11"/>
      <c r="CD182" s="11"/>
      <c r="CE182" s="11"/>
      <c r="CF182" s="11"/>
      <c r="CG182" s="11"/>
      <c r="CH182" s="11"/>
      <c r="CI182" s="11"/>
      <c r="CJ182" s="11"/>
      <c r="CK182" s="11"/>
      <c r="CL182" s="11"/>
      <c r="CM182" s="11"/>
      <c r="CN182" s="11"/>
      <c r="CO182" s="11"/>
      <c r="CP182" s="11"/>
      <c r="CQ182" s="11"/>
      <c r="CR182" s="11"/>
      <c r="CS182" s="11"/>
      <c r="CT182" s="11"/>
      <c r="CU182" s="11"/>
      <c r="CV182" s="11"/>
      <c r="CW182" s="11"/>
      <c r="CX182" s="11"/>
      <c r="CY182" s="11"/>
      <c r="CZ182" s="11"/>
      <c r="DA182" s="11"/>
      <c r="DB182" s="11"/>
      <c r="DC182" s="11"/>
      <c r="DD182" s="11"/>
    </row>
    <row r="183" spans="1:108" x14ac:dyDescent="0.25">
      <c r="A183" s="6" t="s">
        <v>696</v>
      </c>
      <c r="B183" s="10" t="s">
        <v>695</v>
      </c>
      <c r="C183" s="11" t="s">
        <v>309</v>
      </c>
      <c r="D183" s="11" t="s">
        <v>299</v>
      </c>
      <c r="E183" s="11" t="s">
        <v>300</v>
      </c>
      <c r="F183" s="11" t="s">
        <v>301</v>
      </c>
      <c r="G183" s="11" t="s">
        <v>302</v>
      </c>
      <c r="H183" s="11" t="s">
        <v>303</v>
      </c>
      <c r="I183" s="11" t="s">
        <v>300</v>
      </c>
      <c r="J183" s="20">
        <v>90</v>
      </c>
      <c r="K183" s="20">
        <v>70</v>
      </c>
      <c r="L183" s="11"/>
      <c r="M183" s="11"/>
      <c r="N183" s="11"/>
      <c r="O183" s="11"/>
      <c r="P183" s="11"/>
      <c r="Q183" s="10" t="s">
        <v>310</v>
      </c>
      <c r="R183" s="11" t="s">
        <v>823</v>
      </c>
      <c r="S183" s="11"/>
      <c r="T183" s="11"/>
      <c r="U183" s="11"/>
      <c r="V183" s="11" t="s">
        <v>305</v>
      </c>
      <c r="W183" s="11" t="s">
        <v>306</v>
      </c>
      <c r="X183" s="20">
        <v>0</v>
      </c>
      <c r="Y183" s="11" t="b">
        <v>0</v>
      </c>
      <c r="Z183" s="11" t="b">
        <v>0</v>
      </c>
      <c r="AA183" s="11"/>
      <c r="AB183" s="11" t="s">
        <v>218</v>
      </c>
      <c r="AC183" s="11" t="s">
        <v>322</v>
      </c>
      <c r="AD183" s="11" t="s">
        <v>322</v>
      </c>
      <c r="AE183" s="20">
        <v>5</v>
      </c>
      <c r="AF183" s="20">
        <v>10</v>
      </c>
      <c r="AG183" s="20">
        <v>10</v>
      </c>
      <c r="AH183" s="20">
        <v>10</v>
      </c>
      <c r="AI183" s="20">
        <v>10</v>
      </c>
      <c r="AJ183" s="11"/>
      <c r="AK183" s="11"/>
      <c r="AL183" s="11"/>
      <c r="AM183" s="11"/>
      <c r="AN183" s="11"/>
      <c r="AO183" s="11"/>
      <c r="AP183" s="11"/>
      <c r="AQ183" s="11"/>
      <c r="AR183" s="11"/>
      <c r="AS183" s="11"/>
      <c r="AT183" s="11"/>
      <c r="AU183" s="20">
        <v>5</v>
      </c>
      <c r="AV183" s="11"/>
      <c r="AW183" s="11"/>
      <c r="AX183" s="11"/>
      <c r="AY183" s="11"/>
      <c r="AZ183" s="11"/>
      <c r="BA183" s="11"/>
      <c r="BB183" s="11"/>
      <c r="BC183" s="11"/>
      <c r="BD183" s="11"/>
      <c r="BE183" s="11"/>
      <c r="BF183" s="11"/>
      <c r="BG183" s="20">
        <v>10</v>
      </c>
      <c r="BH183" s="11"/>
      <c r="BI183" s="11"/>
      <c r="BJ183" s="11"/>
      <c r="BK183" s="11"/>
      <c r="BL183" s="11"/>
      <c r="BM183" s="11"/>
      <c r="BN183" s="11"/>
      <c r="BO183" s="11"/>
      <c r="BP183" s="11"/>
      <c r="BQ183" s="11"/>
      <c r="BR183" s="11"/>
      <c r="BS183" s="20">
        <v>10</v>
      </c>
      <c r="BT183" s="11"/>
      <c r="BU183" s="11"/>
      <c r="BV183" s="11"/>
      <c r="BW183" s="11"/>
      <c r="BX183" s="11"/>
      <c r="BY183" s="11"/>
      <c r="BZ183" s="11"/>
      <c r="CA183" s="11"/>
      <c r="CB183" s="11"/>
      <c r="CC183" s="11"/>
      <c r="CD183" s="11"/>
      <c r="CE183" s="20">
        <v>10</v>
      </c>
      <c r="CF183" s="11"/>
      <c r="CG183" s="11"/>
      <c r="CH183" s="11"/>
      <c r="CI183" s="11"/>
      <c r="CJ183" s="11"/>
      <c r="CK183" s="11"/>
      <c r="CL183" s="11"/>
      <c r="CM183" s="11"/>
      <c r="CN183" s="11"/>
      <c r="CO183" s="11"/>
      <c r="CP183" s="11"/>
      <c r="CQ183" s="20">
        <v>10</v>
      </c>
      <c r="CR183" s="11"/>
      <c r="CS183" s="11"/>
      <c r="CT183" s="11"/>
      <c r="CU183" s="11"/>
      <c r="CV183" s="11"/>
      <c r="CW183" s="11"/>
      <c r="CX183" s="11"/>
      <c r="CY183" s="11"/>
      <c r="CZ183" s="11"/>
      <c r="DA183" s="11"/>
      <c r="DB183" s="11"/>
      <c r="DC183" s="11"/>
      <c r="DD183" s="11"/>
    </row>
    <row r="184" spans="1:108" x14ac:dyDescent="0.25">
      <c r="A184" s="6" t="s">
        <v>696</v>
      </c>
      <c r="B184" s="7" t="s">
        <v>695</v>
      </c>
      <c r="C184" s="8" t="s">
        <v>309</v>
      </c>
      <c r="D184" s="8" t="s">
        <v>308</v>
      </c>
      <c r="E184" s="8" t="s">
        <v>300</v>
      </c>
      <c r="F184" s="8" t="s">
        <v>301</v>
      </c>
      <c r="G184" s="8" t="s">
        <v>302</v>
      </c>
      <c r="H184" s="8" t="s">
        <v>303</v>
      </c>
      <c r="I184" s="8" t="s">
        <v>300</v>
      </c>
      <c r="J184" s="21">
        <v>90</v>
      </c>
      <c r="K184" s="21">
        <v>70</v>
      </c>
      <c r="L184" s="8"/>
      <c r="M184" s="8"/>
      <c r="N184" s="8"/>
      <c r="O184" s="8"/>
      <c r="P184" s="8"/>
      <c r="Q184" s="7" t="s">
        <v>310</v>
      </c>
      <c r="R184" s="8" t="s">
        <v>823</v>
      </c>
      <c r="S184" s="8"/>
      <c r="T184" s="8"/>
      <c r="U184" s="8"/>
      <c r="V184" s="8" t="s">
        <v>305</v>
      </c>
      <c r="W184" s="8" t="s">
        <v>306</v>
      </c>
      <c r="X184" s="21">
        <v>0</v>
      </c>
      <c r="Y184" s="8" t="b">
        <v>0</v>
      </c>
      <c r="Z184" s="8" t="b">
        <v>0</v>
      </c>
      <c r="AA184" s="8"/>
      <c r="AB184" s="8" t="s">
        <v>218</v>
      </c>
      <c r="AC184" s="8" t="s">
        <v>322</v>
      </c>
      <c r="AD184" s="8" t="s">
        <v>322</v>
      </c>
      <c r="AE184" s="21">
        <v>10</v>
      </c>
      <c r="AF184" s="21">
        <v>15</v>
      </c>
      <c r="AG184" s="21">
        <v>15</v>
      </c>
      <c r="AH184" s="21">
        <v>15</v>
      </c>
      <c r="AI184" s="21">
        <v>15</v>
      </c>
      <c r="AJ184" s="8"/>
      <c r="AK184" s="8"/>
      <c r="AL184" s="8"/>
      <c r="AM184" s="8"/>
      <c r="AN184" s="8"/>
      <c r="AO184" s="8"/>
      <c r="AP184" s="8"/>
      <c r="AQ184" s="8"/>
      <c r="AR184" s="8"/>
      <c r="AS184" s="8"/>
      <c r="AT184" s="8"/>
      <c r="AU184" s="21">
        <v>10</v>
      </c>
      <c r="AV184" s="8"/>
      <c r="AW184" s="8"/>
      <c r="AX184" s="8"/>
      <c r="AY184" s="8"/>
      <c r="AZ184" s="8"/>
      <c r="BA184" s="8"/>
      <c r="BB184" s="8"/>
      <c r="BC184" s="8"/>
      <c r="BD184" s="8"/>
      <c r="BE184" s="8"/>
      <c r="BF184" s="8"/>
      <c r="BG184" s="21">
        <v>15</v>
      </c>
      <c r="BH184" s="8"/>
      <c r="BI184" s="8"/>
      <c r="BJ184" s="8"/>
      <c r="BK184" s="8"/>
      <c r="BL184" s="8"/>
      <c r="BM184" s="8"/>
      <c r="BN184" s="8"/>
      <c r="BO184" s="8"/>
      <c r="BP184" s="8"/>
      <c r="BQ184" s="8"/>
      <c r="BR184" s="8"/>
      <c r="BS184" s="21">
        <v>15</v>
      </c>
      <c r="BT184" s="8"/>
      <c r="BU184" s="8"/>
      <c r="BV184" s="8"/>
      <c r="BW184" s="8"/>
      <c r="BX184" s="8"/>
      <c r="BY184" s="8"/>
      <c r="BZ184" s="8"/>
      <c r="CA184" s="8"/>
      <c r="CB184" s="8"/>
      <c r="CC184" s="8"/>
      <c r="CD184" s="8"/>
      <c r="CE184" s="21">
        <v>15</v>
      </c>
      <c r="CF184" s="8"/>
      <c r="CG184" s="8"/>
      <c r="CH184" s="8"/>
      <c r="CI184" s="8"/>
      <c r="CJ184" s="8"/>
      <c r="CK184" s="8"/>
      <c r="CL184" s="8"/>
      <c r="CM184" s="8"/>
      <c r="CN184" s="8"/>
      <c r="CO184" s="8"/>
      <c r="CP184" s="8"/>
      <c r="CQ184" s="21">
        <v>15</v>
      </c>
      <c r="CR184" s="8"/>
      <c r="CS184" s="8"/>
      <c r="CT184" s="8"/>
      <c r="CU184" s="8"/>
      <c r="CV184" s="8"/>
      <c r="CW184" s="8"/>
      <c r="CX184" s="8"/>
      <c r="CY184" s="8"/>
      <c r="CZ184" s="8"/>
      <c r="DA184" s="8"/>
      <c r="DB184" s="8"/>
      <c r="DC184" s="8"/>
      <c r="DD184" s="8"/>
    </row>
    <row r="185" spans="1:108" x14ac:dyDescent="0.25">
      <c r="A185" s="6" t="s">
        <v>696</v>
      </c>
      <c r="B185" s="10" t="s">
        <v>695</v>
      </c>
      <c r="C185" s="11" t="s">
        <v>309</v>
      </c>
      <c r="D185" s="11" t="s">
        <v>204</v>
      </c>
      <c r="E185" s="11" t="s">
        <v>300</v>
      </c>
      <c r="F185" s="11" t="s">
        <v>301</v>
      </c>
      <c r="G185" s="11" t="s">
        <v>302</v>
      </c>
      <c r="H185" s="11" t="s">
        <v>303</v>
      </c>
      <c r="I185" s="11" t="s">
        <v>300</v>
      </c>
      <c r="J185" s="20">
        <v>90</v>
      </c>
      <c r="K185" s="20">
        <v>70</v>
      </c>
      <c r="L185" s="11"/>
      <c r="M185" s="11"/>
      <c r="N185" s="11"/>
      <c r="O185" s="11"/>
      <c r="P185" s="11"/>
      <c r="Q185" s="10" t="s">
        <v>310</v>
      </c>
      <c r="R185" s="11" t="s">
        <v>823</v>
      </c>
      <c r="S185" s="11"/>
      <c r="T185" s="11"/>
      <c r="U185" s="11"/>
      <c r="V185" s="11" t="s">
        <v>305</v>
      </c>
      <c r="W185" s="11" t="s">
        <v>306</v>
      </c>
      <c r="X185" s="20">
        <v>0</v>
      </c>
      <c r="Y185" s="11" t="b">
        <v>0</v>
      </c>
      <c r="Z185" s="11" t="b">
        <v>0</v>
      </c>
      <c r="AA185" s="11"/>
      <c r="AB185" s="11" t="s">
        <v>218</v>
      </c>
      <c r="AC185" s="11" t="s">
        <v>322</v>
      </c>
      <c r="AD185" s="11" t="s">
        <v>322</v>
      </c>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c r="BD185" s="11"/>
      <c r="BE185" s="11"/>
      <c r="BF185" s="11"/>
      <c r="BG185" s="11"/>
      <c r="BH185" s="11"/>
      <c r="BI185" s="11"/>
      <c r="BJ185" s="11"/>
      <c r="BK185" s="11"/>
      <c r="BL185" s="11"/>
      <c r="BM185" s="11"/>
      <c r="BN185" s="11"/>
      <c r="BO185" s="11"/>
      <c r="BP185" s="11"/>
      <c r="BQ185" s="11"/>
      <c r="BR185" s="11"/>
      <c r="BS185" s="11"/>
      <c r="BT185" s="11"/>
      <c r="BU185" s="11"/>
      <c r="BV185" s="11"/>
      <c r="BW185" s="11"/>
      <c r="BX185" s="11"/>
      <c r="BY185" s="11"/>
      <c r="BZ185" s="11"/>
      <c r="CA185" s="11"/>
      <c r="CB185" s="11"/>
      <c r="CC185" s="11"/>
      <c r="CD185" s="11"/>
      <c r="CE185" s="11"/>
      <c r="CF185" s="11"/>
      <c r="CG185" s="11"/>
      <c r="CH185" s="11"/>
      <c r="CI185" s="11"/>
      <c r="CJ185" s="11"/>
      <c r="CK185" s="11"/>
      <c r="CL185" s="11"/>
      <c r="CM185" s="11"/>
      <c r="CN185" s="11"/>
      <c r="CO185" s="11"/>
      <c r="CP185" s="11"/>
      <c r="CQ185" s="11"/>
      <c r="CR185" s="11"/>
      <c r="CS185" s="11"/>
      <c r="CT185" s="11"/>
      <c r="CU185" s="11"/>
      <c r="CV185" s="11"/>
      <c r="CW185" s="11"/>
      <c r="CX185" s="11"/>
      <c r="CY185" s="11"/>
      <c r="CZ185" s="11"/>
      <c r="DA185" s="11"/>
      <c r="DB185" s="11"/>
      <c r="DC185" s="11"/>
      <c r="DD185" s="11"/>
    </row>
    <row r="186" spans="1:108" x14ac:dyDescent="0.25">
      <c r="A186" s="6" t="s">
        <v>696</v>
      </c>
      <c r="B186" s="7" t="s">
        <v>695</v>
      </c>
      <c r="C186" s="8" t="s">
        <v>206</v>
      </c>
      <c r="D186" s="8" t="s">
        <v>299</v>
      </c>
      <c r="E186" s="8" t="s">
        <v>300</v>
      </c>
      <c r="F186" s="8" t="s">
        <v>301</v>
      </c>
      <c r="G186" s="8" t="s">
        <v>313</v>
      </c>
      <c r="H186" s="8" t="s">
        <v>303</v>
      </c>
      <c r="I186" s="8" t="s">
        <v>314</v>
      </c>
      <c r="J186" s="21">
        <v>90</v>
      </c>
      <c r="K186" s="21">
        <v>70</v>
      </c>
      <c r="L186" s="8"/>
      <c r="M186" s="8"/>
      <c r="N186" s="8"/>
      <c r="O186" s="8"/>
      <c r="P186" s="8"/>
      <c r="Q186" s="7"/>
      <c r="R186" s="8" t="s">
        <v>824</v>
      </c>
      <c r="S186" s="8"/>
      <c r="T186" s="8"/>
      <c r="U186" s="8"/>
      <c r="V186" s="8" t="s">
        <v>305</v>
      </c>
      <c r="W186" s="8" t="s">
        <v>306</v>
      </c>
      <c r="X186" s="21">
        <v>0</v>
      </c>
      <c r="Y186" s="8" t="b">
        <v>0</v>
      </c>
      <c r="Z186" s="8" t="b">
        <v>0</v>
      </c>
      <c r="AA186" s="8"/>
      <c r="AB186" s="8" t="s">
        <v>218</v>
      </c>
      <c r="AC186" s="8" t="s">
        <v>324</v>
      </c>
      <c r="AD186" s="8" t="s">
        <v>324</v>
      </c>
      <c r="AE186" s="21">
        <v>58.8</v>
      </c>
      <c r="AF186" s="21">
        <v>62.9</v>
      </c>
      <c r="AG186" s="21">
        <v>65</v>
      </c>
      <c r="AH186" s="21">
        <v>65</v>
      </c>
      <c r="AI186" s="21">
        <v>65</v>
      </c>
      <c r="AJ186" s="8"/>
      <c r="AK186" s="8"/>
      <c r="AL186" s="8"/>
      <c r="AM186" s="8"/>
      <c r="AN186" s="8"/>
      <c r="AO186" s="8"/>
      <c r="AP186" s="8"/>
      <c r="AQ186" s="8"/>
      <c r="AR186" s="8"/>
      <c r="AS186" s="8"/>
      <c r="AT186" s="8"/>
      <c r="AU186" s="21">
        <v>58.8</v>
      </c>
      <c r="AV186" s="8"/>
      <c r="AW186" s="8"/>
      <c r="AX186" s="8"/>
      <c r="AY186" s="8"/>
      <c r="AZ186" s="8"/>
      <c r="BA186" s="8"/>
      <c r="BB186" s="8"/>
      <c r="BC186" s="8"/>
      <c r="BD186" s="8"/>
      <c r="BE186" s="8"/>
      <c r="BF186" s="8"/>
      <c r="BG186" s="21">
        <v>62.9</v>
      </c>
      <c r="BH186" s="8"/>
      <c r="BI186" s="8"/>
      <c r="BJ186" s="8"/>
      <c r="BK186" s="8"/>
      <c r="BL186" s="8"/>
      <c r="BM186" s="8"/>
      <c r="BN186" s="8"/>
      <c r="BO186" s="8"/>
      <c r="BP186" s="8"/>
      <c r="BQ186" s="8"/>
      <c r="BR186" s="8"/>
      <c r="BS186" s="21">
        <v>65</v>
      </c>
      <c r="BT186" s="8"/>
      <c r="BU186" s="8"/>
      <c r="BV186" s="8"/>
      <c r="BW186" s="8"/>
      <c r="BX186" s="8"/>
      <c r="BY186" s="8"/>
      <c r="BZ186" s="8"/>
      <c r="CA186" s="8"/>
      <c r="CB186" s="8"/>
      <c r="CC186" s="8"/>
      <c r="CD186" s="8"/>
      <c r="CE186" s="21">
        <v>65</v>
      </c>
      <c r="CF186" s="8"/>
      <c r="CG186" s="8"/>
      <c r="CH186" s="8"/>
      <c r="CI186" s="8"/>
      <c r="CJ186" s="8"/>
      <c r="CK186" s="8"/>
      <c r="CL186" s="8"/>
      <c r="CM186" s="8"/>
      <c r="CN186" s="8"/>
      <c r="CO186" s="8"/>
      <c r="CP186" s="8"/>
      <c r="CQ186" s="21">
        <v>65</v>
      </c>
      <c r="CR186" s="8"/>
      <c r="CS186" s="8"/>
      <c r="CT186" s="8"/>
      <c r="CU186" s="8"/>
      <c r="CV186" s="8"/>
      <c r="CW186" s="8"/>
      <c r="CX186" s="8"/>
      <c r="CY186" s="8"/>
      <c r="CZ186" s="8"/>
      <c r="DA186" s="8"/>
      <c r="DB186" s="8"/>
      <c r="DC186" s="8"/>
      <c r="DD186" s="8"/>
    </row>
    <row r="187" spans="1:108" x14ac:dyDescent="0.25">
      <c r="A187" s="6" t="s">
        <v>696</v>
      </c>
      <c r="B187" s="10" t="s">
        <v>695</v>
      </c>
      <c r="C187" s="11" t="s">
        <v>206</v>
      </c>
      <c r="D187" s="11" t="s">
        <v>308</v>
      </c>
      <c r="E187" s="11" t="s">
        <v>300</v>
      </c>
      <c r="F187" s="11" t="s">
        <v>301</v>
      </c>
      <c r="G187" s="11" t="s">
        <v>313</v>
      </c>
      <c r="H187" s="11" t="s">
        <v>303</v>
      </c>
      <c r="I187" s="11" t="s">
        <v>314</v>
      </c>
      <c r="J187" s="20">
        <v>90</v>
      </c>
      <c r="K187" s="20">
        <v>70</v>
      </c>
      <c r="L187" s="11"/>
      <c r="M187" s="11"/>
      <c r="N187" s="11"/>
      <c r="O187" s="11"/>
      <c r="P187" s="11"/>
      <c r="Q187" s="10"/>
      <c r="R187" s="11" t="s">
        <v>824</v>
      </c>
      <c r="S187" s="11"/>
      <c r="T187" s="11"/>
      <c r="U187" s="11"/>
      <c r="V187" s="11" t="s">
        <v>305</v>
      </c>
      <c r="W187" s="11" t="s">
        <v>306</v>
      </c>
      <c r="X187" s="20">
        <v>0</v>
      </c>
      <c r="Y187" s="11" t="b">
        <v>0</v>
      </c>
      <c r="Z187" s="11" t="b">
        <v>0</v>
      </c>
      <c r="AA187" s="11"/>
      <c r="AB187" s="11" t="s">
        <v>218</v>
      </c>
      <c r="AC187" s="11" t="s">
        <v>324</v>
      </c>
      <c r="AD187" s="11" t="s">
        <v>324</v>
      </c>
      <c r="AE187" s="20">
        <v>58.8</v>
      </c>
      <c r="AF187" s="20">
        <v>64.400000000000006</v>
      </c>
      <c r="AG187" s="20">
        <v>67</v>
      </c>
      <c r="AH187" s="20">
        <v>67</v>
      </c>
      <c r="AI187" s="20">
        <v>67</v>
      </c>
      <c r="AJ187" s="11"/>
      <c r="AK187" s="11"/>
      <c r="AL187" s="11"/>
      <c r="AM187" s="11"/>
      <c r="AN187" s="11"/>
      <c r="AO187" s="11"/>
      <c r="AP187" s="11"/>
      <c r="AQ187" s="11"/>
      <c r="AR187" s="11"/>
      <c r="AS187" s="11"/>
      <c r="AT187" s="11"/>
      <c r="AU187" s="20">
        <v>58.8</v>
      </c>
      <c r="AV187" s="11"/>
      <c r="AW187" s="11"/>
      <c r="AX187" s="11"/>
      <c r="AY187" s="11"/>
      <c r="AZ187" s="11"/>
      <c r="BA187" s="11"/>
      <c r="BB187" s="11"/>
      <c r="BC187" s="11"/>
      <c r="BD187" s="11"/>
      <c r="BE187" s="11"/>
      <c r="BF187" s="11"/>
      <c r="BG187" s="20">
        <v>64.400000000000006</v>
      </c>
      <c r="BH187" s="11"/>
      <c r="BI187" s="11"/>
      <c r="BJ187" s="11"/>
      <c r="BK187" s="11"/>
      <c r="BL187" s="11"/>
      <c r="BM187" s="11"/>
      <c r="BN187" s="11"/>
      <c r="BO187" s="11"/>
      <c r="BP187" s="11"/>
      <c r="BQ187" s="11"/>
      <c r="BR187" s="11"/>
      <c r="BS187" s="20">
        <v>67</v>
      </c>
      <c r="BT187" s="11"/>
      <c r="BU187" s="11"/>
      <c r="BV187" s="11"/>
      <c r="BW187" s="11"/>
      <c r="BX187" s="11"/>
      <c r="BY187" s="11"/>
      <c r="BZ187" s="11"/>
      <c r="CA187" s="11"/>
      <c r="CB187" s="11"/>
      <c r="CC187" s="11"/>
      <c r="CD187" s="11"/>
      <c r="CE187" s="20">
        <v>67</v>
      </c>
      <c r="CF187" s="11"/>
      <c r="CG187" s="11"/>
      <c r="CH187" s="11"/>
      <c r="CI187" s="11"/>
      <c r="CJ187" s="11"/>
      <c r="CK187" s="11"/>
      <c r="CL187" s="11"/>
      <c r="CM187" s="11"/>
      <c r="CN187" s="11"/>
      <c r="CO187" s="11"/>
      <c r="CP187" s="11"/>
      <c r="CQ187" s="20">
        <v>67</v>
      </c>
      <c r="CR187" s="11"/>
      <c r="CS187" s="11"/>
      <c r="CT187" s="11"/>
      <c r="CU187" s="11"/>
      <c r="CV187" s="11"/>
      <c r="CW187" s="11"/>
      <c r="CX187" s="11"/>
      <c r="CY187" s="11"/>
      <c r="CZ187" s="11"/>
      <c r="DA187" s="11"/>
      <c r="DB187" s="11"/>
      <c r="DC187" s="11"/>
      <c r="DD187" s="11"/>
    </row>
    <row r="188" spans="1:108" x14ac:dyDescent="0.25">
      <c r="A188" s="6" t="s">
        <v>696</v>
      </c>
      <c r="B188" s="7" t="s">
        <v>695</v>
      </c>
      <c r="C188" s="8" t="s">
        <v>206</v>
      </c>
      <c r="D188" s="8" t="s">
        <v>204</v>
      </c>
      <c r="E188" s="8" t="s">
        <v>300</v>
      </c>
      <c r="F188" s="8" t="s">
        <v>301</v>
      </c>
      <c r="G188" s="8" t="s">
        <v>313</v>
      </c>
      <c r="H188" s="8" t="s">
        <v>303</v>
      </c>
      <c r="I188" s="8" t="s">
        <v>314</v>
      </c>
      <c r="J188" s="21">
        <v>90</v>
      </c>
      <c r="K188" s="21">
        <v>70</v>
      </c>
      <c r="L188" s="8"/>
      <c r="M188" s="8"/>
      <c r="N188" s="8"/>
      <c r="O188" s="8"/>
      <c r="P188" s="8"/>
      <c r="Q188" s="7"/>
      <c r="R188" s="8" t="s">
        <v>824</v>
      </c>
      <c r="S188" s="8"/>
      <c r="T188" s="8"/>
      <c r="U188" s="8"/>
      <c r="V188" s="8" t="s">
        <v>305</v>
      </c>
      <c r="W188" s="8" t="s">
        <v>306</v>
      </c>
      <c r="X188" s="21">
        <v>0</v>
      </c>
      <c r="Y188" s="8" t="b">
        <v>0</v>
      </c>
      <c r="Z188" s="8" t="b">
        <v>0</v>
      </c>
      <c r="AA188" s="8"/>
      <c r="AB188" s="8" t="s">
        <v>218</v>
      </c>
      <c r="AC188" s="8" t="s">
        <v>324</v>
      </c>
      <c r="AD188" s="8" t="s">
        <v>324</v>
      </c>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c r="BU188" s="8"/>
      <c r="BV188" s="8"/>
      <c r="BW188" s="8"/>
      <c r="BX188" s="8"/>
      <c r="BY188" s="8"/>
      <c r="BZ188" s="8"/>
      <c r="CA188" s="8"/>
      <c r="CB188" s="8"/>
      <c r="CC188" s="8"/>
      <c r="CD188" s="8"/>
      <c r="CE188" s="8"/>
      <c r="CF188" s="8"/>
      <c r="CG188" s="8"/>
      <c r="CH188" s="8"/>
      <c r="CI188" s="8"/>
      <c r="CJ188" s="8"/>
      <c r="CK188" s="8"/>
      <c r="CL188" s="8"/>
      <c r="CM188" s="8"/>
      <c r="CN188" s="8"/>
      <c r="CO188" s="8"/>
      <c r="CP188" s="8"/>
      <c r="CQ188" s="8"/>
      <c r="CR188" s="8"/>
      <c r="CS188" s="8"/>
      <c r="CT188" s="8"/>
      <c r="CU188" s="8"/>
      <c r="CV188" s="8"/>
      <c r="CW188" s="8"/>
      <c r="CX188" s="8"/>
      <c r="CY188" s="8"/>
      <c r="CZ188" s="8"/>
      <c r="DA188" s="8"/>
      <c r="DB188" s="8"/>
      <c r="DC188" s="8"/>
      <c r="DD188" s="8"/>
    </row>
    <row r="189" spans="1:108" x14ac:dyDescent="0.25">
      <c r="A189" s="6" t="s">
        <v>696</v>
      </c>
      <c r="B189" s="10" t="s">
        <v>695</v>
      </c>
      <c r="C189" s="11" t="s">
        <v>317</v>
      </c>
      <c r="D189" s="11" t="s">
        <v>299</v>
      </c>
      <c r="E189" s="11" t="s">
        <v>300</v>
      </c>
      <c r="F189" s="11" t="s">
        <v>318</v>
      </c>
      <c r="G189" s="11" t="s">
        <v>313</v>
      </c>
      <c r="H189" s="11" t="s">
        <v>303</v>
      </c>
      <c r="I189" s="11" t="s">
        <v>196</v>
      </c>
      <c r="J189" s="20">
        <v>90</v>
      </c>
      <c r="K189" s="20">
        <v>70</v>
      </c>
      <c r="L189" s="11"/>
      <c r="M189" s="11"/>
      <c r="N189" s="11"/>
      <c r="O189" s="11"/>
      <c r="P189" s="11"/>
      <c r="Q189" s="10"/>
      <c r="R189" s="11" t="s">
        <v>825</v>
      </c>
      <c r="S189" s="11"/>
      <c r="T189" s="11"/>
      <c r="U189" s="11"/>
      <c r="V189" s="11" t="s">
        <v>305</v>
      </c>
      <c r="W189" s="11" t="s">
        <v>306</v>
      </c>
      <c r="X189" s="20">
        <v>0</v>
      </c>
      <c r="Y189" s="11" t="b">
        <v>0</v>
      </c>
      <c r="Z189" s="11" t="b">
        <v>0</v>
      </c>
      <c r="AA189" s="11"/>
      <c r="AB189" s="11" t="s">
        <v>218</v>
      </c>
      <c r="AC189" s="11" t="s">
        <v>326</v>
      </c>
      <c r="AD189" s="11" t="s">
        <v>326</v>
      </c>
      <c r="AE189" s="20">
        <v>501.6</v>
      </c>
      <c r="AF189" s="20">
        <v>556.79999999999995</v>
      </c>
      <c r="AG189" s="20">
        <v>590</v>
      </c>
      <c r="AH189" s="20">
        <v>590</v>
      </c>
      <c r="AI189" s="20">
        <v>590</v>
      </c>
      <c r="AJ189" s="11"/>
      <c r="AK189" s="11"/>
      <c r="AL189" s="11"/>
      <c r="AM189" s="11"/>
      <c r="AN189" s="11"/>
      <c r="AO189" s="11"/>
      <c r="AP189" s="11"/>
      <c r="AQ189" s="11"/>
      <c r="AR189" s="11"/>
      <c r="AS189" s="11"/>
      <c r="AT189" s="11"/>
      <c r="AU189" s="20">
        <v>501.6</v>
      </c>
      <c r="AV189" s="11"/>
      <c r="AW189" s="11"/>
      <c r="AX189" s="11"/>
      <c r="AY189" s="11"/>
      <c r="AZ189" s="11"/>
      <c r="BA189" s="11"/>
      <c r="BB189" s="11"/>
      <c r="BC189" s="11"/>
      <c r="BD189" s="11"/>
      <c r="BE189" s="11"/>
      <c r="BF189" s="11"/>
      <c r="BG189" s="20">
        <v>556.79999999999995</v>
      </c>
      <c r="BH189" s="11"/>
      <c r="BI189" s="11"/>
      <c r="BJ189" s="11"/>
      <c r="BK189" s="11"/>
      <c r="BL189" s="11"/>
      <c r="BM189" s="11"/>
      <c r="BN189" s="11"/>
      <c r="BO189" s="11"/>
      <c r="BP189" s="11"/>
      <c r="BQ189" s="11"/>
      <c r="BR189" s="11"/>
      <c r="BS189" s="20">
        <v>590</v>
      </c>
      <c r="BT189" s="11"/>
      <c r="BU189" s="11"/>
      <c r="BV189" s="11"/>
      <c r="BW189" s="11"/>
      <c r="BX189" s="11"/>
      <c r="BY189" s="11"/>
      <c r="BZ189" s="11"/>
      <c r="CA189" s="11"/>
      <c r="CB189" s="11"/>
      <c r="CC189" s="11"/>
      <c r="CD189" s="11"/>
      <c r="CE189" s="20">
        <v>590</v>
      </c>
      <c r="CF189" s="11"/>
      <c r="CG189" s="11"/>
      <c r="CH189" s="11"/>
      <c r="CI189" s="11"/>
      <c r="CJ189" s="11"/>
      <c r="CK189" s="11"/>
      <c r="CL189" s="11"/>
      <c r="CM189" s="11"/>
      <c r="CN189" s="11"/>
      <c r="CO189" s="11"/>
      <c r="CP189" s="11"/>
      <c r="CQ189" s="20">
        <v>590</v>
      </c>
      <c r="CR189" s="11"/>
      <c r="CS189" s="11"/>
      <c r="CT189" s="11"/>
      <c r="CU189" s="11"/>
      <c r="CV189" s="11"/>
      <c r="CW189" s="11"/>
      <c r="CX189" s="11"/>
      <c r="CY189" s="11"/>
      <c r="CZ189" s="11"/>
      <c r="DA189" s="11"/>
      <c r="DB189" s="11"/>
      <c r="DC189" s="11"/>
      <c r="DD189" s="11"/>
    </row>
    <row r="190" spans="1:108" x14ac:dyDescent="0.25">
      <c r="A190" s="6" t="s">
        <v>696</v>
      </c>
      <c r="B190" s="7" t="s">
        <v>695</v>
      </c>
      <c r="C190" s="8" t="s">
        <v>317</v>
      </c>
      <c r="D190" s="8" t="s">
        <v>308</v>
      </c>
      <c r="E190" s="8" t="s">
        <v>300</v>
      </c>
      <c r="F190" s="8" t="s">
        <v>318</v>
      </c>
      <c r="G190" s="8" t="s">
        <v>313</v>
      </c>
      <c r="H190" s="8" t="s">
        <v>303</v>
      </c>
      <c r="I190" s="8" t="s">
        <v>196</v>
      </c>
      <c r="J190" s="21">
        <v>90</v>
      </c>
      <c r="K190" s="21">
        <v>70</v>
      </c>
      <c r="L190" s="8"/>
      <c r="M190" s="8"/>
      <c r="N190" s="8"/>
      <c r="O190" s="8"/>
      <c r="P190" s="8"/>
      <c r="Q190" s="7"/>
      <c r="R190" s="8" t="s">
        <v>825</v>
      </c>
      <c r="S190" s="8"/>
      <c r="T190" s="8"/>
      <c r="U190" s="8"/>
      <c r="V190" s="8" t="s">
        <v>305</v>
      </c>
      <c r="W190" s="8" t="s">
        <v>306</v>
      </c>
      <c r="X190" s="21">
        <v>0</v>
      </c>
      <c r="Y190" s="8" t="b">
        <v>0</v>
      </c>
      <c r="Z190" s="8" t="b">
        <v>0</v>
      </c>
      <c r="AA190" s="8"/>
      <c r="AB190" s="8" t="s">
        <v>218</v>
      </c>
      <c r="AC190" s="8" t="s">
        <v>326</v>
      </c>
      <c r="AD190" s="8" t="s">
        <v>326</v>
      </c>
      <c r="AE190" s="21">
        <v>501.6</v>
      </c>
      <c r="AF190" s="21">
        <v>579.79999999999995</v>
      </c>
      <c r="AG190" s="21">
        <v>626.79999999999995</v>
      </c>
      <c r="AH190" s="21">
        <v>626.79999999999995</v>
      </c>
      <c r="AI190" s="21">
        <v>626.79999999999995</v>
      </c>
      <c r="AJ190" s="8"/>
      <c r="AK190" s="8"/>
      <c r="AL190" s="8"/>
      <c r="AM190" s="8"/>
      <c r="AN190" s="8"/>
      <c r="AO190" s="8"/>
      <c r="AP190" s="8"/>
      <c r="AQ190" s="8"/>
      <c r="AR190" s="8"/>
      <c r="AS190" s="8"/>
      <c r="AT190" s="8"/>
      <c r="AU190" s="21">
        <v>501.6</v>
      </c>
      <c r="AV190" s="8"/>
      <c r="AW190" s="8"/>
      <c r="AX190" s="8"/>
      <c r="AY190" s="8"/>
      <c r="AZ190" s="8"/>
      <c r="BA190" s="8"/>
      <c r="BB190" s="8"/>
      <c r="BC190" s="8"/>
      <c r="BD190" s="8"/>
      <c r="BE190" s="8"/>
      <c r="BF190" s="8"/>
      <c r="BG190" s="21">
        <v>579.79999999999995</v>
      </c>
      <c r="BH190" s="8"/>
      <c r="BI190" s="8"/>
      <c r="BJ190" s="8"/>
      <c r="BK190" s="8"/>
      <c r="BL190" s="8"/>
      <c r="BM190" s="8"/>
      <c r="BN190" s="8"/>
      <c r="BO190" s="8"/>
      <c r="BP190" s="8"/>
      <c r="BQ190" s="8"/>
      <c r="BR190" s="8"/>
      <c r="BS190" s="21">
        <v>626.79999999999995</v>
      </c>
      <c r="BT190" s="8"/>
      <c r="BU190" s="8"/>
      <c r="BV190" s="8"/>
      <c r="BW190" s="8"/>
      <c r="BX190" s="8"/>
      <c r="BY190" s="8"/>
      <c r="BZ190" s="8"/>
      <c r="CA190" s="8"/>
      <c r="CB190" s="8"/>
      <c r="CC190" s="8"/>
      <c r="CD190" s="8"/>
      <c r="CE190" s="21">
        <v>626.79999999999995</v>
      </c>
      <c r="CF190" s="8"/>
      <c r="CG190" s="8"/>
      <c r="CH190" s="8"/>
      <c r="CI190" s="8"/>
      <c r="CJ190" s="8"/>
      <c r="CK190" s="8"/>
      <c r="CL190" s="8"/>
      <c r="CM190" s="8"/>
      <c r="CN190" s="8"/>
      <c r="CO190" s="8"/>
      <c r="CP190" s="8"/>
      <c r="CQ190" s="21">
        <v>626.79999999999995</v>
      </c>
      <c r="CR190" s="8"/>
      <c r="CS190" s="8"/>
      <c r="CT190" s="8"/>
      <c r="CU190" s="8"/>
      <c r="CV190" s="8"/>
      <c r="CW190" s="8"/>
      <c r="CX190" s="8"/>
      <c r="CY190" s="8"/>
      <c r="CZ190" s="8"/>
      <c r="DA190" s="8"/>
      <c r="DB190" s="8"/>
      <c r="DC190" s="8"/>
      <c r="DD190" s="8"/>
    </row>
    <row r="191" spans="1:108" x14ac:dyDescent="0.25">
      <c r="A191" s="6" t="s">
        <v>696</v>
      </c>
      <c r="B191" s="10" t="s">
        <v>695</v>
      </c>
      <c r="C191" s="11" t="s">
        <v>317</v>
      </c>
      <c r="D191" s="11" t="s">
        <v>204</v>
      </c>
      <c r="E191" s="11" t="s">
        <v>300</v>
      </c>
      <c r="F191" s="11" t="s">
        <v>318</v>
      </c>
      <c r="G191" s="11" t="s">
        <v>313</v>
      </c>
      <c r="H191" s="11" t="s">
        <v>303</v>
      </c>
      <c r="I191" s="11" t="s">
        <v>196</v>
      </c>
      <c r="J191" s="20">
        <v>90</v>
      </c>
      <c r="K191" s="20">
        <v>70</v>
      </c>
      <c r="L191" s="11"/>
      <c r="M191" s="11"/>
      <c r="N191" s="11"/>
      <c r="O191" s="11"/>
      <c r="P191" s="11"/>
      <c r="Q191" s="10"/>
      <c r="R191" s="11" t="s">
        <v>825</v>
      </c>
      <c r="S191" s="11"/>
      <c r="T191" s="11"/>
      <c r="U191" s="11"/>
      <c r="V191" s="11" t="s">
        <v>305</v>
      </c>
      <c r="W191" s="11" t="s">
        <v>306</v>
      </c>
      <c r="X191" s="20">
        <v>0</v>
      </c>
      <c r="Y191" s="11" t="b">
        <v>0</v>
      </c>
      <c r="Z191" s="11" t="b">
        <v>0</v>
      </c>
      <c r="AA191" s="11"/>
      <c r="AB191" s="11" t="s">
        <v>218</v>
      </c>
      <c r="AC191" s="11" t="s">
        <v>326</v>
      </c>
      <c r="AD191" s="11" t="s">
        <v>326</v>
      </c>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c r="BC191" s="11"/>
      <c r="BD191" s="11"/>
      <c r="BE191" s="11"/>
      <c r="BF191" s="11"/>
      <c r="BG191" s="11"/>
      <c r="BH191" s="11"/>
      <c r="BI191" s="11"/>
      <c r="BJ191" s="11"/>
      <c r="BK191" s="11"/>
      <c r="BL191" s="11"/>
      <c r="BM191" s="11"/>
      <c r="BN191" s="11"/>
      <c r="BO191" s="11"/>
      <c r="BP191" s="11"/>
      <c r="BQ191" s="11"/>
      <c r="BR191" s="11"/>
      <c r="BS191" s="11"/>
      <c r="BT191" s="11"/>
      <c r="BU191" s="11"/>
      <c r="BV191" s="11"/>
      <c r="BW191" s="11"/>
      <c r="BX191" s="11"/>
      <c r="BY191" s="11"/>
      <c r="BZ191" s="11"/>
      <c r="CA191" s="11"/>
      <c r="CB191" s="11"/>
      <c r="CC191" s="11"/>
      <c r="CD191" s="11"/>
      <c r="CE191" s="11"/>
      <c r="CF191" s="11"/>
      <c r="CG191" s="11"/>
      <c r="CH191" s="11"/>
      <c r="CI191" s="11"/>
      <c r="CJ191" s="11"/>
      <c r="CK191" s="11"/>
      <c r="CL191" s="11"/>
      <c r="CM191" s="11"/>
      <c r="CN191" s="11"/>
      <c r="CO191" s="11"/>
      <c r="CP191" s="11"/>
      <c r="CQ191" s="11"/>
      <c r="CR191" s="11"/>
      <c r="CS191" s="11"/>
      <c r="CT191" s="11"/>
      <c r="CU191" s="11"/>
      <c r="CV191" s="11"/>
      <c r="CW191" s="11"/>
      <c r="CX191" s="11"/>
      <c r="CY191" s="11"/>
      <c r="CZ191" s="11"/>
      <c r="DA191" s="11"/>
      <c r="DB191" s="11"/>
      <c r="DC191" s="11"/>
      <c r="DD191" s="11"/>
    </row>
    <row r="192" spans="1:108" ht="36" x14ac:dyDescent="0.25">
      <c r="A192" s="6" t="s">
        <v>699</v>
      </c>
      <c r="B192" s="10" t="s">
        <v>698</v>
      </c>
      <c r="C192" s="11" t="s">
        <v>367</v>
      </c>
      <c r="D192" s="11" t="s">
        <v>299</v>
      </c>
      <c r="E192" s="11" t="s">
        <v>300</v>
      </c>
      <c r="F192" s="11" t="s">
        <v>301</v>
      </c>
      <c r="G192" s="11" t="s">
        <v>313</v>
      </c>
      <c r="H192" s="11" t="s">
        <v>303</v>
      </c>
      <c r="I192" s="11"/>
      <c r="J192" s="20">
        <v>90</v>
      </c>
      <c r="K192" s="20">
        <v>70</v>
      </c>
      <c r="L192" s="11"/>
      <c r="M192" s="11"/>
      <c r="N192" s="11"/>
      <c r="O192" s="11"/>
      <c r="P192" s="11"/>
      <c r="Q192" s="10"/>
      <c r="R192" s="11" t="s">
        <v>826</v>
      </c>
      <c r="S192" s="11"/>
      <c r="T192" s="11"/>
      <c r="U192" s="11"/>
      <c r="V192" s="11" t="s">
        <v>305</v>
      </c>
      <c r="W192" s="11" t="s">
        <v>306</v>
      </c>
      <c r="X192" s="20">
        <v>0</v>
      </c>
      <c r="Y192" s="11" t="b">
        <v>0</v>
      </c>
      <c r="Z192" s="11" t="b">
        <v>0</v>
      </c>
      <c r="AA192" s="11"/>
      <c r="AB192" s="11" t="s">
        <v>218</v>
      </c>
      <c r="AC192" s="11" t="s">
        <v>369</v>
      </c>
      <c r="AD192" s="11" t="s">
        <v>369</v>
      </c>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c r="BC192" s="11"/>
      <c r="BD192" s="11"/>
      <c r="BE192" s="11"/>
      <c r="BF192" s="11"/>
      <c r="BG192" s="11"/>
      <c r="BH192" s="11"/>
      <c r="BI192" s="11"/>
      <c r="BJ192" s="11"/>
      <c r="BK192" s="11"/>
      <c r="BL192" s="11"/>
      <c r="BM192" s="11"/>
      <c r="BN192" s="11"/>
      <c r="BO192" s="11"/>
      <c r="BP192" s="11"/>
      <c r="BQ192" s="11"/>
      <c r="BR192" s="11"/>
      <c r="BS192" s="11"/>
      <c r="BT192" s="11"/>
      <c r="BU192" s="11"/>
      <c r="BV192" s="11"/>
      <c r="BW192" s="11"/>
      <c r="BX192" s="11"/>
      <c r="BY192" s="11"/>
      <c r="BZ192" s="11"/>
      <c r="CA192" s="11"/>
      <c r="CB192" s="11"/>
      <c r="CC192" s="11"/>
      <c r="CD192" s="11"/>
      <c r="CE192" s="11"/>
      <c r="CF192" s="11"/>
      <c r="CG192" s="11"/>
      <c r="CH192" s="11"/>
      <c r="CI192" s="11"/>
      <c r="CJ192" s="11"/>
      <c r="CK192" s="11"/>
      <c r="CL192" s="11"/>
      <c r="CM192" s="11"/>
      <c r="CN192" s="11"/>
      <c r="CO192" s="11"/>
      <c r="CP192" s="11"/>
      <c r="CQ192" s="11"/>
      <c r="CR192" s="11"/>
      <c r="CS192" s="11"/>
      <c r="CT192" s="11"/>
      <c r="CU192" s="11"/>
      <c r="CV192" s="11"/>
      <c r="CW192" s="11"/>
      <c r="CX192" s="11"/>
      <c r="CY192" s="11"/>
      <c r="CZ192" s="11"/>
      <c r="DA192" s="11"/>
      <c r="DB192" s="11"/>
      <c r="DC192" s="11"/>
      <c r="DD192" s="11"/>
    </row>
    <row r="193" spans="1:108" ht="36" x14ac:dyDescent="0.25">
      <c r="A193" s="6" t="s">
        <v>699</v>
      </c>
      <c r="B193" s="7" t="s">
        <v>698</v>
      </c>
      <c r="C193" s="8" t="s">
        <v>367</v>
      </c>
      <c r="D193" s="8" t="s">
        <v>308</v>
      </c>
      <c r="E193" s="8" t="s">
        <v>300</v>
      </c>
      <c r="F193" s="8" t="s">
        <v>301</v>
      </c>
      <c r="G193" s="8" t="s">
        <v>313</v>
      </c>
      <c r="H193" s="8" t="s">
        <v>303</v>
      </c>
      <c r="I193" s="8"/>
      <c r="J193" s="21">
        <v>90</v>
      </c>
      <c r="K193" s="21">
        <v>70</v>
      </c>
      <c r="L193" s="8"/>
      <c r="M193" s="8"/>
      <c r="N193" s="8"/>
      <c r="O193" s="8"/>
      <c r="P193" s="8"/>
      <c r="Q193" s="7"/>
      <c r="R193" s="8" t="s">
        <v>826</v>
      </c>
      <c r="S193" s="8"/>
      <c r="T193" s="8"/>
      <c r="U193" s="8"/>
      <c r="V193" s="8" t="s">
        <v>305</v>
      </c>
      <c r="W193" s="8" t="s">
        <v>306</v>
      </c>
      <c r="X193" s="21">
        <v>0</v>
      </c>
      <c r="Y193" s="8" t="b">
        <v>0</v>
      </c>
      <c r="Z193" s="8" t="b">
        <v>0</v>
      </c>
      <c r="AA193" s="8"/>
      <c r="AB193" s="8" t="s">
        <v>218</v>
      </c>
      <c r="AC193" s="8" t="s">
        <v>369</v>
      </c>
      <c r="AD193" s="8" t="s">
        <v>369</v>
      </c>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c r="BU193" s="8"/>
      <c r="BV193" s="8"/>
      <c r="BW193" s="8"/>
      <c r="BX193" s="8"/>
      <c r="BY193" s="8"/>
      <c r="BZ193" s="8"/>
      <c r="CA193" s="8"/>
      <c r="CB193" s="8"/>
      <c r="CC193" s="8"/>
      <c r="CD193" s="8"/>
      <c r="CE193" s="8"/>
      <c r="CF193" s="8"/>
      <c r="CG193" s="8"/>
      <c r="CH193" s="8"/>
      <c r="CI193" s="8"/>
      <c r="CJ193" s="8"/>
      <c r="CK193" s="8"/>
      <c r="CL193" s="8"/>
      <c r="CM193" s="8"/>
      <c r="CN193" s="8"/>
      <c r="CO193" s="8"/>
      <c r="CP193" s="8"/>
      <c r="CQ193" s="8"/>
      <c r="CR193" s="8"/>
      <c r="CS193" s="8"/>
      <c r="CT193" s="8"/>
      <c r="CU193" s="8"/>
      <c r="CV193" s="8"/>
      <c r="CW193" s="8"/>
      <c r="CX193" s="8"/>
      <c r="CY193" s="8"/>
      <c r="CZ193" s="8"/>
      <c r="DA193" s="8"/>
      <c r="DB193" s="8"/>
      <c r="DC193" s="8"/>
      <c r="DD193" s="8"/>
    </row>
    <row r="194" spans="1:108" ht="36" x14ac:dyDescent="0.25">
      <c r="A194" s="6" t="s">
        <v>699</v>
      </c>
      <c r="B194" s="10" t="s">
        <v>698</v>
      </c>
      <c r="C194" s="11" t="s">
        <v>367</v>
      </c>
      <c r="D194" s="11" t="s">
        <v>204</v>
      </c>
      <c r="E194" s="11" t="s">
        <v>300</v>
      </c>
      <c r="F194" s="11" t="s">
        <v>301</v>
      </c>
      <c r="G194" s="11" t="s">
        <v>313</v>
      </c>
      <c r="H194" s="11" t="s">
        <v>303</v>
      </c>
      <c r="I194" s="11"/>
      <c r="J194" s="20">
        <v>90</v>
      </c>
      <c r="K194" s="20">
        <v>70</v>
      </c>
      <c r="L194" s="11"/>
      <c r="M194" s="11"/>
      <c r="N194" s="11"/>
      <c r="O194" s="11"/>
      <c r="P194" s="11"/>
      <c r="Q194" s="10"/>
      <c r="R194" s="11" t="s">
        <v>826</v>
      </c>
      <c r="S194" s="11"/>
      <c r="T194" s="11"/>
      <c r="U194" s="11"/>
      <c r="V194" s="11" t="s">
        <v>305</v>
      </c>
      <c r="W194" s="11" t="s">
        <v>306</v>
      </c>
      <c r="X194" s="20">
        <v>0</v>
      </c>
      <c r="Y194" s="11" t="b">
        <v>0</v>
      </c>
      <c r="Z194" s="11" t="b">
        <v>0</v>
      </c>
      <c r="AA194" s="11"/>
      <c r="AB194" s="11" t="s">
        <v>218</v>
      </c>
      <c r="AC194" s="11" t="s">
        <v>369</v>
      </c>
      <c r="AD194" s="11" t="s">
        <v>369</v>
      </c>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c r="BC194" s="11"/>
      <c r="BD194" s="11"/>
      <c r="BE194" s="11"/>
      <c r="BF194" s="11"/>
      <c r="BG194" s="11"/>
      <c r="BH194" s="11"/>
      <c r="BI194" s="11"/>
      <c r="BJ194" s="11"/>
      <c r="BK194" s="11"/>
      <c r="BL194" s="11"/>
      <c r="BM194" s="11"/>
      <c r="BN194" s="11"/>
      <c r="BO194" s="11"/>
      <c r="BP194" s="11"/>
      <c r="BQ194" s="11"/>
      <c r="BR194" s="11"/>
      <c r="BS194" s="11"/>
      <c r="BT194" s="11"/>
      <c r="BU194" s="11"/>
      <c r="BV194" s="11"/>
      <c r="BW194" s="11"/>
      <c r="BX194" s="11"/>
      <c r="BY194" s="11"/>
      <c r="BZ194" s="11"/>
      <c r="CA194" s="11"/>
      <c r="CB194" s="11"/>
      <c r="CC194" s="11"/>
      <c r="CD194" s="11"/>
      <c r="CE194" s="11"/>
      <c r="CF194" s="11"/>
      <c r="CG194" s="11"/>
      <c r="CH194" s="11"/>
      <c r="CI194" s="11"/>
      <c r="CJ194" s="11"/>
      <c r="CK194" s="11"/>
      <c r="CL194" s="11"/>
      <c r="CM194" s="11"/>
      <c r="CN194" s="11"/>
      <c r="CO194" s="11"/>
      <c r="CP194" s="11"/>
      <c r="CQ194" s="11"/>
      <c r="CR194" s="11"/>
      <c r="CS194" s="11"/>
      <c r="CT194" s="11"/>
      <c r="CU194" s="11"/>
      <c r="CV194" s="11"/>
      <c r="CW194" s="11"/>
      <c r="CX194" s="11"/>
      <c r="CY194" s="11"/>
      <c r="CZ194" s="11"/>
      <c r="DA194" s="11"/>
      <c r="DB194" s="11"/>
      <c r="DC194" s="11"/>
      <c r="DD194" s="11"/>
    </row>
    <row r="195" spans="1:108" ht="36" x14ac:dyDescent="0.25">
      <c r="A195" s="6" t="s">
        <v>699</v>
      </c>
      <c r="B195" s="7" t="s">
        <v>698</v>
      </c>
      <c r="C195" s="8" t="s">
        <v>370</v>
      </c>
      <c r="D195" s="8" t="s">
        <v>299</v>
      </c>
      <c r="E195" s="8" t="s">
        <v>300</v>
      </c>
      <c r="F195" s="8" t="s">
        <v>301</v>
      </c>
      <c r="G195" s="8" t="s">
        <v>313</v>
      </c>
      <c r="H195" s="8" t="s">
        <v>333</v>
      </c>
      <c r="I195" s="8"/>
      <c r="J195" s="21">
        <v>90</v>
      </c>
      <c r="K195" s="21">
        <v>70</v>
      </c>
      <c r="L195" s="8"/>
      <c r="M195" s="8"/>
      <c r="N195" s="8"/>
      <c r="O195" s="8"/>
      <c r="P195" s="8"/>
      <c r="Q195" s="7"/>
      <c r="R195" s="8" t="s">
        <v>827</v>
      </c>
      <c r="S195" s="8"/>
      <c r="T195" s="8"/>
      <c r="U195" s="8"/>
      <c r="V195" s="8" t="s">
        <v>305</v>
      </c>
      <c r="W195" s="8" t="s">
        <v>306</v>
      </c>
      <c r="X195" s="21">
        <v>0</v>
      </c>
      <c r="Y195" s="8" t="b">
        <v>0</v>
      </c>
      <c r="Z195" s="8" t="b">
        <v>0</v>
      </c>
      <c r="AA195" s="8"/>
      <c r="AB195" s="8" t="s">
        <v>218</v>
      </c>
      <c r="AC195" s="8" t="s">
        <v>372</v>
      </c>
      <c r="AD195" s="8" t="s">
        <v>372</v>
      </c>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c r="BU195" s="8"/>
      <c r="BV195" s="8"/>
      <c r="BW195" s="8"/>
      <c r="BX195" s="8"/>
      <c r="BY195" s="8"/>
      <c r="BZ195" s="8"/>
      <c r="CA195" s="8"/>
      <c r="CB195" s="8"/>
      <c r="CC195" s="8"/>
      <c r="CD195" s="8"/>
      <c r="CE195" s="8"/>
      <c r="CF195" s="8"/>
      <c r="CG195" s="8"/>
      <c r="CH195" s="8"/>
      <c r="CI195" s="8"/>
      <c r="CJ195" s="8"/>
      <c r="CK195" s="8"/>
      <c r="CL195" s="8"/>
      <c r="CM195" s="8"/>
      <c r="CN195" s="8"/>
      <c r="CO195" s="8"/>
      <c r="CP195" s="8"/>
      <c r="CQ195" s="8"/>
      <c r="CR195" s="8"/>
      <c r="CS195" s="8"/>
      <c r="CT195" s="8"/>
      <c r="CU195" s="8"/>
      <c r="CV195" s="8"/>
      <c r="CW195" s="8"/>
      <c r="CX195" s="8"/>
      <c r="CY195" s="8"/>
      <c r="CZ195" s="8"/>
      <c r="DA195" s="8"/>
      <c r="DB195" s="8"/>
      <c r="DC195" s="8"/>
      <c r="DD195" s="8"/>
    </row>
    <row r="196" spans="1:108" ht="36" x14ac:dyDescent="0.25">
      <c r="A196" s="6" t="s">
        <v>699</v>
      </c>
      <c r="B196" s="10" t="s">
        <v>698</v>
      </c>
      <c r="C196" s="11" t="s">
        <v>370</v>
      </c>
      <c r="D196" s="11" t="s">
        <v>308</v>
      </c>
      <c r="E196" s="11" t="s">
        <v>300</v>
      </c>
      <c r="F196" s="11" t="s">
        <v>301</v>
      </c>
      <c r="G196" s="11" t="s">
        <v>313</v>
      </c>
      <c r="H196" s="11" t="s">
        <v>333</v>
      </c>
      <c r="I196" s="11"/>
      <c r="J196" s="20">
        <v>90</v>
      </c>
      <c r="K196" s="20">
        <v>70</v>
      </c>
      <c r="L196" s="11"/>
      <c r="M196" s="11"/>
      <c r="N196" s="11"/>
      <c r="O196" s="11"/>
      <c r="P196" s="11"/>
      <c r="Q196" s="10"/>
      <c r="R196" s="11" t="s">
        <v>827</v>
      </c>
      <c r="S196" s="11"/>
      <c r="T196" s="11"/>
      <c r="U196" s="11"/>
      <c r="V196" s="11" t="s">
        <v>305</v>
      </c>
      <c r="W196" s="11" t="s">
        <v>306</v>
      </c>
      <c r="X196" s="20">
        <v>0</v>
      </c>
      <c r="Y196" s="11" t="b">
        <v>0</v>
      </c>
      <c r="Z196" s="11" t="b">
        <v>0</v>
      </c>
      <c r="AA196" s="11"/>
      <c r="AB196" s="11" t="s">
        <v>218</v>
      </c>
      <c r="AC196" s="11" t="s">
        <v>372</v>
      </c>
      <c r="AD196" s="11" t="s">
        <v>372</v>
      </c>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c r="BC196" s="11"/>
      <c r="BD196" s="11"/>
      <c r="BE196" s="11"/>
      <c r="BF196" s="11"/>
      <c r="BG196" s="11"/>
      <c r="BH196" s="11"/>
      <c r="BI196" s="11"/>
      <c r="BJ196" s="11"/>
      <c r="BK196" s="11"/>
      <c r="BL196" s="11"/>
      <c r="BM196" s="11"/>
      <c r="BN196" s="11"/>
      <c r="BO196" s="11"/>
      <c r="BP196" s="11"/>
      <c r="BQ196" s="11"/>
      <c r="BR196" s="11"/>
      <c r="BS196" s="11"/>
      <c r="BT196" s="11"/>
      <c r="BU196" s="11"/>
      <c r="BV196" s="11"/>
      <c r="BW196" s="11"/>
      <c r="BX196" s="11"/>
      <c r="BY196" s="11"/>
      <c r="BZ196" s="11"/>
      <c r="CA196" s="11"/>
      <c r="CB196" s="11"/>
      <c r="CC196" s="11"/>
      <c r="CD196" s="11"/>
      <c r="CE196" s="11"/>
      <c r="CF196" s="11"/>
      <c r="CG196" s="11"/>
      <c r="CH196" s="11"/>
      <c r="CI196" s="11"/>
      <c r="CJ196" s="11"/>
      <c r="CK196" s="11"/>
      <c r="CL196" s="11"/>
      <c r="CM196" s="11"/>
      <c r="CN196" s="11"/>
      <c r="CO196" s="11"/>
      <c r="CP196" s="11"/>
      <c r="CQ196" s="11"/>
      <c r="CR196" s="11"/>
      <c r="CS196" s="11"/>
      <c r="CT196" s="11"/>
      <c r="CU196" s="11"/>
      <c r="CV196" s="11"/>
      <c r="CW196" s="11"/>
      <c r="CX196" s="11"/>
      <c r="CY196" s="11"/>
      <c r="CZ196" s="11"/>
      <c r="DA196" s="11"/>
      <c r="DB196" s="11"/>
      <c r="DC196" s="11"/>
      <c r="DD196" s="11"/>
    </row>
    <row r="197" spans="1:108" ht="36" x14ac:dyDescent="0.25">
      <c r="A197" s="6" t="s">
        <v>699</v>
      </c>
      <c r="B197" s="7" t="s">
        <v>698</v>
      </c>
      <c r="C197" s="8" t="s">
        <v>370</v>
      </c>
      <c r="D197" s="8" t="s">
        <v>204</v>
      </c>
      <c r="E197" s="8" t="s">
        <v>300</v>
      </c>
      <c r="F197" s="8" t="s">
        <v>301</v>
      </c>
      <c r="G197" s="8" t="s">
        <v>313</v>
      </c>
      <c r="H197" s="8" t="s">
        <v>333</v>
      </c>
      <c r="I197" s="8"/>
      <c r="J197" s="21">
        <v>90</v>
      </c>
      <c r="K197" s="21">
        <v>70</v>
      </c>
      <c r="L197" s="8"/>
      <c r="M197" s="8"/>
      <c r="N197" s="8"/>
      <c r="O197" s="8"/>
      <c r="P197" s="8"/>
      <c r="Q197" s="7"/>
      <c r="R197" s="8" t="s">
        <v>827</v>
      </c>
      <c r="S197" s="8"/>
      <c r="T197" s="8"/>
      <c r="U197" s="8"/>
      <c r="V197" s="8" t="s">
        <v>305</v>
      </c>
      <c r="W197" s="8" t="s">
        <v>306</v>
      </c>
      <c r="X197" s="21">
        <v>0</v>
      </c>
      <c r="Y197" s="8" t="b">
        <v>0</v>
      </c>
      <c r="Z197" s="8" t="b">
        <v>0</v>
      </c>
      <c r="AA197" s="8"/>
      <c r="AB197" s="8" t="s">
        <v>218</v>
      </c>
      <c r="AC197" s="8" t="s">
        <v>372</v>
      </c>
      <c r="AD197" s="8" t="s">
        <v>372</v>
      </c>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c r="BU197" s="8"/>
      <c r="BV197" s="8"/>
      <c r="BW197" s="8"/>
      <c r="BX197" s="8"/>
      <c r="BY197" s="8"/>
      <c r="BZ197" s="8"/>
      <c r="CA197" s="8"/>
      <c r="CB197" s="8"/>
      <c r="CC197" s="8"/>
      <c r="CD197" s="8"/>
      <c r="CE197" s="8"/>
      <c r="CF197" s="8"/>
      <c r="CG197" s="8"/>
      <c r="CH197" s="8"/>
      <c r="CI197" s="8"/>
      <c r="CJ197" s="8"/>
      <c r="CK197" s="8"/>
      <c r="CL197" s="8"/>
      <c r="CM197" s="8"/>
      <c r="CN197" s="8"/>
      <c r="CO197" s="8"/>
      <c r="CP197" s="8"/>
      <c r="CQ197" s="8"/>
      <c r="CR197" s="8"/>
      <c r="CS197" s="8"/>
      <c r="CT197" s="8"/>
      <c r="CU197" s="8"/>
      <c r="CV197" s="8"/>
      <c r="CW197" s="8"/>
      <c r="CX197" s="8"/>
      <c r="CY197" s="8"/>
      <c r="CZ197" s="8"/>
      <c r="DA197" s="8"/>
      <c r="DB197" s="8"/>
      <c r="DC197" s="8"/>
      <c r="DD197" s="8"/>
    </row>
    <row r="198" spans="1:108" ht="36" x14ac:dyDescent="0.25">
      <c r="A198" s="6" t="s">
        <v>699</v>
      </c>
      <c r="B198" s="10" t="s">
        <v>698</v>
      </c>
      <c r="C198" s="11" t="s">
        <v>373</v>
      </c>
      <c r="D198" s="11" t="s">
        <v>299</v>
      </c>
      <c r="E198" s="11" t="s">
        <v>300</v>
      </c>
      <c r="F198" s="11" t="s">
        <v>301</v>
      </c>
      <c r="G198" s="11" t="s">
        <v>313</v>
      </c>
      <c r="H198" s="11" t="s">
        <v>333</v>
      </c>
      <c r="I198" s="11"/>
      <c r="J198" s="20">
        <v>90</v>
      </c>
      <c r="K198" s="20">
        <v>70</v>
      </c>
      <c r="L198" s="11"/>
      <c r="M198" s="11"/>
      <c r="N198" s="11"/>
      <c r="O198" s="11"/>
      <c r="P198" s="11"/>
      <c r="Q198" s="10"/>
      <c r="R198" s="11" t="s">
        <v>828</v>
      </c>
      <c r="S198" s="11"/>
      <c r="T198" s="11"/>
      <c r="U198" s="11"/>
      <c r="V198" s="11" t="s">
        <v>305</v>
      </c>
      <c r="W198" s="11" t="s">
        <v>306</v>
      </c>
      <c r="X198" s="20">
        <v>0</v>
      </c>
      <c r="Y198" s="11" t="b">
        <v>0</v>
      </c>
      <c r="Z198" s="11" t="b">
        <v>0</v>
      </c>
      <c r="AA198" s="11"/>
      <c r="AB198" s="11" t="s">
        <v>218</v>
      </c>
      <c r="AC198" s="11" t="s">
        <v>375</v>
      </c>
      <c r="AD198" s="11" t="s">
        <v>375</v>
      </c>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c r="BC198" s="11"/>
      <c r="BD198" s="11"/>
      <c r="BE198" s="11"/>
      <c r="BF198" s="11"/>
      <c r="BG198" s="11"/>
      <c r="BH198" s="11"/>
      <c r="BI198" s="11"/>
      <c r="BJ198" s="11"/>
      <c r="BK198" s="11"/>
      <c r="BL198" s="11"/>
      <c r="BM198" s="11"/>
      <c r="BN198" s="11"/>
      <c r="BO198" s="11"/>
      <c r="BP198" s="11"/>
      <c r="BQ198" s="11"/>
      <c r="BR198" s="11"/>
      <c r="BS198" s="11"/>
      <c r="BT198" s="11"/>
      <c r="BU198" s="11"/>
      <c r="BV198" s="11"/>
      <c r="BW198" s="11"/>
      <c r="BX198" s="11"/>
      <c r="BY198" s="11"/>
      <c r="BZ198" s="11"/>
      <c r="CA198" s="11"/>
      <c r="CB198" s="11"/>
      <c r="CC198" s="11"/>
      <c r="CD198" s="11"/>
      <c r="CE198" s="11"/>
      <c r="CF198" s="11"/>
      <c r="CG198" s="11"/>
      <c r="CH198" s="11"/>
      <c r="CI198" s="11"/>
      <c r="CJ198" s="11"/>
      <c r="CK198" s="11"/>
      <c r="CL198" s="11"/>
      <c r="CM198" s="11"/>
      <c r="CN198" s="11"/>
      <c r="CO198" s="11"/>
      <c r="CP198" s="11"/>
      <c r="CQ198" s="11"/>
      <c r="CR198" s="11"/>
      <c r="CS198" s="11"/>
      <c r="CT198" s="11"/>
      <c r="CU198" s="11"/>
      <c r="CV198" s="11"/>
      <c r="CW198" s="11"/>
      <c r="CX198" s="11"/>
      <c r="CY198" s="11"/>
      <c r="CZ198" s="11"/>
      <c r="DA198" s="11"/>
      <c r="DB198" s="11"/>
      <c r="DC198" s="11"/>
      <c r="DD198" s="11"/>
    </row>
    <row r="199" spans="1:108" ht="36" x14ac:dyDescent="0.25">
      <c r="A199" s="6" t="s">
        <v>699</v>
      </c>
      <c r="B199" s="7" t="s">
        <v>698</v>
      </c>
      <c r="C199" s="8" t="s">
        <v>373</v>
      </c>
      <c r="D199" s="8" t="s">
        <v>308</v>
      </c>
      <c r="E199" s="8" t="s">
        <v>300</v>
      </c>
      <c r="F199" s="8" t="s">
        <v>301</v>
      </c>
      <c r="G199" s="8" t="s">
        <v>313</v>
      </c>
      <c r="H199" s="8" t="s">
        <v>333</v>
      </c>
      <c r="I199" s="8"/>
      <c r="J199" s="21">
        <v>90</v>
      </c>
      <c r="K199" s="21">
        <v>70</v>
      </c>
      <c r="L199" s="8"/>
      <c r="M199" s="8"/>
      <c r="N199" s="8"/>
      <c r="O199" s="8"/>
      <c r="P199" s="8"/>
      <c r="Q199" s="7"/>
      <c r="R199" s="8" t="s">
        <v>828</v>
      </c>
      <c r="S199" s="8"/>
      <c r="T199" s="8"/>
      <c r="U199" s="8"/>
      <c r="V199" s="8" t="s">
        <v>305</v>
      </c>
      <c r="W199" s="8" t="s">
        <v>306</v>
      </c>
      <c r="X199" s="21">
        <v>0</v>
      </c>
      <c r="Y199" s="8" t="b">
        <v>0</v>
      </c>
      <c r="Z199" s="8" t="b">
        <v>0</v>
      </c>
      <c r="AA199" s="8"/>
      <c r="AB199" s="8" t="s">
        <v>218</v>
      </c>
      <c r="AC199" s="8" t="s">
        <v>375</v>
      </c>
      <c r="AD199" s="8" t="s">
        <v>375</v>
      </c>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c r="BU199" s="8"/>
      <c r="BV199" s="8"/>
      <c r="BW199" s="8"/>
      <c r="BX199" s="8"/>
      <c r="BY199" s="8"/>
      <c r="BZ199" s="8"/>
      <c r="CA199" s="8"/>
      <c r="CB199" s="8"/>
      <c r="CC199" s="8"/>
      <c r="CD199" s="8"/>
      <c r="CE199" s="8"/>
      <c r="CF199" s="8"/>
      <c r="CG199" s="8"/>
      <c r="CH199" s="8"/>
      <c r="CI199" s="8"/>
      <c r="CJ199" s="8"/>
      <c r="CK199" s="8"/>
      <c r="CL199" s="8"/>
      <c r="CM199" s="8"/>
      <c r="CN199" s="8"/>
      <c r="CO199" s="8"/>
      <c r="CP199" s="8"/>
      <c r="CQ199" s="8"/>
      <c r="CR199" s="8"/>
      <c r="CS199" s="8"/>
      <c r="CT199" s="8"/>
      <c r="CU199" s="8"/>
      <c r="CV199" s="8"/>
      <c r="CW199" s="8"/>
      <c r="CX199" s="8"/>
      <c r="CY199" s="8"/>
      <c r="CZ199" s="8"/>
      <c r="DA199" s="8"/>
      <c r="DB199" s="8"/>
      <c r="DC199" s="8"/>
      <c r="DD199" s="8"/>
    </row>
    <row r="200" spans="1:108" ht="36" x14ac:dyDescent="0.25">
      <c r="A200" s="6" t="s">
        <v>699</v>
      </c>
      <c r="B200" s="10" t="s">
        <v>698</v>
      </c>
      <c r="C200" s="11" t="s">
        <v>373</v>
      </c>
      <c r="D200" s="11" t="s">
        <v>204</v>
      </c>
      <c r="E200" s="11" t="s">
        <v>300</v>
      </c>
      <c r="F200" s="11" t="s">
        <v>301</v>
      </c>
      <c r="G200" s="11" t="s">
        <v>313</v>
      </c>
      <c r="H200" s="11" t="s">
        <v>333</v>
      </c>
      <c r="I200" s="11"/>
      <c r="J200" s="20">
        <v>90</v>
      </c>
      <c r="K200" s="20">
        <v>70</v>
      </c>
      <c r="L200" s="11"/>
      <c r="M200" s="11"/>
      <c r="N200" s="11"/>
      <c r="O200" s="11"/>
      <c r="P200" s="11"/>
      <c r="Q200" s="10"/>
      <c r="R200" s="11" t="s">
        <v>828</v>
      </c>
      <c r="S200" s="11"/>
      <c r="T200" s="11"/>
      <c r="U200" s="11"/>
      <c r="V200" s="11" t="s">
        <v>305</v>
      </c>
      <c r="W200" s="11" t="s">
        <v>306</v>
      </c>
      <c r="X200" s="20">
        <v>0</v>
      </c>
      <c r="Y200" s="11" t="b">
        <v>0</v>
      </c>
      <c r="Z200" s="11" t="b">
        <v>0</v>
      </c>
      <c r="AA200" s="11"/>
      <c r="AB200" s="11" t="s">
        <v>218</v>
      </c>
      <c r="AC200" s="11" t="s">
        <v>375</v>
      </c>
      <c r="AD200" s="11" t="s">
        <v>375</v>
      </c>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c r="BC200" s="11"/>
      <c r="BD200" s="11"/>
      <c r="BE200" s="11"/>
      <c r="BF200" s="11"/>
      <c r="BG200" s="11"/>
      <c r="BH200" s="11"/>
      <c r="BI200" s="11"/>
      <c r="BJ200" s="11"/>
      <c r="BK200" s="11"/>
      <c r="BL200" s="11"/>
      <c r="BM200" s="11"/>
      <c r="BN200" s="11"/>
      <c r="BO200" s="11"/>
      <c r="BP200" s="11"/>
      <c r="BQ200" s="11"/>
      <c r="BR200" s="11"/>
      <c r="BS200" s="11"/>
      <c r="BT200" s="11"/>
      <c r="BU200" s="11"/>
      <c r="BV200" s="11"/>
      <c r="BW200" s="11"/>
      <c r="BX200" s="11"/>
      <c r="BY200" s="11"/>
      <c r="BZ200" s="11"/>
      <c r="CA200" s="11"/>
      <c r="CB200" s="11"/>
      <c r="CC200" s="11"/>
      <c r="CD200" s="11"/>
      <c r="CE200" s="11"/>
      <c r="CF200" s="11"/>
      <c r="CG200" s="11"/>
      <c r="CH200" s="11"/>
      <c r="CI200" s="11"/>
      <c r="CJ200" s="11"/>
      <c r="CK200" s="11"/>
      <c r="CL200" s="11"/>
      <c r="CM200" s="11"/>
      <c r="CN200" s="11"/>
      <c r="CO200" s="11"/>
      <c r="CP200" s="11"/>
      <c r="CQ200" s="11"/>
      <c r="CR200" s="11"/>
      <c r="CS200" s="11"/>
      <c r="CT200" s="11"/>
      <c r="CU200" s="11"/>
      <c r="CV200" s="11"/>
      <c r="CW200" s="11"/>
      <c r="CX200" s="11"/>
      <c r="CY200" s="11"/>
      <c r="CZ200" s="11"/>
      <c r="DA200" s="11"/>
      <c r="DB200" s="11"/>
      <c r="DC200" s="11"/>
      <c r="DD200" s="11"/>
    </row>
    <row r="201" spans="1:108" x14ac:dyDescent="0.25">
      <c r="A201" s="6" t="s">
        <v>703</v>
      </c>
      <c r="B201" s="10" t="s">
        <v>702</v>
      </c>
      <c r="C201" s="11" t="s">
        <v>298</v>
      </c>
      <c r="D201" s="11" t="s">
        <v>299</v>
      </c>
      <c r="E201" s="11" t="s">
        <v>300</v>
      </c>
      <c r="F201" s="11" t="s">
        <v>301</v>
      </c>
      <c r="G201" s="11" t="s">
        <v>302</v>
      </c>
      <c r="H201" s="11" t="s">
        <v>303</v>
      </c>
      <c r="I201" s="11" t="s">
        <v>300</v>
      </c>
      <c r="J201" s="20">
        <v>90</v>
      </c>
      <c r="K201" s="20">
        <v>70</v>
      </c>
      <c r="L201" s="11"/>
      <c r="M201" s="11"/>
      <c r="N201" s="11"/>
      <c r="O201" s="11"/>
      <c r="P201" s="11"/>
      <c r="Q201" s="10"/>
      <c r="R201" s="11" t="s">
        <v>829</v>
      </c>
      <c r="S201" s="11"/>
      <c r="T201" s="11"/>
      <c r="U201" s="11"/>
      <c r="V201" s="11" t="s">
        <v>305</v>
      </c>
      <c r="W201" s="11" t="s">
        <v>306</v>
      </c>
      <c r="X201" s="20">
        <v>0</v>
      </c>
      <c r="Y201" s="11" t="b">
        <v>0</v>
      </c>
      <c r="Z201" s="11" t="b">
        <v>0</v>
      </c>
      <c r="AA201" s="11"/>
      <c r="AB201" s="11" t="s">
        <v>218</v>
      </c>
      <c r="AC201" s="11" t="s">
        <v>307</v>
      </c>
      <c r="AD201" s="11" t="s">
        <v>307</v>
      </c>
      <c r="AE201" s="20">
        <v>50</v>
      </c>
      <c r="AF201" s="20">
        <v>100</v>
      </c>
      <c r="AG201" s="20">
        <v>100</v>
      </c>
      <c r="AH201" s="20">
        <v>100</v>
      </c>
      <c r="AI201" s="20">
        <v>100</v>
      </c>
      <c r="AJ201" s="11"/>
      <c r="AK201" s="11"/>
      <c r="AL201" s="11"/>
      <c r="AM201" s="11"/>
      <c r="AN201" s="11"/>
      <c r="AO201" s="11"/>
      <c r="AP201" s="11"/>
      <c r="AQ201" s="11"/>
      <c r="AR201" s="11"/>
      <c r="AS201" s="11"/>
      <c r="AT201" s="11"/>
      <c r="AU201" s="20">
        <v>50</v>
      </c>
      <c r="AV201" s="11"/>
      <c r="AW201" s="11"/>
      <c r="AX201" s="11"/>
      <c r="AY201" s="11"/>
      <c r="AZ201" s="11"/>
      <c r="BA201" s="11"/>
      <c r="BB201" s="11"/>
      <c r="BC201" s="11"/>
      <c r="BD201" s="11"/>
      <c r="BE201" s="11"/>
      <c r="BF201" s="11"/>
      <c r="BG201" s="20">
        <v>100</v>
      </c>
      <c r="BH201" s="11"/>
      <c r="BI201" s="11"/>
      <c r="BJ201" s="11"/>
      <c r="BK201" s="11"/>
      <c r="BL201" s="11"/>
      <c r="BM201" s="11"/>
      <c r="BN201" s="11"/>
      <c r="BO201" s="11"/>
      <c r="BP201" s="11"/>
      <c r="BQ201" s="11"/>
      <c r="BR201" s="11"/>
      <c r="BS201" s="20">
        <v>100</v>
      </c>
      <c r="BT201" s="11"/>
      <c r="BU201" s="11"/>
      <c r="BV201" s="11"/>
      <c r="BW201" s="11"/>
      <c r="BX201" s="11"/>
      <c r="BY201" s="11"/>
      <c r="BZ201" s="11"/>
      <c r="CA201" s="11"/>
      <c r="CB201" s="11"/>
      <c r="CC201" s="11"/>
      <c r="CD201" s="11"/>
      <c r="CE201" s="20">
        <v>100</v>
      </c>
      <c r="CF201" s="11"/>
      <c r="CG201" s="11"/>
      <c r="CH201" s="11"/>
      <c r="CI201" s="11"/>
      <c r="CJ201" s="11"/>
      <c r="CK201" s="11"/>
      <c r="CL201" s="11"/>
      <c r="CM201" s="11"/>
      <c r="CN201" s="11"/>
      <c r="CO201" s="11"/>
      <c r="CP201" s="11"/>
      <c r="CQ201" s="20">
        <v>100</v>
      </c>
      <c r="CR201" s="11"/>
      <c r="CS201" s="11"/>
      <c r="CT201" s="11"/>
      <c r="CU201" s="11"/>
      <c r="CV201" s="11"/>
      <c r="CW201" s="11"/>
      <c r="CX201" s="11"/>
      <c r="CY201" s="11"/>
      <c r="CZ201" s="11"/>
      <c r="DA201" s="11"/>
      <c r="DB201" s="11"/>
      <c r="DC201" s="11"/>
      <c r="DD201" s="11"/>
    </row>
    <row r="202" spans="1:108" x14ac:dyDescent="0.25">
      <c r="A202" s="6" t="s">
        <v>703</v>
      </c>
      <c r="B202" s="7" t="s">
        <v>702</v>
      </c>
      <c r="C202" s="8" t="s">
        <v>298</v>
      </c>
      <c r="D202" s="8" t="s">
        <v>308</v>
      </c>
      <c r="E202" s="8" t="s">
        <v>300</v>
      </c>
      <c r="F202" s="8" t="s">
        <v>301</v>
      </c>
      <c r="G202" s="8" t="s">
        <v>302</v>
      </c>
      <c r="H202" s="8" t="s">
        <v>303</v>
      </c>
      <c r="I202" s="8" t="s">
        <v>300</v>
      </c>
      <c r="J202" s="21">
        <v>90</v>
      </c>
      <c r="K202" s="21">
        <v>70</v>
      </c>
      <c r="L202" s="8"/>
      <c r="M202" s="8"/>
      <c r="N202" s="8"/>
      <c r="O202" s="8"/>
      <c r="P202" s="8"/>
      <c r="Q202" s="7"/>
      <c r="R202" s="8" t="s">
        <v>829</v>
      </c>
      <c r="S202" s="8"/>
      <c r="T202" s="8"/>
      <c r="U202" s="8"/>
      <c r="V202" s="8" t="s">
        <v>305</v>
      </c>
      <c r="W202" s="8" t="s">
        <v>306</v>
      </c>
      <c r="X202" s="21">
        <v>0</v>
      </c>
      <c r="Y202" s="8" t="b">
        <v>0</v>
      </c>
      <c r="Z202" s="8" t="b">
        <v>0</v>
      </c>
      <c r="AA202" s="8"/>
      <c r="AB202" s="8" t="s">
        <v>218</v>
      </c>
      <c r="AC202" s="8" t="s">
        <v>307</v>
      </c>
      <c r="AD202" s="8" t="s">
        <v>307</v>
      </c>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c r="BU202" s="8"/>
      <c r="BV202" s="8"/>
      <c r="BW202" s="8"/>
      <c r="BX202" s="8"/>
      <c r="BY202" s="8"/>
      <c r="BZ202" s="8"/>
      <c r="CA202" s="8"/>
      <c r="CB202" s="8"/>
      <c r="CC202" s="8"/>
      <c r="CD202" s="8"/>
      <c r="CE202" s="8"/>
      <c r="CF202" s="8"/>
      <c r="CG202" s="8"/>
      <c r="CH202" s="8"/>
      <c r="CI202" s="8"/>
      <c r="CJ202" s="8"/>
      <c r="CK202" s="8"/>
      <c r="CL202" s="8"/>
      <c r="CM202" s="8"/>
      <c r="CN202" s="8"/>
      <c r="CO202" s="8"/>
      <c r="CP202" s="8"/>
      <c r="CQ202" s="8"/>
      <c r="CR202" s="8"/>
      <c r="CS202" s="8"/>
      <c r="CT202" s="8"/>
      <c r="CU202" s="8"/>
      <c r="CV202" s="8"/>
      <c r="CW202" s="8"/>
      <c r="CX202" s="8"/>
      <c r="CY202" s="8"/>
      <c r="CZ202" s="8"/>
      <c r="DA202" s="8"/>
      <c r="DB202" s="8"/>
      <c r="DC202" s="8"/>
      <c r="DD202" s="8"/>
    </row>
    <row r="203" spans="1:108" x14ac:dyDescent="0.25">
      <c r="A203" s="6" t="s">
        <v>703</v>
      </c>
      <c r="B203" s="10" t="s">
        <v>702</v>
      </c>
      <c r="C203" s="11" t="s">
        <v>298</v>
      </c>
      <c r="D203" s="11" t="s">
        <v>204</v>
      </c>
      <c r="E203" s="11" t="s">
        <v>300</v>
      </c>
      <c r="F203" s="11" t="s">
        <v>301</v>
      </c>
      <c r="G203" s="11" t="s">
        <v>302</v>
      </c>
      <c r="H203" s="11" t="s">
        <v>303</v>
      </c>
      <c r="I203" s="11" t="s">
        <v>300</v>
      </c>
      <c r="J203" s="20">
        <v>90</v>
      </c>
      <c r="K203" s="20">
        <v>70</v>
      </c>
      <c r="L203" s="11"/>
      <c r="M203" s="11"/>
      <c r="N203" s="11"/>
      <c r="O203" s="11"/>
      <c r="P203" s="11"/>
      <c r="Q203" s="10"/>
      <c r="R203" s="11" t="s">
        <v>829</v>
      </c>
      <c r="S203" s="11"/>
      <c r="T203" s="11"/>
      <c r="U203" s="11"/>
      <c r="V203" s="11" t="s">
        <v>305</v>
      </c>
      <c r="W203" s="11" t="s">
        <v>306</v>
      </c>
      <c r="X203" s="20">
        <v>0</v>
      </c>
      <c r="Y203" s="11" t="b">
        <v>0</v>
      </c>
      <c r="Z203" s="11" t="b">
        <v>0</v>
      </c>
      <c r="AA203" s="11"/>
      <c r="AB203" s="11" t="s">
        <v>218</v>
      </c>
      <c r="AC203" s="11" t="s">
        <v>307</v>
      </c>
      <c r="AD203" s="11" t="s">
        <v>307</v>
      </c>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c r="BC203" s="11"/>
      <c r="BD203" s="11"/>
      <c r="BE203" s="11"/>
      <c r="BF203" s="11"/>
      <c r="BG203" s="11"/>
      <c r="BH203" s="11"/>
      <c r="BI203" s="11"/>
      <c r="BJ203" s="11"/>
      <c r="BK203" s="11"/>
      <c r="BL203" s="11"/>
      <c r="BM203" s="11"/>
      <c r="BN203" s="11"/>
      <c r="BO203" s="11"/>
      <c r="BP203" s="11"/>
      <c r="BQ203" s="11"/>
      <c r="BR203" s="11"/>
      <c r="BS203" s="11"/>
      <c r="BT203" s="11"/>
      <c r="BU203" s="11"/>
      <c r="BV203" s="11"/>
      <c r="BW203" s="11"/>
      <c r="BX203" s="11"/>
      <c r="BY203" s="11"/>
      <c r="BZ203" s="11"/>
      <c r="CA203" s="11"/>
      <c r="CB203" s="11"/>
      <c r="CC203" s="11"/>
      <c r="CD203" s="11"/>
      <c r="CE203" s="11"/>
      <c r="CF203" s="11"/>
      <c r="CG203" s="11"/>
      <c r="CH203" s="11"/>
      <c r="CI203" s="11"/>
      <c r="CJ203" s="11"/>
      <c r="CK203" s="11"/>
      <c r="CL203" s="11"/>
      <c r="CM203" s="11"/>
      <c r="CN203" s="11"/>
      <c r="CO203" s="11"/>
      <c r="CP203" s="11"/>
      <c r="CQ203" s="11"/>
      <c r="CR203" s="11"/>
      <c r="CS203" s="11"/>
      <c r="CT203" s="11"/>
      <c r="CU203" s="11"/>
      <c r="CV203" s="11"/>
      <c r="CW203" s="11"/>
      <c r="CX203" s="11"/>
      <c r="CY203" s="11"/>
      <c r="CZ203" s="11"/>
      <c r="DA203" s="11"/>
      <c r="DB203" s="11"/>
      <c r="DC203" s="11"/>
      <c r="DD203" s="11"/>
    </row>
    <row r="204" spans="1:108" x14ac:dyDescent="0.25">
      <c r="A204" s="6" t="s">
        <v>703</v>
      </c>
      <c r="B204" s="7" t="s">
        <v>702</v>
      </c>
      <c r="C204" s="8" t="s">
        <v>309</v>
      </c>
      <c r="D204" s="8" t="s">
        <v>299</v>
      </c>
      <c r="E204" s="8" t="s">
        <v>300</v>
      </c>
      <c r="F204" s="8" t="s">
        <v>301</v>
      </c>
      <c r="G204" s="8" t="s">
        <v>302</v>
      </c>
      <c r="H204" s="8" t="s">
        <v>303</v>
      </c>
      <c r="I204" s="8" t="s">
        <v>300</v>
      </c>
      <c r="J204" s="21">
        <v>90</v>
      </c>
      <c r="K204" s="21">
        <v>70</v>
      </c>
      <c r="L204" s="8"/>
      <c r="M204" s="8"/>
      <c r="N204" s="8"/>
      <c r="O204" s="8"/>
      <c r="P204" s="8"/>
      <c r="Q204" s="7" t="s">
        <v>310</v>
      </c>
      <c r="R204" s="8" t="s">
        <v>830</v>
      </c>
      <c r="S204" s="8"/>
      <c r="T204" s="8"/>
      <c r="U204" s="8"/>
      <c r="V204" s="8" t="s">
        <v>305</v>
      </c>
      <c r="W204" s="8" t="s">
        <v>306</v>
      </c>
      <c r="X204" s="21">
        <v>0</v>
      </c>
      <c r="Y204" s="8" t="b">
        <v>0</v>
      </c>
      <c r="Z204" s="8" t="b">
        <v>0</v>
      </c>
      <c r="AA204" s="8"/>
      <c r="AB204" s="8" t="s">
        <v>218</v>
      </c>
      <c r="AC204" s="8" t="s">
        <v>312</v>
      </c>
      <c r="AD204" s="8" t="s">
        <v>312</v>
      </c>
      <c r="AE204" s="8"/>
      <c r="AF204" s="21">
        <v>25</v>
      </c>
      <c r="AG204" s="21">
        <v>25</v>
      </c>
      <c r="AH204" s="21">
        <v>25</v>
      </c>
      <c r="AI204" s="21">
        <v>25</v>
      </c>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21">
        <v>25</v>
      </c>
      <c r="BH204" s="8"/>
      <c r="BI204" s="8"/>
      <c r="BJ204" s="8"/>
      <c r="BK204" s="8"/>
      <c r="BL204" s="8"/>
      <c r="BM204" s="8"/>
      <c r="BN204" s="8"/>
      <c r="BO204" s="8"/>
      <c r="BP204" s="8"/>
      <c r="BQ204" s="8"/>
      <c r="BR204" s="8"/>
      <c r="BS204" s="21">
        <v>25</v>
      </c>
      <c r="BT204" s="8"/>
      <c r="BU204" s="8"/>
      <c r="BV204" s="8"/>
      <c r="BW204" s="8"/>
      <c r="BX204" s="8"/>
      <c r="BY204" s="8"/>
      <c r="BZ204" s="8"/>
      <c r="CA204" s="8"/>
      <c r="CB204" s="8"/>
      <c r="CC204" s="8"/>
      <c r="CD204" s="8"/>
      <c r="CE204" s="21">
        <v>25</v>
      </c>
      <c r="CF204" s="8"/>
      <c r="CG204" s="8"/>
      <c r="CH204" s="8"/>
      <c r="CI204" s="8"/>
      <c r="CJ204" s="8"/>
      <c r="CK204" s="8"/>
      <c r="CL204" s="8"/>
      <c r="CM204" s="8"/>
      <c r="CN204" s="8"/>
      <c r="CO204" s="8"/>
      <c r="CP204" s="8"/>
      <c r="CQ204" s="21">
        <v>25</v>
      </c>
      <c r="CR204" s="8"/>
      <c r="CS204" s="8"/>
      <c r="CT204" s="8"/>
      <c r="CU204" s="8"/>
      <c r="CV204" s="8"/>
      <c r="CW204" s="8"/>
      <c r="CX204" s="8"/>
      <c r="CY204" s="8"/>
      <c r="CZ204" s="8"/>
      <c r="DA204" s="8"/>
      <c r="DB204" s="8"/>
      <c r="DC204" s="8"/>
      <c r="DD204" s="8"/>
    </row>
    <row r="205" spans="1:108" x14ac:dyDescent="0.25">
      <c r="A205" s="6" t="s">
        <v>703</v>
      </c>
      <c r="B205" s="10" t="s">
        <v>702</v>
      </c>
      <c r="C205" s="11" t="s">
        <v>309</v>
      </c>
      <c r="D205" s="11" t="s">
        <v>308</v>
      </c>
      <c r="E205" s="11" t="s">
        <v>300</v>
      </c>
      <c r="F205" s="11" t="s">
        <v>301</v>
      </c>
      <c r="G205" s="11" t="s">
        <v>302</v>
      </c>
      <c r="H205" s="11" t="s">
        <v>303</v>
      </c>
      <c r="I205" s="11" t="s">
        <v>300</v>
      </c>
      <c r="J205" s="20">
        <v>90</v>
      </c>
      <c r="K205" s="20">
        <v>70</v>
      </c>
      <c r="L205" s="11"/>
      <c r="M205" s="11"/>
      <c r="N205" s="11"/>
      <c r="O205" s="11"/>
      <c r="P205" s="11"/>
      <c r="Q205" s="10" t="s">
        <v>310</v>
      </c>
      <c r="R205" s="11" t="s">
        <v>830</v>
      </c>
      <c r="S205" s="11"/>
      <c r="T205" s="11"/>
      <c r="U205" s="11"/>
      <c r="V205" s="11" t="s">
        <v>305</v>
      </c>
      <c r="W205" s="11" t="s">
        <v>306</v>
      </c>
      <c r="X205" s="20">
        <v>0</v>
      </c>
      <c r="Y205" s="11" t="b">
        <v>0</v>
      </c>
      <c r="Z205" s="11" t="b">
        <v>0</v>
      </c>
      <c r="AA205" s="11"/>
      <c r="AB205" s="11" t="s">
        <v>218</v>
      </c>
      <c r="AC205" s="11" t="s">
        <v>312</v>
      </c>
      <c r="AD205" s="11" t="s">
        <v>312</v>
      </c>
      <c r="AE205" s="20">
        <v>5</v>
      </c>
      <c r="AF205" s="20">
        <v>29.99</v>
      </c>
      <c r="AG205" s="20">
        <v>29.98</v>
      </c>
      <c r="AH205" s="20">
        <v>30</v>
      </c>
      <c r="AI205" s="20">
        <v>30</v>
      </c>
      <c r="AJ205" s="11"/>
      <c r="AK205" s="11"/>
      <c r="AL205" s="11"/>
      <c r="AM205" s="11"/>
      <c r="AN205" s="11"/>
      <c r="AO205" s="11"/>
      <c r="AP205" s="11"/>
      <c r="AQ205" s="11"/>
      <c r="AR205" s="11"/>
      <c r="AS205" s="11"/>
      <c r="AT205" s="11"/>
      <c r="AU205" s="20">
        <v>5</v>
      </c>
      <c r="AV205" s="11"/>
      <c r="AW205" s="11"/>
      <c r="AX205" s="11"/>
      <c r="AY205" s="11"/>
      <c r="AZ205" s="11"/>
      <c r="BA205" s="11"/>
      <c r="BB205" s="11"/>
      <c r="BC205" s="11"/>
      <c r="BD205" s="11"/>
      <c r="BE205" s="11"/>
      <c r="BF205" s="11"/>
      <c r="BG205" s="20">
        <v>29.99</v>
      </c>
      <c r="BH205" s="11"/>
      <c r="BI205" s="11"/>
      <c r="BJ205" s="11"/>
      <c r="BK205" s="11"/>
      <c r="BL205" s="11"/>
      <c r="BM205" s="11"/>
      <c r="BN205" s="11"/>
      <c r="BO205" s="11"/>
      <c r="BP205" s="11"/>
      <c r="BQ205" s="11"/>
      <c r="BR205" s="11"/>
      <c r="BS205" s="20">
        <v>29.98</v>
      </c>
      <c r="BT205" s="11"/>
      <c r="BU205" s="11"/>
      <c r="BV205" s="11"/>
      <c r="BW205" s="11"/>
      <c r="BX205" s="11"/>
      <c r="BY205" s="11"/>
      <c r="BZ205" s="11"/>
      <c r="CA205" s="11"/>
      <c r="CB205" s="11"/>
      <c r="CC205" s="11"/>
      <c r="CD205" s="11"/>
      <c r="CE205" s="20">
        <v>30</v>
      </c>
      <c r="CF205" s="11"/>
      <c r="CG205" s="11"/>
      <c r="CH205" s="11"/>
      <c r="CI205" s="11"/>
      <c r="CJ205" s="11"/>
      <c r="CK205" s="11"/>
      <c r="CL205" s="11"/>
      <c r="CM205" s="11"/>
      <c r="CN205" s="11"/>
      <c r="CO205" s="11"/>
      <c r="CP205" s="11"/>
      <c r="CQ205" s="20">
        <v>30</v>
      </c>
      <c r="CR205" s="11"/>
      <c r="CS205" s="11"/>
      <c r="CT205" s="11"/>
      <c r="CU205" s="11"/>
      <c r="CV205" s="11"/>
      <c r="CW205" s="11"/>
      <c r="CX205" s="11"/>
      <c r="CY205" s="11"/>
      <c r="CZ205" s="11"/>
      <c r="DA205" s="11"/>
      <c r="DB205" s="11"/>
      <c r="DC205" s="11"/>
      <c r="DD205" s="11"/>
    </row>
    <row r="206" spans="1:108" x14ac:dyDescent="0.25">
      <c r="A206" s="6" t="s">
        <v>703</v>
      </c>
      <c r="B206" s="7" t="s">
        <v>702</v>
      </c>
      <c r="C206" s="8" t="s">
        <v>309</v>
      </c>
      <c r="D206" s="8" t="s">
        <v>204</v>
      </c>
      <c r="E206" s="8" t="s">
        <v>300</v>
      </c>
      <c r="F206" s="8" t="s">
        <v>301</v>
      </c>
      <c r="G206" s="8" t="s">
        <v>302</v>
      </c>
      <c r="H206" s="8" t="s">
        <v>303</v>
      </c>
      <c r="I206" s="8" t="s">
        <v>300</v>
      </c>
      <c r="J206" s="21">
        <v>90</v>
      </c>
      <c r="K206" s="21">
        <v>70</v>
      </c>
      <c r="L206" s="8"/>
      <c r="M206" s="8"/>
      <c r="N206" s="8"/>
      <c r="O206" s="8"/>
      <c r="P206" s="8"/>
      <c r="Q206" s="7" t="s">
        <v>310</v>
      </c>
      <c r="R206" s="8" t="s">
        <v>830</v>
      </c>
      <c r="S206" s="8"/>
      <c r="T206" s="8"/>
      <c r="U206" s="8"/>
      <c r="V206" s="8" t="s">
        <v>305</v>
      </c>
      <c r="W206" s="8" t="s">
        <v>306</v>
      </c>
      <c r="X206" s="21">
        <v>0</v>
      </c>
      <c r="Y206" s="8" t="b">
        <v>0</v>
      </c>
      <c r="Z206" s="8" t="b">
        <v>0</v>
      </c>
      <c r="AA206" s="8"/>
      <c r="AB206" s="8" t="s">
        <v>218</v>
      </c>
      <c r="AC206" s="8" t="s">
        <v>312</v>
      </c>
      <c r="AD206" s="8" t="s">
        <v>312</v>
      </c>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c r="BU206" s="8"/>
      <c r="BV206" s="8"/>
      <c r="BW206" s="8"/>
      <c r="BX206" s="8"/>
      <c r="BY206" s="8"/>
      <c r="BZ206" s="8"/>
      <c r="CA206" s="8"/>
      <c r="CB206" s="8"/>
      <c r="CC206" s="8"/>
      <c r="CD206" s="8"/>
      <c r="CE206" s="8"/>
      <c r="CF206" s="8"/>
      <c r="CG206" s="8"/>
      <c r="CH206" s="8"/>
      <c r="CI206" s="8"/>
      <c r="CJ206" s="8"/>
      <c r="CK206" s="8"/>
      <c r="CL206" s="8"/>
      <c r="CM206" s="8"/>
      <c r="CN206" s="8"/>
      <c r="CO206" s="8"/>
      <c r="CP206" s="8"/>
      <c r="CQ206" s="8"/>
      <c r="CR206" s="8"/>
      <c r="CS206" s="8"/>
      <c r="CT206" s="8"/>
      <c r="CU206" s="8"/>
      <c r="CV206" s="8"/>
      <c r="CW206" s="8"/>
      <c r="CX206" s="8"/>
      <c r="CY206" s="8"/>
      <c r="CZ206" s="8"/>
      <c r="DA206" s="8"/>
      <c r="DB206" s="8"/>
      <c r="DC206" s="8"/>
      <c r="DD206" s="8"/>
    </row>
    <row r="207" spans="1:108" x14ac:dyDescent="0.25">
      <c r="A207" s="6" t="s">
        <v>703</v>
      </c>
      <c r="B207" s="10" t="s">
        <v>702</v>
      </c>
      <c r="C207" s="11" t="s">
        <v>206</v>
      </c>
      <c r="D207" s="11" t="s">
        <v>299</v>
      </c>
      <c r="E207" s="11" t="s">
        <v>300</v>
      </c>
      <c r="F207" s="11" t="s">
        <v>301</v>
      </c>
      <c r="G207" s="11" t="s">
        <v>313</v>
      </c>
      <c r="H207" s="11" t="s">
        <v>303</v>
      </c>
      <c r="I207" s="11" t="s">
        <v>314</v>
      </c>
      <c r="J207" s="20">
        <v>90</v>
      </c>
      <c r="K207" s="20">
        <v>70</v>
      </c>
      <c r="L207" s="11"/>
      <c r="M207" s="11"/>
      <c r="N207" s="11"/>
      <c r="O207" s="11"/>
      <c r="P207" s="11"/>
      <c r="Q207" s="10"/>
      <c r="R207" s="11" t="s">
        <v>831</v>
      </c>
      <c r="S207" s="11"/>
      <c r="T207" s="11"/>
      <c r="U207" s="11"/>
      <c r="V207" s="11" t="s">
        <v>305</v>
      </c>
      <c r="W207" s="11" t="s">
        <v>306</v>
      </c>
      <c r="X207" s="20">
        <v>0</v>
      </c>
      <c r="Y207" s="11" t="b">
        <v>0</v>
      </c>
      <c r="Z207" s="11" t="b">
        <v>0</v>
      </c>
      <c r="AA207" s="11"/>
      <c r="AB207" s="11" t="s">
        <v>218</v>
      </c>
      <c r="AC207" s="11" t="s">
        <v>316</v>
      </c>
      <c r="AD207" s="11" t="s">
        <v>316</v>
      </c>
      <c r="AE207" s="20">
        <v>70</v>
      </c>
      <c r="AF207" s="20">
        <v>75.2</v>
      </c>
      <c r="AG207" s="20">
        <v>77.5</v>
      </c>
      <c r="AH207" s="20">
        <v>77.5</v>
      </c>
      <c r="AI207" s="20">
        <v>77.5</v>
      </c>
      <c r="AJ207" s="11"/>
      <c r="AK207" s="11"/>
      <c r="AL207" s="11"/>
      <c r="AM207" s="11"/>
      <c r="AN207" s="11"/>
      <c r="AO207" s="11"/>
      <c r="AP207" s="11"/>
      <c r="AQ207" s="11"/>
      <c r="AR207" s="11"/>
      <c r="AS207" s="11"/>
      <c r="AT207" s="11"/>
      <c r="AU207" s="20">
        <v>70</v>
      </c>
      <c r="AV207" s="11"/>
      <c r="AW207" s="11"/>
      <c r="AX207" s="11"/>
      <c r="AY207" s="11"/>
      <c r="AZ207" s="11"/>
      <c r="BA207" s="11"/>
      <c r="BB207" s="11"/>
      <c r="BC207" s="11"/>
      <c r="BD207" s="11"/>
      <c r="BE207" s="11"/>
      <c r="BF207" s="11"/>
      <c r="BG207" s="20">
        <v>75.2</v>
      </c>
      <c r="BH207" s="11"/>
      <c r="BI207" s="11"/>
      <c r="BJ207" s="11"/>
      <c r="BK207" s="11"/>
      <c r="BL207" s="11"/>
      <c r="BM207" s="11"/>
      <c r="BN207" s="11"/>
      <c r="BO207" s="11"/>
      <c r="BP207" s="11"/>
      <c r="BQ207" s="11"/>
      <c r="BR207" s="11"/>
      <c r="BS207" s="20">
        <v>77.5</v>
      </c>
      <c r="BT207" s="11"/>
      <c r="BU207" s="11"/>
      <c r="BV207" s="11"/>
      <c r="BW207" s="11"/>
      <c r="BX207" s="11"/>
      <c r="BY207" s="11"/>
      <c r="BZ207" s="11"/>
      <c r="CA207" s="11"/>
      <c r="CB207" s="11"/>
      <c r="CC207" s="11"/>
      <c r="CD207" s="11"/>
      <c r="CE207" s="20">
        <v>77.5</v>
      </c>
      <c r="CF207" s="11"/>
      <c r="CG207" s="11"/>
      <c r="CH207" s="11"/>
      <c r="CI207" s="11"/>
      <c r="CJ207" s="11"/>
      <c r="CK207" s="11"/>
      <c r="CL207" s="11"/>
      <c r="CM207" s="11"/>
      <c r="CN207" s="11"/>
      <c r="CO207" s="11"/>
      <c r="CP207" s="11"/>
      <c r="CQ207" s="20">
        <v>77.5</v>
      </c>
      <c r="CR207" s="11"/>
      <c r="CS207" s="11"/>
      <c r="CT207" s="11"/>
      <c r="CU207" s="11"/>
      <c r="CV207" s="11"/>
      <c r="CW207" s="11"/>
      <c r="CX207" s="11"/>
      <c r="CY207" s="11"/>
      <c r="CZ207" s="11"/>
      <c r="DA207" s="11"/>
      <c r="DB207" s="11"/>
      <c r="DC207" s="11"/>
      <c r="DD207" s="11"/>
    </row>
    <row r="208" spans="1:108" x14ac:dyDescent="0.25">
      <c r="A208" s="6" t="s">
        <v>703</v>
      </c>
      <c r="B208" s="7" t="s">
        <v>702</v>
      </c>
      <c r="C208" s="8" t="s">
        <v>206</v>
      </c>
      <c r="D208" s="8" t="s">
        <v>308</v>
      </c>
      <c r="E208" s="8" t="s">
        <v>300</v>
      </c>
      <c r="F208" s="8" t="s">
        <v>301</v>
      </c>
      <c r="G208" s="8" t="s">
        <v>313</v>
      </c>
      <c r="H208" s="8" t="s">
        <v>303</v>
      </c>
      <c r="I208" s="8" t="s">
        <v>314</v>
      </c>
      <c r="J208" s="21">
        <v>90</v>
      </c>
      <c r="K208" s="21">
        <v>70</v>
      </c>
      <c r="L208" s="8"/>
      <c r="M208" s="8"/>
      <c r="N208" s="8"/>
      <c r="O208" s="8"/>
      <c r="P208" s="8"/>
      <c r="Q208" s="7"/>
      <c r="R208" s="8" t="s">
        <v>831</v>
      </c>
      <c r="S208" s="8"/>
      <c r="T208" s="8"/>
      <c r="U208" s="8"/>
      <c r="V208" s="8" t="s">
        <v>305</v>
      </c>
      <c r="W208" s="8" t="s">
        <v>306</v>
      </c>
      <c r="X208" s="21">
        <v>0</v>
      </c>
      <c r="Y208" s="8" t="b">
        <v>0</v>
      </c>
      <c r="Z208" s="8" t="b">
        <v>0</v>
      </c>
      <c r="AA208" s="8"/>
      <c r="AB208" s="8" t="s">
        <v>218</v>
      </c>
      <c r="AC208" s="8" t="s">
        <v>316</v>
      </c>
      <c r="AD208" s="8" t="s">
        <v>316</v>
      </c>
      <c r="AE208" s="21">
        <v>70</v>
      </c>
      <c r="AF208" s="21">
        <v>76.400000000000006</v>
      </c>
      <c r="AG208" s="21">
        <v>79</v>
      </c>
      <c r="AH208" s="21">
        <v>79</v>
      </c>
      <c r="AI208" s="21">
        <v>79</v>
      </c>
      <c r="AJ208" s="8"/>
      <c r="AK208" s="8"/>
      <c r="AL208" s="8"/>
      <c r="AM208" s="8"/>
      <c r="AN208" s="8"/>
      <c r="AO208" s="8"/>
      <c r="AP208" s="8"/>
      <c r="AQ208" s="8"/>
      <c r="AR208" s="8"/>
      <c r="AS208" s="8"/>
      <c r="AT208" s="8"/>
      <c r="AU208" s="21">
        <v>70</v>
      </c>
      <c r="AV208" s="8"/>
      <c r="AW208" s="8"/>
      <c r="AX208" s="8"/>
      <c r="AY208" s="8"/>
      <c r="AZ208" s="8"/>
      <c r="BA208" s="8"/>
      <c r="BB208" s="8"/>
      <c r="BC208" s="8"/>
      <c r="BD208" s="8"/>
      <c r="BE208" s="8"/>
      <c r="BF208" s="8"/>
      <c r="BG208" s="21">
        <v>76.400000000000006</v>
      </c>
      <c r="BH208" s="8"/>
      <c r="BI208" s="8"/>
      <c r="BJ208" s="8"/>
      <c r="BK208" s="8"/>
      <c r="BL208" s="8"/>
      <c r="BM208" s="8"/>
      <c r="BN208" s="8"/>
      <c r="BO208" s="8"/>
      <c r="BP208" s="8"/>
      <c r="BQ208" s="8"/>
      <c r="BR208" s="8"/>
      <c r="BS208" s="21">
        <v>79</v>
      </c>
      <c r="BT208" s="8"/>
      <c r="BU208" s="8"/>
      <c r="BV208" s="8"/>
      <c r="BW208" s="8"/>
      <c r="BX208" s="8"/>
      <c r="BY208" s="8"/>
      <c r="BZ208" s="8"/>
      <c r="CA208" s="8"/>
      <c r="CB208" s="8"/>
      <c r="CC208" s="8"/>
      <c r="CD208" s="8"/>
      <c r="CE208" s="21">
        <v>79</v>
      </c>
      <c r="CF208" s="8"/>
      <c r="CG208" s="8"/>
      <c r="CH208" s="8"/>
      <c r="CI208" s="8"/>
      <c r="CJ208" s="8"/>
      <c r="CK208" s="8"/>
      <c r="CL208" s="8"/>
      <c r="CM208" s="8"/>
      <c r="CN208" s="8"/>
      <c r="CO208" s="8"/>
      <c r="CP208" s="8"/>
      <c r="CQ208" s="21">
        <v>79</v>
      </c>
      <c r="CR208" s="8"/>
      <c r="CS208" s="8"/>
      <c r="CT208" s="8"/>
      <c r="CU208" s="8"/>
      <c r="CV208" s="8"/>
      <c r="CW208" s="8"/>
      <c r="CX208" s="8"/>
      <c r="CY208" s="8"/>
      <c r="CZ208" s="8"/>
      <c r="DA208" s="8"/>
      <c r="DB208" s="8"/>
      <c r="DC208" s="8"/>
      <c r="DD208" s="8"/>
    </row>
    <row r="209" spans="1:108" x14ac:dyDescent="0.25">
      <c r="A209" s="6" t="s">
        <v>703</v>
      </c>
      <c r="B209" s="10" t="s">
        <v>702</v>
      </c>
      <c r="C209" s="11" t="s">
        <v>206</v>
      </c>
      <c r="D209" s="11" t="s">
        <v>204</v>
      </c>
      <c r="E209" s="11" t="s">
        <v>300</v>
      </c>
      <c r="F209" s="11" t="s">
        <v>301</v>
      </c>
      <c r="G209" s="11" t="s">
        <v>313</v>
      </c>
      <c r="H209" s="11" t="s">
        <v>303</v>
      </c>
      <c r="I209" s="11" t="s">
        <v>314</v>
      </c>
      <c r="J209" s="20">
        <v>90</v>
      </c>
      <c r="K209" s="20">
        <v>70</v>
      </c>
      <c r="L209" s="11"/>
      <c r="M209" s="11"/>
      <c r="N209" s="11"/>
      <c r="O209" s="11"/>
      <c r="P209" s="11"/>
      <c r="Q209" s="10"/>
      <c r="R209" s="11" t="s">
        <v>831</v>
      </c>
      <c r="S209" s="11"/>
      <c r="T209" s="11"/>
      <c r="U209" s="11"/>
      <c r="V209" s="11" t="s">
        <v>305</v>
      </c>
      <c r="W209" s="11" t="s">
        <v>306</v>
      </c>
      <c r="X209" s="20">
        <v>0</v>
      </c>
      <c r="Y209" s="11" t="b">
        <v>0</v>
      </c>
      <c r="Z209" s="11" t="b">
        <v>0</v>
      </c>
      <c r="AA209" s="11"/>
      <c r="AB209" s="11" t="s">
        <v>218</v>
      </c>
      <c r="AC209" s="11" t="s">
        <v>316</v>
      </c>
      <c r="AD209" s="11" t="s">
        <v>316</v>
      </c>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c r="BC209" s="11"/>
      <c r="BD209" s="11"/>
      <c r="BE209" s="11"/>
      <c r="BF209" s="11"/>
      <c r="BG209" s="11"/>
      <c r="BH209" s="11"/>
      <c r="BI209" s="11"/>
      <c r="BJ209" s="11"/>
      <c r="BK209" s="11"/>
      <c r="BL209" s="11"/>
      <c r="BM209" s="11"/>
      <c r="BN209" s="11"/>
      <c r="BO209" s="11"/>
      <c r="BP209" s="11"/>
      <c r="BQ209" s="11"/>
      <c r="BR209" s="11"/>
      <c r="BS209" s="11"/>
      <c r="BT209" s="11"/>
      <c r="BU209" s="11"/>
      <c r="BV209" s="11"/>
      <c r="BW209" s="11"/>
      <c r="BX209" s="11"/>
      <c r="BY209" s="11"/>
      <c r="BZ209" s="11"/>
      <c r="CA209" s="11"/>
      <c r="CB209" s="11"/>
      <c r="CC209" s="11"/>
      <c r="CD209" s="11"/>
      <c r="CE209" s="11"/>
      <c r="CF209" s="11"/>
      <c r="CG209" s="11"/>
      <c r="CH209" s="11"/>
      <c r="CI209" s="11"/>
      <c r="CJ209" s="11"/>
      <c r="CK209" s="11"/>
      <c r="CL209" s="11"/>
      <c r="CM209" s="11"/>
      <c r="CN209" s="11"/>
      <c r="CO209" s="11"/>
      <c r="CP209" s="11"/>
      <c r="CQ209" s="11"/>
      <c r="CR209" s="11"/>
      <c r="CS209" s="11"/>
      <c r="CT209" s="11"/>
      <c r="CU209" s="11"/>
      <c r="CV209" s="11"/>
      <c r="CW209" s="11"/>
      <c r="CX209" s="11"/>
      <c r="CY209" s="11"/>
      <c r="CZ209" s="11"/>
      <c r="DA209" s="11"/>
      <c r="DB209" s="11"/>
      <c r="DC209" s="11"/>
      <c r="DD209" s="11"/>
    </row>
    <row r="210" spans="1:108" x14ac:dyDescent="0.25">
      <c r="A210" s="6" t="s">
        <v>703</v>
      </c>
      <c r="B210" s="7" t="s">
        <v>702</v>
      </c>
      <c r="C210" s="8" t="s">
        <v>317</v>
      </c>
      <c r="D210" s="8" t="s">
        <v>299</v>
      </c>
      <c r="E210" s="8" t="s">
        <v>300</v>
      </c>
      <c r="F210" s="8" t="s">
        <v>318</v>
      </c>
      <c r="G210" s="8" t="s">
        <v>313</v>
      </c>
      <c r="H210" s="8" t="s">
        <v>303</v>
      </c>
      <c r="I210" s="8" t="s">
        <v>196</v>
      </c>
      <c r="J210" s="21">
        <v>90</v>
      </c>
      <c r="K210" s="21">
        <v>70</v>
      </c>
      <c r="L210" s="8"/>
      <c r="M210" s="8"/>
      <c r="N210" s="8"/>
      <c r="O210" s="8"/>
      <c r="P210" s="8"/>
      <c r="Q210" s="7"/>
      <c r="R210" s="8" t="s">
        <v>832</v>
      </c>
      <c r="S210" s="8"/>
      <c r="T210" s="8"/>
      <c r="U210" s="8"/>
      <c r="V210" s="8" t="s">
        <v>305</v>
      </c>
      <c r="W210" s="8" t="s">
        <v>306</v>
      </c>
      <c r="X210" s="21">
        <v>0</v>
      </c>
      <c r="Y210" s="8" t="b">
        <v>0</v>
      </c>
      <c r="Z210" s="8" t="b">
        <v>0</v>
      </c>
      <c r="AA210" s="8"/>
      <c r="AB210" s="8" t="s">
        <v>218</v>
      </c>
      <c r="AC210" s="8" t="s">
        <v>320</v>
      </c>
      <c r="AD210" s="8" t="s">
        <v>320</v>
      </c>
      <c r="AE210" s="21">
        <v>359.2</v>
      </c>
      <c r="AF210" s="21">
        <v>434.2</v>
      </c>
      <c r="AG210" s="21">
        <v>479</v>
      </c>
      <c r="AH210" s="21">
        <v>479</v>
      </c>
      <c r="AI210" s="21">
        <v>479</v>
      </c>
      <c r="AJ210" s="21">
        <v>29.94</v>
      </c>
      <c r="AK210" s="21">
        <v>29.94</v>
      </c>
      <c r="AL210" s="21">
        <v>29.94</v>
      </c>
      <c r="AM210" s="21">
        <v>29.94</v>
      </c>
      <c r="AN210" s="21">
        <v>29.94</v>
      </c>
      <c r="AO210" s="21">
        <v>29.94</v>
      </c>
      <c r="AP210" s="21">
        <v>29.94</v>
      </c>
      <c r="AQ210" s="21">
        <v>29.94</v>
      </c>
      <c r="AR210" s="21">
        <v>29.94</v>
      </c>
      <c r="AS210" s="21">
        <v>29.94</v>
      </c>
      <c r="AT210" s="21">
        <v>29.94</v>
      </c>
      <c r="AU210" s="21">
        <v>29.94</v>
      </c>
      <c r="AV210" s="21">
        <v>36.18</v>
      </c>
      <c r="AW210" s="21">
        <v>36.18</v>
      </c>
      <c r="AX210" s="21">
        <v>36.18</v>
      </c>
      <c r="AY210" s="21">
        <v>36.18</v>
      </c>
      <c r="AZ210" s="21">
        <v>36.18</v>
      </c>
      <c r="BA210" s="21">
        <v>36.18</v>
      </c>
      <c r="BB210" s="21">
        <v>36.18</v>
      </c>
      <c r="BC210" s="21">
        <v>36.18</v>
      </c>
      <c r="BD210" s="21">
        <v>36.18</v>
      </c>
      <c r="BE210" s="21">
        <v>36.18</v>
      </c>
      <c r="BF210" s="21">
        <v>36.18</v>
      </c>
      <c r="BG210" s="21">
        <v>36.18</v>
      </c>
      <c r="BH210" s="21">
        <v>39.92</v>
      </c>
      <c r="BI210" s="21">
        <v>39.92</v>
      </c>
      <c r="BJ210" s="21">
        <v>39.92</v>
      </c>
      <c r="BK210" s="21">
        <v>39.92</v>
      </c>
      <c r="BL210" s="21">
        <v>39.92</v>
      </c>
      <c r="BM210" s="21">
        <v>39.92</v>
      </c>
      <c r="BN210" s="21">
        <v>39.92</v>
      </c>
      <c r="BO210" s="21">
        <v>39.92</v>
      </c>
      <c r="BP210" s="21">
        <v>39.92</v>
      </c>
      <c r="BQ210" s="21">
        <v>39.92</v>
      </c>
      <c r="BR210" s="21">
        <v>39.92</v>
      </c>
      <c r="BS210" s="21">
        <v>39.92</v>
      </c>
      <c r="BT210" s="21">
        <v>39.92</v>
      </c>
      <c r="BU210" s="21">
        <v>39.92</v>
      </c>
      <c r="BV210" s="21">
        <v>39.92</v>
      </c>
      <c r="BW210" s="21">
        <v>39.92</v>
      </c>
      <c r="BX210" s="21">
        <v>39.92</v>
      </c>
      <c r="BY210" s="21">
        <v>39.92</v>
      </c>
      <c r="BZ210" s="21">
        <v>39.92</v>
      </c>
      <c r="CA210" s="21">
        <v>39.92</v>
      </c>
      <c r="CB210" s="21">
        <v>39.92</v>
      </c>
      <c r="CC210" s="21">
        <v>39.92</v>
      </c>
      <c r="CD210" s="21">
        <v>39.92</v>
      </c>
      <c r="CE210" s="21">
        <v>39.92</v>
      </c>
      <c r="CF210" s="21">
        <v>39.92</v>
      </c>
      <c r="CG210" s="21">
        <v>39.92</v>
      </c>
      <c r="CH210" s="21">
        <v>39.92</v>
      </c>
      <c r="CI210" s="21">
        <v>39.92</v>
      </c>
      <c r="CJ210" s="21">
        <v>39.92</v>
      </c>
      <c r="CK210" s="21">
        <v>39.92</v>
      </c>
      <c r="CL210" s="21">
        <v>39.92</v>
      </c>
      <c r="CM210" s="21">
        <v>39.92</v>
      </c>
      <c r="CN210" s="21">
        <v>39.92</v>
      </c>
      <c r="CO210" s="21">
        <v>39.92</v>
      </c>
      <c r="CP210" s="21">
        <v>39.92</v>
      </c>
      <c r="CQ210" s="21">
        <v>39.92</v>
      </c>
      <c r="CR210" s="8"/>
      <c r="CS210" s="8"/>
      <c r="CT210" s="8"/>
      <c r="CU210" s="8"/>
      <c r="CV210" s="8"/>
      <c r="CW210" s="8"/>
      <c r="CX210" s="8"/>
      <c r="CY210" s="8"/>
      <c r="CZ210" s="8"/>
      <c r="DA210" s="8"/>
      <c r="DB210" s="8"/>
      <c r="DC210" s="8"/>
      <c r="DD210" s="8"/>
    </row>
    <row r="211" spans="1:108" x14ac:dyDescent="0.25">
      <c r="A211" s="6" t="s">
        <v>703</v>
      </c>
      <c r="B211" s="10" t="s">
        <v>702</v>
      </c>
      <c r="C211" s="11" t="s">
        <v>317</v>
      </c>
      <c r="D211" s="11" t="s">
        <v>308</v>
      </c>
      <c r="E211" s="11" t="s">
        <v>300</v>
      </c>
      <c r="F211" s="11" t="s">
        <v>318</v>
      </c>
      <c r="G211" s="11" t="s">
        <v>313</v>
      </c>
      <c r="H211" s="11" t="s">
        <v>303</v>
      </c>
      <c r="I211" s="11" t="s">
        <v>196</v>
      </c>
      <c r="J211" s="20">
        <v>90</v>
      </c>
      <c r="K211" s="20">
        <v>70</v>
      </c>
      <c r="L211" s="11"/>
      <c r="M211" s="11"/>
      <c r="N211" s="11"/>
      <c r="O211" s="11"/>
      <c r="P211" s="11"/>
      <c r="Q211" s="10"/>
      <c r="R211" s="11" t="s">
        <v>832</v>
      </c>
      <c r="S211" s="11"/>
      <c r="T211" s="11"/>
      <c r="U211" s="11"/>
      <c r="V211" s="11" t="s">
        <v>305</v>
      </c>
      <c r="W211" s="11" t="s">
        <v>306</v>
      </c>
      <c r="X211" s="20">
        <v>0</v>
      </c>
      <c r="Y211" s="11" t="b">
        <v>0</v>
      </c>
      <c r="Z211" s="11" t="b">
        <v>0</v>
      </c>
      <c r="AA211" s="11"/>
      <c r="AB211" s="11" t="s">
        <v>218</v>
      </c>
      <c r="AC211" s="11" t="s">
        <v>320</v>
      </c>
      <c r="AD211" s="11" t="s">
        <v>320</v>
      </c>
      <c r="AE211" s="20">
        <v>359.2</v>
      </c>
      <c r="AF211" s="20">
        <v>455.6</v>
      </c>
      <c r="AG211" s="20">
        <v>513.20000000000005</v>
      </c>
      <c r="AH211" s="20">
        <v>513.20000000000005</v>
      </c>
      <c r="AI211" s="20">
        <v>513.20000000000005</v>
      </c>
      <c r="AJ211" s="20">
        <v>29.94</v>
      </c>
      <c r="AK211" s="20">
        <v>29.94</v>
      </c>
      <c r="AL211" s="20">
        <v>29.94</v>
      </c>
      <c r="AM211" s="20">
        <v>29.94</v>
      </c>
      <c r="AN211" s="20">
        <v>29.94</v>
      </c>
      <c r="AO211" s="20">
        <v>29.94</v>
      </c>
      <c r="AP211" s="20">
        <v>29.94</v>
      </c>
      <c r="AQ211" s="20">
        <v>29.94</v>
      </c>
      <c r="AR211" s="20">
        <v>29.94</v>
      </c>
      <c r="AS211" s="20">
        <v>29.94</v>
      </c>
      <c r="AT211" s="20">
        <v>29.94</v>
      </c>
      <c r="AU211" s="20">
        <v>29.94</v>
      </c>
      <c r="AV211" s="20">
        <v>37.96</v>
      </c>
      <c r="AW211" s="20">
        <v>37.96</v>
      </c>
      <c r="AX211" s="20">
        <v>37.96</v>
      </c>
      <c r="AY211" s="20">
        <v>37.96</v>
      </c>
      <c r="AZ211" s="20">
        <v>37.96</v>
      </c>
      <c r="BA211" s="20">
        <v>37.96</v>
      </c>
      <c r="BB211" s="20">
        <v>37.96</v>
      </c>
      <c r="BC211" s="20">
        <v>37.96</v>
      </c>
      <c r="BD211" s="20">
        <v>37.96</v>
      </c>
      <c r="BE211" s="20">
        <v>37.96</v>
      </c>
      <c r="BF211" s="20">
        <v>37.96</v>
      </c>
      <c r="BG211" s="20">
        <v>37.96</v>
      </c>
      <c r="BH211" s="20">
        <v>42.76</v>
      </c>
      <c r="BI211" s="20">
        <v>42.76</v>
      </c>
      <c r="BJ211" s="20">
        <v>42.76</v>
      </c>
      <c r="BK211" s="20">
        <v>42.76</v>
      </c>
      <c r="BL211" s="20">
        <v>42.76</v>
      </c>
      <c r="BM211" s="20">
        <v>42.76</v>
      </c>
      <c r="BN211" s="20">
        <v>42.76</v>
      </c>
      <c r="BO211" s="20">
        <v>42.76</v>
      </c>
      <c r="BP211" s="20">
        <v>42.76</v>
      </c>
      <c r="BQ211" s="20">
        <v>42.76</v>
      </c>
      <c r="BR211" s="20">
        <v>42.76</v>
      </c>
      <c r="BS211" s="20">
        <v>42.76</v>
      </c>
      <c r="BT211" s="20">
        <v>42.76</v>
      </c>
      <c r="BU211" s="20">
        <v>42.76</v>
      </c>
      <c r="BV211" s="20">
        <v>42.76</v>
      </c>
      <c r="BW211" s="20">
        <v>42.76</v>
      </c>
      <c r="BX211" s="20">
        <v>42.76</v>
      </c>
      <c r="BY211" s="20">
        <v>42.76</v>
      </c>
      <c r="BZ211" s="20">
        <v>42.76</v>
      </c>
      <c r="CA211" s="20">
        <v>42.76</v>
      </c>
      <c r="CB211" s="20">
        <v>42.76</v>
      </c>
      <c r="CC211" s="20">
        <v>42.76</v>
      </c>
      <c r="CD211" s="20">
        <v>42.76</v>
      </c>
      <c r="CE211" s="20">
        <v>42.76</v>
      </c>
      <c r="CF211" s="20">
        <v>42.76</v>
      </c>
      <c r="CG211" s="20">
        <v>42.76</v>
      </c>
      <c r="CH211" s="20">
        <v>42.76</v>
      </c>
      <c r="CI211" s="20">
        <v>42.76</v>
      </c>
      <c r="CJ211" s="20">
        <v>42.76</v>
      </c>
      <c r="CK211" s="20">
        <v>42.76</v>
      </c>
      <c r="CL211" s="20">
        <v>42.76</v>
      </c>
      <c r="CM211" s="20">
        <v>42.76</v>
      </c>
      <c r="CN211" s="20">
        <v>42.76</v>
      </c>
      <c r="CO211" s="20">
        <v>42.76</v>
      </c>
      <c r="CP211" s="20">
        <v>42.76</v>
      </c>
      <c r="CQ211" s="20">
        <v>42.76</v>
      </c>
      <c r="CR211" s="11"/>
      <c r="CS211" s="11"/>
      <c r="CT211" s="11"/>
      <c r="CU211" s="11"/>
      <c r="CV211" s="11"/>
      <c r="CW211" s="11"/>
      <c r="CX211" s="11"/>
      <c r="CY211" s="11"/>
      <c r="CZ211" s="11"/>
      <c r="DA211" s="11"/>
      <c r="DB211" s="11"/>
      <c r="DC211" s="11"/>
      <c r="DD211" s="11"/>
    </row>
    <row r="212" spans="1:108" x14ac:dyDescent="0.25">
      <c r="A212" s="6" t="s">
        <v>703</v>
      </c>
      <c r="B212" s="7" t="s">
        <v>702</v>
      </c>
      <c r="C212" s="8" t="s">
        <v>317</v>
      </c>
      <c r="D212" s="8" t="s">
        <v>204</v>
      </c>
      <c r="E212" s="8" t="s">
        <v>300</v>
      </c>
      <c r="F212" s="8" t="s">
        <v>318</v>
      </c>
      <c r="G212" s="8" t="s">
        <v>313</v>
      </c>
      <c r="H212" s="8" t="s">
        <v>303</v>
      </c>
      <c r="I212" s="8" t="s">
        <v>196</v>
      </c>
      <c r="J212" s="21">
        <v>90</v>
      </c>
      <c r="K212" s="21">
        <v>70</v>
      </c>
      <c r="L212" s="8"/>
      <c r="M212" s="8"/>
      <c r="N212" s="8"/>
      <c r="O212" s="8"/>
      <c r="P212" s="8"/>
      <c r="Q212" s="7"/>
      <c r="R212" s="8" t="s">
        <v>832</v>
      </c>
      <c r="S212" s="8"/>
      <c r="T212" s="8"/>
      <c r="U212" s="8"/>
      <c r="V212" s="8" t="s">
        <v>305</v>
      </c>
      <c r="W212" s="8" t="s">
        <v>306</v>
      </c>
      <c r="X212" s="21">
        <v>0</v>
      </c>
      <c r="Y212" s="8" t="b">
        <v>0</v>
      </c>
      <c r="Z212" s="8" t="b">
        <v>0</v>
      </c>
      <c r="AA212" s="8"/>
      <c r="AB212" s="8" t="s">
        <v>218</v>
      </c>
      <c r="AC212" s="8" t="s">
        <v>320</v>
      </c>
      <c r="AD212" s="8" t="s">
        <v>320</v>
      </c>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c r="BU212" s="8"/>
      <c r="BV212" s="8"/>
      <c r="BW212" s="8"/>
      <c r="BX212" s="8"/>
      <c r="BY212" s="8"/>
      <c r="BZ212" s="8"/>
      <c r="CA212" s="8"/>
      <c r="CB212" s="8"/>
      <c r="CC212" s="8"/>
      <c r="CD212" s="8"/>
      <c r="CE212" s="8"/>
      <c r="CF212" s="8"/>
      <c r="CG212" s="8"/>
      <c r="CH212" s="8"/>
      <c r="CI212" s="8"/>
      <c r="CJ212" s="8"/>
      <c r="CK212" s="8"/>
      <c r="CL212" s="8"/>
      <c r="CM212" s="8"/>
      <c r="CN212" s="8"/>
      <c r="CO212" s="8"/>
      <c r="CP212" s="8"/>
      <c r="CQ212" s="8"/>
      <c r="CR212" s="8"/>
      <c r="CS212" s="8"/>
      <c r="CT212" s="8"/>
      <c r="CU212" s="8"/>
      <c r="CV212" s="8"/>
      <c r="CW212" s="8"/>
      <c r="CX212" s="8"/>
      <c r="CY212" s="8"/>
      <c r="CZ212" s="8"/>
      <c r="DA212" s="8"/>
      <c r="DB212" s="8"/>
      <c r="DC212" s="8"/>
      <c r="DD212" s="8"/>
    </row>
    <row r="213" spans="1:108" ht="24" x14ac:dyDescent="0.25">
      <c r="A213" s="6" t="s">
        <v>708</v>
      </c>
      <c r="B213" s="7" t="s">
        <v>707</v>
      </c>
      <c r="C213" s="8" t="s">
        <v>327</v>
      </c>
      <c r="D213" s="8" t="s">
        <v>299</v>
      </c>
      <c r="E213" s="8" t="s">
        <v>300</v>
      </c>
      <c r="F213" s="8" t="s">
        <v>318</v>
      </c>
      <c r="G213" s="8" t="s">
        <v>313</v>
      </c>
      <c r="H213" s="8" t="s">
        <v>303</v>
      </c>
      <c r="I213" s="8" t="s">
        <v>196</v>
      </c>
      <c r="J213" s="21">
        <v>90</v>
      </c>
      <c r="K213" s="21">
        <v>70</v>
      </c>
      <c r="L213" s="8"/>
      <c r="M213" s="8"/>
      <c r="N213" s="8"/>
      <c r="O213" s="8"/>
      <c r="P213" s="8"/>
      <c r="Q213" s="7"/>
      <c r="R213" s="8" t="s">
        <v>833</v>
      </c>
      <c r="S213" s="8"/>
      <c r="T213" s="8"/>
      <c r="U213" s="8"/>
      <c r="V213" s="8" t="s">
        <v>305</v>
      </c>
      <c r="W213" s="8" t="s">
        <v>306</v>
      </c>
      <c r="X213" s="21">
        <v>0</v>
      </c>
      <c r="Y213" s="8" t="b">
        <v>0</v>
      </c>
      <c r="Z213" s="8" t="b">
        <v>0</v>
      </c>
      <c r="AA213" s="8"/>
      <c r="AB213" s="8" t="s">
        <v>218</v>
      </c>
      <c r="AC213" s="8" t="s">
        <v>329</v>
      </c>
      <c r="AD213" s="8" t="s">
        <v>329</v>
      </c>
      <c r="AE213" s="21">
        <v>193.6</v>
      </c>
      <c r="AF213" s="21">
        <v>175.4</v>
      </c>
      <c r="AG213" s="21">
        <v>164.4</v>
      </c>
      <c r="AH213" s="21">
        <v>164.4</v>
      </c>
      <c r="AI213" s="21">
        <v>164.4</v>
      </c>
      <c r="AJ213" s="8"/>
      <c r="AK213" s="8"/>
      <c r="AL213" s="8"/>
      <c r="AM213" s="8"/>
      <c r="AN213" s="8"/>
      <c r="AO213" s="8"/>
      <c r="AP213" s="8"/>
      <c r="AQ213" s="8"/>
      <c r="AR213" s="8"/>
      <c r="AS213" s="8"/>
      <c r="AT213" s="8"/>
      <c r="AU213" s="21">
        <v>193.6</v>
      </c>
      <c r="AV213" s="8"/>
      <c r="AW213" s="8"/>
      <c r="AX213" s="8"/>
      <c r="AY213" s="8"/>
      <c r="AZ213" s="8"/>
      <c r="BA213" s="8"/>
      <c r="BB213" s="8"/>
      <c r="BC213" s="8"/>
      <c r="BD213" s="8"/>
      <c r="BE213" s="8"/>
      <c r="BF213" s="8"/>
      <c r="BG213" s="21">
        <v>175.4</v>
      </c>
      <c r="BH213" s="8"/>
      <c r="BI213" s="8"/>
      <c r="BJ213" s="8"/>
      <c r="BK213" s="8"/>
      <c r="BL213" s="8"/>
      <c r="BM213" s="8"/>
      <c r="BN213" s="8"/>
      <c r="BO213" s="8"/>
      <c r="BP213" s="8"/>
      <c r="BQ213" s="8"/>
      <c r="BR213" s="8"/>
      <c r="BS213" s="21">
        <v>164.4</v>
      </c>
      <c r="BT213" s="8"/>
      <c r="BU213" s="8"/>
      <c r="BV213" s="8"/>
      <c r="BW213" s="8"/>
      <c r="BX213" s="8"/>
      <c r="BY213" s="8"/>
      <c r="BZ213" s="8"/>
      <c r="CA213" s="8"/>
      <c r="CB213" s="8"/>
      <c r="CC213" s="8"/>
      <c r="CD213" s="8"/>
      <c r="CE213" s="21">
        <v>164.4</v>
      </c>
      <c r="CF213" s="8"/>
      <c r="CG213" s="8"/>
      <c r="CH213" s="8"/>
      <c r="CI213" s="8"/>
      <c r="CJ213" s="8"/>
      <c r="CK213" s="8"/>
      <c r="CL213" s="8"/>
      <c r="CM213" s="8"/>
      <c r="CN213" s="8"/>
      <c r="CO213" s="8"/>
      <c r="CP213" s="8"/>
      <c r="CQ213" s="21">
        <v>164.4</v>
      </c>
      <c r="CR213" s="8"/>
      <c r="CS213" s="8"/>
      <c r="CT213" s="8"/>
      <c r="CU213" s="8"/>
      <c r="CV213" s="8"/>
      <c r="CW213" s="8"/>
      <c r="CX213" s="8"/>
      <c r="CY213" s="8"/>
      <c r="CZ213" s="8"/>
      <c r="DA213" s="8"/>
      <c r="DB213" s="8"/>
      <c r="DC213" s="8"/>
      <c r="DD213" s="8"/>
    </row>
    <row r="214" spans="1:108" ht="24" x14ac:dyDescent="0.25">
      <c r="A214" s="6" t="s">
        <v>708</v>
      </c>
      <c r="B214" s="10" t="s">
        <v>707</v>
      </c>
      <c r="C214" s="11" t="s">
        <v>327</v>
      </c>
      <c r="D214" s="11" t="s">
        <v>308</v>
      </c>
      <c r="E214" s="11" t="s">
        <v>300</v>
      </c>
      <c r="F214" s="11" t="s">
        <v>318</v>
      </c>
      <c r="G214" s="11" t="s">
        <v>313</v>
      </c>
      <c r="H214" s="11" t="s">
        <v>303</v>
      </c>
      <c r="I214" s="11" t="s">
        <v>196</v>
      </c>
      <c r="J214" s="20">
        <v>90</v>
      </c>
      <c r="K214" s="20">
        <v>70</v>
      </c>
      <c r="L214" s="11"/>
      <c r="M214" s="11"/>
      <c r="N214" s="11"/>
      <c r="O214" s="11"/>
      <c r="P214" s="11"/>
      <c r="Q214" s="10"/>
      <c r="R214" s="11" t="s">
        <v>833</v>
      </c>
      <c r="S214" s="11"/>
      <c r="T214" s="11"/>
      <c r="U214" s="11"/>
      <c r="V214" s="11" t="s">
        <v>305</v>
      </c>
      <c r="W214" s="11" t="s">
        <v>306</v>
      </c>
      <c r="X214" s="20">
        <v>0</v>
      </c>
      <c r="Y214" s="11" t="b">
        <v>0</v>
      </c>
      <c r="Z214" s="11" t="b">
        <v>0</v>
      </c>
      <c r="AA214" s="11"/>
      <c r="AB214" s="11" t="s">
        <v>218</v>
      </c>
      <c r="AC214" s="11" t="s">
        <v>329</v>
      </c>
      <c r="AD214" s="11" t="s">
        <v>329</v>
      </c>
      <c r="AE214" s="20">
        <v>193.6</v>
      </c>
      <c r="AF214" s="20">
        <v>169.4</v>
      </c>
      <c r="AG214" s="20">
        <v>154.80000000000001</v>
      </c>
      <c r="AH214" s="20">
        <v>154.80000000000001</v>
      </c>
      <c r="AI214" s="20">
        <v>154.80000000000001</v>
      </c>
      <c r="AJ214" s="11"/>
      <c r="AK214" s="11"/>
      <c r="AL214" s="11"/>
      <c r="AM214" s="11"/>
      <c r="AN214" s="11"/>
      <c r="AO214" s="11"/>
      <c r="AP214" s="11"/>
      <c r="AQ214" s="11"/>
      <c r="AR214" s="11"/>
      <c r="AS214" s="11"/>
      <c r="AT214" s="11"/>
      <c r="AU214" s="20">
        <v>193.6</v>
      </c>
      <c r="AV214" s="11"/>
      <c r="AW214" s="11"/>
      <c r="AX214" s="11"/>
      <c r="AY214" s="11"/>
      <c r="AZ214" s="11"/>
      <c r="BA214" s="11"/>
      <c r="BB214" s="11"/>
      <c r="BC214" s="11"/>
      <c r="BD214" s="11"/>
      <c r="BE214" s="11"/>
      <c r="BF214" s="11"/>
      <c r="BG214" s="20">
        <v>169.4</v>
      </c>
      <c r="BH214" s="11"/>
      <c r="BI214" s="11"/>
      <c r="BJ214" s="11"/>
      <c r="BK214" s="11"/>
      <c r="BL214" s="11"/>
      <c r="BM214" s="11"/>
      <c r="BN214" s="11"/>
      <c r="BO214" s="11"/>
      <c r="BP214" s="11"/>
      <c r="BQ214" s="11"/>
      <c r="BR214" s="11"/>
      <c r="BS214" s="20">
        <v>154.80000000000001</v>
      </c>
      <c r="BT214" s="11"/>
      <c r="BU214" s="11"/>
      <c r="BV214" s="11"/>
      <c r="BW214" s="11"/>
      <c r="BX214" s="11"/>
      <c r="BY214" s="11"/>
      <c r="BZ214" s="11"/>
      <c r="CA214" s="11"/>
      <c r="CB214" s="11"/>
      <c r="CC214" s="11"/>
      <c r="CD214" s="11"/>
      <c r="CE214" s="20">
        <v>154.80000000000001</v>
      </c>
      <c r="CF214" s="11"/>
      <c r="CG214" s="11"/>
      <c r="CH214" s="11"/>
      <c r="CI214" s="11"/>
      <c r="CJ214" s="11"/>
      <c r="CK214" s="11"/>
      <c r="CL214" s="11"/>
      <c r="CM214" s="11"/>
      <c r="CN214" s="11"/>
      <c r="CO214" s="11"/>
      <c r="CP214" s="11"/>
      <c r="CQ214" s="20">
        <v>154.80000000000001</v>
      </c>
      <c r="CR214" s="11"/>
      <c r="CS214" s="11"/>
      <c r="CT214" s="11"/>
      <c r="CU214" s="11"/>
      <c r="CV214" s="11"/>
      <c r="CW214" s="11"/>
      <c r="CX214" s="11"/>
      <c r="CY214" s="11"/>
      <c r="CZ214" s="11"/>
      <c r="DA214" s="11"/>
      <c r="DB214" s="11"/>
      <c r="DC214" s="11"/>
      <c r="DD214" s="11"/>
    </row>
    <row r="215" spans="1:108" ht="24" x14ac:dyDescent="0.25">
      <c r="A215" s="6" t="s">
        <v>708</v>
      </c>
      <c r="B215" s="7" t="s">
        <v>707</v>
      </c>
      <c r="C215" s="8" t="s">
        <v>327</v>
      </c>
      <c r="D215" s="8" t="s">
        <v>204</v>
      </c>
      <c r="E215" s="8" t="s">
        <v>300</v>
      </c>
      <c r="F215" s="8" t="s">
        <v>318</v>
      </c>
      <c r="G215" s="8" t="s">
        <v>313</v>
      </c>
      <c r="H215" s="8" t="s">
        <v>303</v>
      </c>
      <c r="I215" s="8" t="s">
        <v>196</v>
      </c>
      <c r="J215" s="21">
        <v>90</v>
      </c>
      <c r="K215" s="21">
        <v>70</v>
      </c>
      <c r="L215" s="8"/>
      <c r="M215" s="8"/>
      <c r="N215" s="8"/>
      <c r="O215" s="8"/>
      <c r="P215" s="8"/>
      <c r="Q215" s="7"/>
      <c r="R215" s="8" t="s">
        <v>833</v>
      </c>
      <c r="S215" s="8"/>
      <c r="T215" s="8"/>
      <c r="U215" s="8"/>
      <c r="V215" s="8" t="s">
        <v>305</v>
      </c>
      <c r="W215" s="8" t="s">
        <v>306</v>
      </c>
      <c r="X215" s="21">
        <v>0</v>
      </c>
      <c r="Y215" s="8" t="b">
        <v>0</v>
      </c>
      <c r="Z215" s="8" t="b">
        <v>0</v>
      </c>
      <c r="AA215" s="8"/>
      <c r="AB215" s="8" t="s">
        <v>218</v>
      </c>
      <c r="AC215" s="8" t="s">
        <v>329</v>
      </c>
      <c r="AD215" s="8" t="s">
        <v>329</v>
      </c>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c r="BU215" s="8"/>
      <c r="BV215" s="8"/>
      <c r="BW215" s="8"/>
      <c r="BX215" s="8"/>
      <c r="BY215" s="8"/>
      <c r="BZ215" s="8"/>
      <c r="CA215" s="8"/>
      <c r="CB215" s="8"/>
      <c r="CC215" s="8"/>
      <c r="CD215" s="8"/>
      <c r="CE215" s="8"/>
      <c r="CF215" s="8"/>
      <c r="CG215" s="8"/>
      <c r="CH215" s="8"/>
      <c r="CI215" s="8"/>
      <c r="CJ215" s="8"/>
      <c r="CK215" s="8"/>
      <c r="CL215" s="8"/>
      <c r="CM215" s="8"/>
      <c r="CN215" s="8"/>
      <c r="CO215" s="8"/>
      <c r="CP215" s="8"/>
      <c r="CQ215" s="8"/>
      <c r="CR215" s="8"/>
      <c r="CS215" s="8"/>
      <c r="CT215" s="8"/>
      <c r="CU215" s="8"/>
      <c r="CV215" s="8"/>
      <c r="CW215" s="8"/>
      <c r="CX215" s="8"/>
      <c r="CY215" s="8"/>
      <c r="CZ215" s="8"/>
      <c r="DA215" s="8"/>
      <c r="DB215" s="8"/>
      <c r="DC215" s="8"/>
      <c r="DD215" s="8"/>
    </row>
    <row r="216" spans="1:108" ht="24" x14ac:dyDescent="0.25">
      <c r="A216" s="6" t="s">
        <v>708</v>
      </c>
      <c r="B216" s="10" t="s">
        <v>707</v>
      </c>
      <c r="C216" s="11" t="s">
        <v>206</v>
      </c>
      <c r="D216" s="11" t="s">
        <v>299</v>
      </c>
      <c r="E216" s="11" t="s">
        <v>300</v>
      </c>
      <c r="F216" s="11" t="s">
        <v>301</v>
      </c>
      <c r="G216" s="11" t="s">
        <v>313</v>
      </c>
      <c r="H216" s="11" t="s">
        <v>303</v>
      </c>
      <c r="I216" s="11" t="s">
        <v>314</v>
      </c>
      <c r="J216" s="20">
        <v>90</v>
      </c>
      <c r="K216" s="20">
        <v>70</v>
      </c>
      <c r="L216" s="11"/>
      <c r="M216" s="11"/>
      <c r="N216" s="11"/>
      <c r="O216" s="11"/>
      <c r="P216" s="11"/>
      <c r="Q216" s="10"/>
      <c r="R216" s="11" t="s">
        <v>834</v>
      </c>
      <c r="S216" s="11"/>
      <c r="T216" s="11"/>
      <c r="U216" s="11"/>
      <c r="V216" s="11" t="s">
        <v>305</v>
      </c>
      <c r="W216" s="11" t="s">
        <v>306</v>
      </c>
      <c r="X216" s="20">
        <v>0</v>
      </c>
      <c r="Y216" s="11" t="b">
        <v>0</v>
      </c>
      <c r="Z216" s="11" t="b">
        <v>0</v>
      </c>
      <c r="AA216" s="11"/>
      <c r="AB216" s="11" t="s">
        <v>218</v>
      </c>
      <c r="AC216" s="11" t="s">
        <v>331</v>
      </c>
      <c r="AD216" s="11" t="s">
        <v>331</v>
      </c>
      <c r="AE216" s="20">
        <v>32.700000000000003</v>
      </c>
      <c r="AF216" s="20">
        <v>39</v>
      </c>
      <c r="AG216" s="20">
        <v>42.8</v>
      </c>
      <c r="AH216" s="20">
        <v>42.8</v>
      </c>
      <c r="AI216" s="20">
        <v>42.8</v>
      </c>
      <c r="AJ216" s="11"/>
      <c r="AK216" s="11"/>
      <c r="AL216" s="11"/>
      <c r="AM216" s="11"/>
      <c r="AN216" s="11"/>
      <c r="AO216" s="11"/>
      <c r="AP216" s="11"/>
      <c r="AQ216" s="11"/>
      <c r="AR216" s="11"/>
      <c r="AS216" s="11"/>
      <c r="AT216" s="11"/>
      <c r="AU216" s="20">
        <v>32.700000000000003</v>
      </c>
      <c r="AV216" s="11"/>
      <c r="AW216" s="11"/>
      <c r="AX216" s="11"/>
      <c r="AY216" s="11"/>
      <c r="AZ216" s="11"/>
      <c r="BA216" s="11"/>
      <c r="BB216" s="11"/>
      <c r="BC216" s="11"/>
      <c r="BD216" s="11"/>
      <c r="BE216" s="11"/>
      <c r="BF216" s="11"/>
      <c r="BG216" s="20">
        <v>39</v>
      </c>
      <c r="BH216" s="11"/>
      <c r="BI216" s="11"/>
      <c r="BJ216" s="11"/>
      <c r="BK216" s="11"/>
      <c r="BL216" s="11"/>
      <c r="BM216" s="11"/>
      <c r="BN216" s="11"/>
      <c r="BO216" s="11"/>
      <c r="BP216" s="11"/>
      <c r="BQ216" s="11"/>
      <c r="BR216" s="11"/>
      <c r="BS216" s="20">
        <v>42.8</v>
      </c>
      <c r="BT216" s="11"/>
      <c r="BU216" s="11"/>
      <c r="BV216" s="11"/>
      <c r="BW216" s="11"/>
      <c r="BX216" s="11"/>
      <c r="BY216" s="11"/>
      <c r="BZ216" s="11"/>
      <c r="CA216" s="11"/>
      <c r="CB216" s="11"/>
      <c r="CC216" s="11"/>
      <c r="CD216" s="11"/>
      <c r="CE216" s="20">
        <v>42.8</v>
      </c>
      <c r="CF216" s="11"/>
      <c r="CG216" s="11"/>
      <c r="CH216" s="11"/>
      <c r="CI216" s="11"/>
      <c r="CJ216" s="11"/>
      <c r="CK216" s="11"/>
      <c r="CL216" s="11"/>
      <c r="CM216" s="11"/>
      <c r="CN216" s="11"/>
      <c r="CO216" s="11"/>
      <c r="CP216" s="11"/>
      <c r="CQ216" s="20">
        <v>42.8</v>
      </c>
      <c r="CR216" s="11"/>
      <c r="CS216" s="11"/>
      <c r="CT216" s="11"/>
      <c r="CU216" s="11"/>
      <c r="CV216" s="11"/>
      <c r="CW216" s="11"/>
      <c r="CX216" s="11"/>
      <c r="CY216" s="11"/>
      <c r="CZ216" s="11"/>
      <c r="DA216" s="11"/>
      <c r="DB216" s="11"/>
      <c r="DC216" s="11"/>
      <c r="DD216" s="11"/>
    </row>
    <row r="217" spans="1:108" ht="24" x14ac:dyDescent="0.25">
      <c r="A217" s="6" t="s">
        <v>708</v>
      </c>
      <c r="B217" s="7" t="s">
        <v>707</v>
      </c>
      <c r="C217" s="8" t="s">
        <v>206</v>
      </c>
      <c r="D217" s="8" t="s">
        <v>308</v>
      </c>
      <c r="E217" s="8" t="s">
        <v>300</v>
      </c>
      <c r="F217" s="8" t="s">
        <v>301</v>
      </c>
      <c r="G217" s="8" t="s">
        <v>313</v>
      </c>
      <c r="H217" s="8" t="s">
        <v>303</v>
      </c>
      <c r="I217" s="8" t="s">
        <v>314</v>
      </c>
      <c r="J217" s="21">
        <v>90</v>
      </c>
      <c r="K217" s="21">
        <v>70</v>
      </c>
      <c r="L217" s="8"/>
      <c r="M217" s="8"/>
      <c r="N217" s="8"/>
      <c r="O217" s="8"/>
      <c r="P217" s="8"/>
      <c r="Q217" s="7"/>
      <c r="R217" s="8" t="s">
        <v>834</v>
      </c>
      <c r="S217" s="8"/>
      <c r="T217" s="8"/>
      <c r="U217" s="8"/>
      <c r="V217" s="8" t="s">
        <v>305</v>
      </c>
      <c r="W217" s="8" t="s">
        <v>306</v>
      </c>
      <c r="X217" s="21">
        <v>0</v>
      </c>
      <c r="Y217" s="8" t="b">
        <v>0</v>
      </c>
      <c r="Z217" s="8" t="b">
        <v>0</v>
      </c>
      <c r="AA217" s="8"/>
      <c r="AB217" s="8" t="s">
        <v>218</v>
      </c>
      <c r="AC217" s="8" t="s">
        <v>331</v>
      </c>
      <c r="AD217" s="8" t="s">
        <v>331</v>
      </c>
      <c r="AE217" s="21">
        <v>32.700000000000003</v>
      </c>
      <c r="AF217" s="21">
        <v>41.1</v>
      </c>
      <c r="AG217" s="21">
        <v>46.2</v>
      </c>
      <c r="AH217" s="21">
        <v>46.2</v>
      </c>
      <c r="AI217" s="21">
        <v>46.2</v>
      </c>
      <c r="AJ217" s="8"/>
      <c r="AK217" s="8"/>
      <c r="AL217" s="8"/>
      <c r="AM217" s="8"/>
      <c r="AN217" s="8"/>
      <c r="AO217" s="8"/>
      <c r="AP217" s="8"/>
      <c r="AQ217" s="8"/>
      <c r="AR217" s="8"/>
      <c r="AS217" s="8"/>
      <c r="AT217" s="8"/>
      <c r="AU217" s="21">
        <v>32.700000000000003</v>
      </c>
      <c r="AV217" s="8"/>
      <c r="AW217" s="8"/>
      <c r="AX217" s="8"/>
      <c r="AY217" s="8"/>
      <c r="AZ217" s="8"/>
      <c r="BA217" s="8"/>
      <c r="BB217" s="8"/>
      <c r="BC217" s="8"/>
      <c r="BD217" s="8"/>
      <c r="BE217" s="8"/>
      <c r="BF217" s="8"/>
      <c r="BG217" s="21">
        <v>41.1</v>
      </c>
      <c r="BH217" s="8"/>
      <c r="BI217" s="8"/>
      <c r="BJ217" s="8"/>
      <c r="BK217" s="8"/>
      <c r="BL217" s="8"/>
      <c r="BM217" s="8"/>
      <c r="BN217" s="8"/>
      <c r="BO217" s="8"/>
      <c r="BP217" s="8"/>
      <c r="BQ217" s="8"/>
      <c r="BR217" s="8"/>
      <c r="BS217" s="21">
        <v>46.2</v>
      </c>
      <c r="BT217" s="8"/>
      <c r="BU217" s="8"/>
      <c r="BV217" s="8"/>
      <c r="BW217" s="8"/>
      <c r="BX217" s="8"/>
      <c r="BY217" s="8"/>
      <c r="BZ217" s="8"/>
      <c r="CA217" s="8"/>
      <c r="CB217" s="8"/>
      <c r="CC217" s="8"/>
      <c r="CD217" s="8"/>
      <c r="CE217" s="21">
        <v>46.2</v>
      </c>
      <c r="CF217" s="8"/>
      <c r="CG217" s="8"/>
      <c r="CH217" s="8"/>
      <c r="CI217" s="8"/>
      <c r="CJ217" s="8"/>
      <c r="CK217" s="8"/>
      <c r="CL217" s="8"/>
      <c r="CM217" s="8"/>
      <c r="CN217" s="8"/>
      <c r="CO217" s="8"/>
      <c r="CP217" s="8"/>
      <c r="CQ217" s="21">
        <v>46.2</v>
      </c>
      <c r="CR217" s="8"/>
      <c r="CS217" s="8"/>
      <c r="CT217" s="8"/>
      <c r="CU217" s="8"/>
      <c r="CV217" s="8"/>
      <c r="CW217" s="8"/>
      <c r="CX217" s="8"/>
      <c r="CY217" s="8"/>
      <c r="CZ217" s="8"/>
      <c r="DA217" s="8"/>
      <c r="DB217" s="8"/>
      <c r="DC217" s="8"/>
      <c r="DD217" s="8"/>
    </row>
    <row r="218" spans="1:108" ht="24" x14ac:dyDescent="0.25">
      <c r="A218" s="6" t="s">
        <v>708</v>
      </c>
      <c r="B218" s="10" t="s">
        <v>707</v>
      </c>
      <c r="C218" s="11" t="s">
        <v>206</v>
      </c>
      <c r="D218" s="11" t="s">
        <v>204</v>
      </c>
      <c r="E218" s="11" t="s">
        <v>300</v>
      </c>
      <c r="F218" s="11" t="s">
        <v>301</v>
      </c>
      <c r="G218" s="11" t="s">
        <v>313</v>
      </c>
      <c r="H218" s="11" t="s">
        <v>303</v>
      </c>
      <c r="I218" s="11" t="s">
        <v>314</v>
      </c>
      <c r="J218" s="20">
        <v>90</v>
      </c>
      <c r="K218" s="20">
        <v>70</v>
      </c>
      <c r="L218" s="11"/>
      <c r="M218" s="11"/>
      <c r="N218" s="11"/>
      <c r="O218" s="11"/>
      <c r="P218" s="11"/>
      <c r="Q218" s="10"/>
      <c r="R218" s="11" t="s">
        <v>834</v>
      </c>
      <c r="S218" s="11"/>
      <c r="T218" s="11"/>
      <c r="U218" s="11"/>
      <c r="V218" s="11" t="s">
        <v>305</v>
      </c>
      <c r="W218" s="11" t="s">
        <v>306</v>
      </c>
      <c r="X218" s="20">
        <v>0</v>
      </c>
      <c r="Y218" s="11" t="b">
        <v>0</v>
      </c>
      <c r="Z218" s="11" t="b">
        <v>0</v>
      </c>
      <c r="AA218" s="11"/>
      <c r="AB218" s="11" t="s">
        <v>218</v>
      </c>
      <c r="AC218" s="11" t="s">
        <v>331</v>
      </c>
      <c r="AD218" s="11" t="s">
        <v>331</v>
      </c>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c r="BC218" s="11"/>
      <c r="BD218" s="11"/>
      <c r="BE218" s="11"/>
      <c r="BF218" s="11"/>
      <c r="BG218" s="11"/>
      <c r="BH218" s="11"/>
      <c r="BI218" s="11"/>
      <c r="BJ218" s="11"/>
      <c r="BK218" s="11"/>
      <c r="BL218" s="11"/>
      <c r="BM218" s="11"/>
      <c r="BN218" s="11"/>
      <c r="BO218" s="11"/>
      <c r="BP218" s="11"/>
      <c r="BQ218" s="11"/>
      <c r="BR218" s="11"/>
      <c r="BS218" s="11"/>
      <c r="BT218" s="11"/>
      <c r="BU218" s="11"/>
      <c r="BV218" s="11"/>
      <c r="BW218" s="11"/>
      <c r="BX218" s="11"/>
      <c r="BY218" s="11"/>
      <c r="BZ218" s="11"/>
      <c r="CA218" s="11"/>
      <c r="CB218" s="11"/>
      <c r="CC218" s="11"/>
      <c r="CD218" s="11"/>
      <c r="CE218" s="11"/>
      <c r="CF218" s="11"/>
      <c r="CG218" s="11"/>
      <c r="CH218" s="11"/>
      <c r="CI218" s="11"/>
      <c r="CJ218" s="11"/>
      <c r="CK218" s="11"/>
      <c r="CL218" s="11"/>
      <c r="CM218" s="11"/>
      <c r="CN218" s="11"/>
      <c r="CO218" s="11"/>
      <c r="CP218" s="11"/>
      <c r="CQ218" s="11"/>
      <c r="CR218" s="11"/>
      <c r="CS218" s="11"/>
      <c r="CT218" s="11"/>
      <c r="CU218" s="11"/>
      <c r="CV218" s="11"/>
      <c r="CW218" s="11"/>
      <c r="CX218" s="11"/>
      <c r="CY218" s="11"/>
      <c r="CZ218" s="11"/>
      <c r="DA218" s="11"/>
      <c r="DB218" s="11"/>
      <c r="DC218" s="11"/>
      <c r="DD218" s="11"/>
    </row>
    <row r="219" spans="1:108" ht="24" x14ac:dyDescent="0.25">
      <c r="A219" s="6" t="s">
        <v>708</v>
      </c>
      <c r="B219" s="7" t="s">
        <v>707</v>
      </c>
      <c r="C219" s="8" t="s">
        <v>332</v>
      </c>
      <c r="D219" s="8" t="s">
        <v>299</v>
      </c>
      <c r="E219" s="8" t="s">
        <v>300</v>
      </c>
      <c r="F219" s="8" t="s">
        <v>301</v>
      </c>
      <c r="G219" s="8" t="s">
        <v>313</v>
      </c>
      <c r="H219" s="8" t="s">
        <v>333</v>
      </c>
      <c r="I219" s="8"/>
      <c r="J219" s="21">
        <v>90</v>
      </c>
      <c r="K219" s="21">
        <v>70</v>
      </c>
      <c r="L219" s="8"/>
      <c r="M219" s="8"/>
      <c r="N219" s="8"/>
      <c r="O219" s="8"/>
      <c r="P219" s="8"/>
      <c r="Q219" s="7"/>
      <c r="R219" s="8" t="s">
        <v>835</v>
      </c>
      <c r="S219" s="8"/>
      <c r="T219" s="8"/>
      <c r="U219" s="8"/>
      <c r="V219" s="8" t="s">
        <v>305</v>
      </c>
      <c r="W219" s="8" t="s">
        <v>306</v>
      </c>
      <c r="X219" s="21">
        <v>0</v>
      </c>
      <c r="Y219" s="8" t="b">
        <v>0</v>
      </c>
      <c r="Z219" s="8" t="b">
        <v>0</v>
      </c>
      <c r="AA219" s="8"/>
      <c r="AB219" s="8" t="s">
        <v>218</v>
      </c>
      <c r="AC219" s="8" t="s">
        <v>335</v>
      </c>
      <c r="AD219" s="8" t="s">
        <v>335</v>
      </c>
      <c r="AE219" s="8"/>
      <c r="AF219" s="21">
        <v>20</v>
      </c>
      <c r="AG219" s="21">
        <v>20</v>
      </c>
      <c r="AH219" s="21">
        <v>20</v>
      </c>
      <c r="AI219" s="21">
        <v>20</v>
      </c>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21">
        <v>20</v>
      </c>
      <c r="BH219" s="8"/>
      <c r="BI219" s="8"/>
      <c r="BJ219" s="8"/>
      <c r="BK219" s="8"/>
      <c r="BL219" s="8"/>
      <c r="BM219" s="8"/>
      <c r="BN219" s="8"/>
      <c r="BO219" s="8"/>
      <c r="BP219" s="8"/>
      <c r="BQ219" s="8"/>
      <c r="BR219" s="8"/>
      <c r="BS219" s="21">
        <v>20</v>
      </c>
      <c r="BT219" s="8"/>
      <c r="BU219" s="8"/>
      <c r="BV219" s="8"/>
      <c r="BW219" s="8"/>
      <c r="BX219" s="8"/>
      <c r="BY219" s="8"/>
      <c r="BZ219" s="8"/>
      <c r="CA219" s="8"/>
      <c r="CB219" s="8"/>
      <c r="CC219" s="8"/>
      <c r="CD219" s="8"/>
      <c r="CE219" s="21">
        <v>20</v>
      </c>
      <c r="CF219" s="8"/>
      <c r="CG219" s="8"/>
      <c r="CH219" s="8"/>
      <c r="CI219" s="8"/>
      <c r="CJ219" s="8"/>
      <c r="CK219" s="8"/>
      <c r="CL219" s="8"/>
      <c r="CM219" s="8"/>
      <c r="CN219" s="8"/>
      <c r="CO219" s="8"/>
      <c r="CP219" s="8"/>
      <c r="CQ219" s="21">
        <v>20</v>
      </c>
      <c r="CR219" s="8"/>
      <c r="CS219" s="8"/>
      <c r="CT219" s="8"/>
      <c r="CU219" s="8"/>
      <c r="CV219" s="8"/>
      <c r="CW219" s="8"/>
      <c r="CX219" s="8"/>
      <c r="CY219" s="8"/>
      <c r="CZ219" s="8"/>
      <c r="DA219" s="8"/>
      <c r="DB219" s="8"/>
      <c r="DC219" s="8"/>
      <c r="DD219" s="8"/>
    </row>
    <row r="220" spans="1:108" ht="24" x14ac:dyDescent="0.25">
      <c r="A220" s="6" t="s">
        <v>708</v>
      </c>
      <c r="B220" s="10" t="s">
        <v>707</v>
      </c>
      <c r="C220" s="11" t="s">
        <v>332</v>
      </c>
      <c r="D220" s="11" t="s">
        <v>308</v>
      </c>
      <c r="E220" s="11" t="s">
        <v>300</v>
      </c>
      <c r="F220" s="11" t="s">
        <v>301</v>
      </c>
      <c r="G220" s="11" t="s">
        <v>313</v>
      </c>
      <c r="H220" s="11" t="s">
        <v>333</v>
      </c>
      <c r="I220" s="11"/>
      <c r="J220" s="20">
        <v>90</v>
      </c>
      <c r="K220" s="20">
        <v>70</v>
      </c>
      <c r="L220" s="11"/>
      <c r="M220" s="11"/>
      <c r="N220" s="11"/>
      <c r="O220" s="11"/>
      <c r="P220" s="11"/>
      <c r="Q220" s="10"/>
      <c r="R220" s="11" t="s">
        <v>835</v>
      </c>
      <c r="S220" s="11"/>
      <c r="T220" s="11"/>
      <c r="U220" s="11"/>
      <c r="V220" s="11" t="s">
        <v>305</v>
      </c>
      <c r="W220" s="11" t="s">
        <v>306</v>
      </c>
      <c r="X220" s="20">
        <v>0</v>
      </c>
      <c r="Y220" s="11" t="b">
        <v>0</v>
      </c>
      <c r="Z220" s="11" t="b">
        <v>0</v>
      </c>
      <c r="AA220" s="11"/>
      <c r="AB220" s="11" t="s">
        <v>218</v>
      </c>
      <c r="AC220" s="11" t="s">
        <v>335</v>
      </c>
      <c r="AD220" s="11" t="s">
        <v>335</v>
      </c>
      <c r="AE220" s="11"/>
      <c r="AF220" s="20">
        <v>20</v>
      </c>
      <c r="AG220" s="20">
        <v>20</v>
      </c>
      <c r="AH220" s="20">
        <v>20</v>
      </c>
      <c r="AI220" s="20">
        <v>20</v>
      </c>
      <c r="AJ220" s="11"/>
      <c r="AK220" s="11"/>
      <c r="AL220" s="11"/>
      <c r="AM220" s="11"/>
      <c r="AN220" s="11"/>
      <c r="AO220" s="11"/>
      <c r="AP220" s="11"/>
      <c r="AQ220" s="11"/>
      <c r="AR220" s="11"/>
      <c r="AS220" s="11"/>
      <c r="AT220" s="11"/>
      <c r="AU220" s="11"/>
      <c r="AV220" s="11"/>
      <c r="AW220" s="11"/>
      <c r="AX220" s="11"/>
      <c r="AY220" s="11"/>
      <c r="AZ220" s="11"/>
      <c r="BA220" s="11"/>
      <c r="BB220" s="11"/>
      <c r="BC220" s="11"/>
      <c r="BD220" s="11"/>
      <c r="BE220" s="11"/>
      <c r="BF220" s="11"/>
      <c r="BG220" s="20">
        <v>20</v>
      </c>
      <c r="BH220" s="11"/>
      <c r="BI220" s="11"/>
      <c r="BJ220" s="11"/>
      <c r="BK220" s="11"/>
      <c r="BL220" s="11"/>
      <c r="BM220" s="11"/>
      <c r="BN220" s="11"/>
      <c r="BO220" s="11"/>
      <c r="BP220" s="11"/>
      <c r="BQ220" s="11"/>
      <c r="BR220" s="11"/>
      <c r="BS220" s="20">
        <v>20</v>
      </c>
      <c r="BT220" s="11"/>
      <c r="BU220" s="11"/>
      <c r="BV220" s="11"/>
      <c r="BW220" s="11"/>
      <c r="BX220" s="11"/>
      <c r="BY220" s="11"/>
      <c r="BZ220" s="11"/>
      <c r="CA220" s="11"/>
      <c r="CB220" s="11"/>
      <c r="CC220" s="11"/>
      <c r="CD220" s="11"/>
      <c r="CE220" s="20">
        <v>20</v>
      </c>
      <c r="CF220" s="11"/>
      <c r="CG220" s="11"/>
      <c r="CH220" s="11"/>
      <c r="CI220" s="11"/>
      <c r="CJ220" s="11"/>
      <c r="CK220" s="11"/>
      <c r="CL220" s="11"/>
      <c r="CM220" s="11"/>
      <c r="CN220" s="11"/>
      <c r="CO220" s="11"/>
      <c r="CP220" s="11"/>
      <c r="CQ220" s="20">
        <v>20</v>
      </c>
      <c r="CR220" s="11"/>
      <c r="CS220" s="11"/>
      <c r="CT220" s="11"/>
      <c r="CU220" s="11"/>
      <c r="CV220" s="11"/>
      <c r="CW220" s="11"/>
      <c r="CX220" s="11"/>
      <c r="CY220" s="11"/>
      <c r="CZ220" s="11"/>
      <c r="DA220" s="11"/>
      <c r="DB220" s="11"/>
      <c r="DC220" s="11"/>
      <c r="DD220" s="11"/>
    </row>
    <row r="221" spans="1:108" ht="24" x14ac:dyDescent="0.25">
      <c r="A221" s="6" t="s">
        <v>708</v>
      </c>
      <c r="B221" s="7" t="s">
        <v>707</v>
      </c>
      <c r="C221" s="8" t="s">
        <v>332</v>
      </c>
      <c r="D221" s="8" t="s">
        <v>204</v>
      </c>
      <c r="E221" s="8" t="s">
        <v>300</v>
      </c>
      <c r="F221" s="8" t="s">
        <v>301</v>
      </c>
      <c r="G221" s="8" t="s">
        <v>313</v>
      </c>
      <c r="H221" s="8" t="s">
        <v>333</v>
      </c>
      <c r="I221" s="8"/>
      <c r="J221" s="21">
        <v>90</v>
      </c>
      <c r="K221" s="21">
        <v>70</v>
      </c>
      <c r="L221" s="8"/>
      <c r="M221" s="8"/>
      <c r="N221" s="8"/>
      <c r="O221" s="8"/>
      <c r="P221" s="8"/>
      <c r="Q221" s="7"/>
      <c r="R221" s="8" t="s">
        <v>835</v>
      </c>
      <c r="S221" s="8"/>
      <c r="T221" s="8"/>
      <c r="U221" s="8"/>
      <c r="V221" s="8" t="s">
        <v>305</v>
      </c>
      <c r="W221" s="8" t="s">
        <v>306</v>
      </c>
      <c r="X221" s="21">
        <v>0</v>
      </c>
      <c r="Y221" s="8" t="b">
        <v>0</v>
      </c>
      <c r="Z221" s="8" t="b">
        <v>0</v>
      </c>
      <c r="AA221" s="8"/>
      <c r="AB221" s="8" t="s">
        <v>218</v>
      </c>
      <c r="AC221" s="8" t="s">
        <v>335</v>
      </c>
      <c r="AD221" s="8" t="s">
        <v>335</v>
      </c>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c r="BU221" s="8"/>
      <c r="BV221" s="8"/>
      <c r="BW221" s="8"/>
      <c r="BX221" s="8"/>
      <c r="BY221" s="8"/>
      <c r="BZ221" s="8"/>
      <c r="CA221" s="8"/>
      <c r="CB221" s="8"/>
      <c r="CC221" s="8"/>
      <c r="CD221" s="8"/>
      <c r="CE221" s="8"/>
      <c r="CF221" s="8"/>
      <c r="CG221" s="8"/>
      <c r="CH221" s="8"/>
      <c r="CI221" s="8"/>
      <c r="CJ221" s="8"/>
      <c r="CK221" s="8"/>
      <c r="CL221" s="8"/>
      <c r="CM221" s="8"/>
      <c r="CN221" s="8"/>
      <c r="CO221" s="8"/>
      <c r="CP221" s="8"/>
      <c r="CQ221" s="8"/>
      <c r="CR221" s="8"/>
      <c r="CS221" s="8"/>
      <c r="CT221" s="8"/>
      <c r="CU221" s="8"/>
      <c r="CV221" s="8"/>
      <c r="CW221" s="8"/>
      <c r="CX221" s="8"/>
      <c r="CY221" s="8"/>
      <c r="CZ221" s="8"/>
      <c r="DA221" s="8"/>
      <c r="DB221" s="8"/>
      <c r="DC221" s="8"/>
      <c r="DD221" s="8"/>
    </row>
    <row r="222" spans="1:108" ht="24" x14ac:dyDescent="0.25">
      <c r="A222" s="6" t="s">
        <v>708</v>
      </c>
      <c r="B222" s="10" t="s">
        <v>707</v>
      </c>
      <c r="C222" s="11" t="s">
        <v>336</v>
      </c>
      <c r="D222" s="11" t="s">
        <v>299</v>
      </c>
      <c r="E222" s="11" t="s">
        <v>300</v>
      </c>
      <c r="F222" s="11" t="s">
        <v>301</v>
      </c>
      <c r="G222" s="11" t="s">
        <v>313</v>
      </c>
      <c r="H222" s="11" t="s">
        <v>303</v>
      </c>
      <c r="I222" s="11" t="s">
        <v>300</v>
      </c>
      <c r="J222" s="20">
        <v>90</v>
      </c>
      <c r="K222" s="20">
        <v>70</v>
      </c>
      <c r="L222" s="11"/>
      <c r="M222" s="11"/>
      <c r="N222" s="11"/>
      <c r="O222" s="11"/>
      <c r="P222" s="11"/>
      <c r="Q222" s="10"/>
      <c r="R222" s="11" t="s">
        <v>836</v>
      </c>
      <c r="S222" s="11"/>
      <c r="T222" s="11"/>
      <c r="U222" s="11"/>
      <c r="V222" s="11" t="s">
        <v>305</v>
      </c>
      <c r="W222" s="11" t="s">
        <v>306</v>
      </c>
      <c r="X222" s="20">
        <v>0</v>
      </c>
      <c r="Y222" s="11" t="b">
        <v>0</v>
      </c>
      <c r="Z222" s="11" t="b">
        <v>0</v>
      </c>
      <c r="AA222" s="11"/>
      <c r="AB222" s="11" t="s">
        <v>218</v>
      </c>
      <c r="AC222" s="11" t="s">
        <v>338</v>
      </c>
      <c r="AD222" s="11" t="s">
        <v>338</v>
      </c>
      <c r="AE222" s="20">
        <v>5</v>
      </c>
      <c r="AF222" s="20">
        <v>25</v>
      </c>
      <c r="AG222" s="20">
        <v>40</v>
      </c>
      <c r="AH222" s="20">
        <v>40</v>
      </c>
      <c r="AI222" s="20">
        <v>40</v>
      </c>
      <c r="AJ222" s="11"/>
      <c r="AK222" s="11"/>
      <c r="AL222" s="11"/>
      <c r="AM222" s="11"/>
      <c r="AN222" s="11"/>
      <c r="AO222" s="11"/>
      <c r="AP222" s="11"/>
      <c r="AQ222" s="11"/>
      <c r="AR222" s="11"/>
      <c r="AS222" s="11"/>
      <c r="AT222" s="11"/>
      <c r="AU222" s="20">
        <v>5</v>
      </c>
      <c r="AV222" s="11"/>
      <c r="AW222" s="11"/>
      <c r="AX222" s="11"/>
      <c r="AY222" s="11"/>
      <c r="AZ222" s="11"/>
      <c r="BA222" s="11"/>
      <c r="BB222" s="11"/>
      <c r="BC222" s="11"/>
      <c r="BD222" s="11"/>
      <c r="BE222" s="11"/>
      <c r="BF222" s="11"/>
      <c r="BG222" s="20">
        <v>25</v>
      </c>
      <c r="BH222" s="11"/>
      <c r="BI222" s="11"/>
      <c r="BJ222" s="11"/>
      <c r="BK222" s="11"/>
      <c r="BL222" s="11"/>
      <c r="BM222" s="11"/>
      <c r="BN222" s="11"/>
      <c r="BO222" s="11"/>
      <c r="BP222" s="11"/>
      <c r="BQ222" s="11"/>
      <c r="BR222" s="11"/>
      <c r="BS222" s="20">
        <v>40</v>
      </c>
      <c r="BT222" s="11"/>
      <c r="BU222" s="11"/>
      <c r="BV222" s="11"/>
      <c r="BW222" s="11"/>
      <c r="BX222" s="11"/>
      <c r="BY222" s="11"/>
      <c r="BZ222" s="11"/>
      <c r="CA222" s="11"/>
      <c r="CB222" s="11"/>
      <c r="CC222" s="11"/>
      <c r="CD222" s="11"/>
      <c r="CE222" s="20">
        <v>40</v>
      </c>
      <c r="CF222" s="11"/>
      <c r="CG222" s="11"/>
      <c r="CH222" s="11"/>
      <c r="CI222" s="11"/>
      <c r="CJ222" s="11"/>
      <c r="CK222" s="11"/>
      <c r="CL222" s="11"/>
      <c r="CM222" s="11"/>
      <c r="CN222" s="11"/>
      <c r="CO222" s="11"/>
      <c r="CP222" s="11"/>
      <c r="CQ222" s="20">
        <v>40</v>
      </c>
      <c r="CR222" s="11"/>
      <c r="CS222" s="11"/>
      <c r="CT222" s="11"/>
      <c r="CU222" s="11"/>
      <c r="CV222" s="11"/>
      <c r="CW222" s="11"/>
      <c r="CX222" s="11"/>
      <c r="CY222" s="11"/>
      <c r="CZ222" s="11"/>
      <c r="DA222" s="11"/>
      <c r="DB222" s="11"/>
      <c r="DC222" s="11"/>
      <c r="DD222" s="11"/>
    </row>
    <row r="223" spans="1:108" ht="24" x14ac:dyDescent="0.25">
      <c r="A223" s="6" t="s">
        <v>708</v>
      </c>
      <c r="B223" s="7" t="s">
        <v>707</v>
      </c>
      <c r="C223" s="8" t="s">
        <v>336</v>
      </c>
      <c r="D223" s="8" t="s">
        <v>308</v>
      </c>
      <c r="E223" s="8" t="s">
        <v>300</v>
      </c>
      <c r="F223" s="8" t="s">
        <v>301</v>
      </c>
      <c r="G223" s="8" t="s">
        <v>313</v>
      </c>
      <c r="H223" s="8" t="s">
        <v>303</v>
      </c>
      <c r="I223" s="8" t="s">
        <v>300</v>
      </c>
      <c r="J223" s="21">
        <v>90</v>
      </c>
      <c r="K223" s="21">
        <v>70</v>
      </c>
      <c r="L223" s="8"/>
      <c r="M223" s="8"/>
      <c r="N223" s="8"/>
      <c r="O223" s="8"/>
      <c r="P223" s="8"/>
      <c r="Q223" s="7"/>
      <c r="R223" s="8" t="s">
        <v>836</v>
      </c>
      <c r="S223" s="8"/>
      <c r="T223" s="8"/>
      <c r="U223" s="8"/>
      <c r="V223" s="8" t="s">
        <v>305</v>
      </c>
      <c r="W223" s="8" t="s">
        <v>306</v>
      </c>
      <c r="X223" s="21">
        <v>0</v>
      </c>
      <c r="Y223" s="8" t="b">
        <v>0</v>
      </c>
      <c r="Z223" s="8" t="b">
        <v>0</v>
      </c>
      <c r="AA223" s="8"/>
      <c r="AB223" s="8" t="s">
        <v>218</v>
      </c>
      <c r="AC223" s="8" t="s">
        <v>338</v>
      </c>
      <c r="AD223" s="8" t="s">
        <v>338</v>
      </c>
      <c r="AE223" s="21">
        <v>15</v>
      </c>
      <c r="AF223" s="21">
        <v>40</v>
      </c>
      <c r="AG223" s="21">
        <v>40</v>
      </c>
      <c r="AH223" s="21">
        <v>40</v>
      </c>
      <c r="AI223" s="21">
        <v>40</v>
      </c>
      <c r="AJ223" s="8"/>
      <c r="AK223" s="8"/>
      <c r="AL223" s="8"/>
      <c r="AM223" s="8"/>
      <c r="AN223" s="8"/>
      <c r="AO223" s="8"/>
      <c r="AP223" s="8"/>
      <c r="AQ223" s="8"/>
      <c r="AR223" s="8"/>
      <c r="AS223" s="8"/>
      <c r="AT223" s="8"/>
      <c r="AU223" s="21">
        <v>15</v>
      </c>
      <c r="AV223" s="8"/>
      <c r="AW223" s="8"/>
      <c r="AX223" s="8"/>
      <c r="AY223" s="8"/>
      <c r="AZ223" s="8"/>
      <c r="BA223" s="8"/>
      <c r="BB223" s="8"/>
      <c r="BC223" s="8"/>
      <c r="BD223" s="8"/>
      <c r="BE223" s="8"/>
      <c r="BF223" s="8"/>
      <c r="BG223" s="21">
        <v>40</v>
      </c>
      <c r="BH223" s="8"/>
      <c r="BI223" s="8"/>
      <c r="BJ223" s="8"/>
      <c r="BK223" s="8"/>
      <c r="BL223" s="8"/>
      <c r="BM223" s="8"/>
      <c r="BN223" s="8"/>
      <c r="BO223" s="8"/>
      <c r="BP223" s="8"/>
      <c r="BQ223" s="8"/>
      <c r="BR223" s="8"/>
      <c r="BS223" s="21">
        <v>40</v>
      </c>
      <c r="BT223" s="8"/>
      <c r="BU223" s="8"/>
      <c r="BV223" s="8"/>
      <c r="BW223" s="8"/>
      <c r="BX223" s="8"/>
      <c r="BY223" s="8"/>
      <c r="BZ223" s="8"/>
      <c r="CA223" s="8"/>
      <c r="CB223" s="8"/>
      <c r="CC223" s="8"/>
      <c r="CD223" s="8"/>
      <c r="CE223" s="21">
        <v>40</v>
      </c>
      <c r="CF223" s="8"/>
      <c r="CG223" s="8"/>
      <c r="CH223" s="8"/>
      <c r="CI223" s="8"/>
      <c r="CJ223" s="8"/>
      <c r="CK223" s="8"/>
      <c r="CL223" s="8"/>
      <c r="CM223" s="8"/>
      <c r="CN223" s="8"/>
      <c r="CO223" s="8"/>
      <c r="CP223" s="8"/>
      <c r="CQ223" s="21">
        <v>40</v>
      </c>
      <c r="CR223" s="8"/>
      <c r="CS223" s="8"/>
      <c r="CT223" s="8"/>
      <c r="CU223" s="8"/>
      <c r="CV223" s="8"/>
      <c r="CW223" s="8"/>
      <c r="CX223" s="8"/>
      <c r="CY223" s="8"/>
      <c r="CZ223" s="8"/>
      <c r="DA223" s="8"/>
      <c r="DB223" s="8"/>
      <c r="DC223" s="8"/>
      <c r="DD223" s="8"/>
    </row>
    <row r="224" spans="1:108" ht="24" x14ac:dyDescent="0.25">
      <c r="A224" s="6" t="s">
        <v>708</v>
      </c>
      <c r="B224" s="10" t="s">
        <v>707</v>
      </c>
      <c r="C224" s="11" t="s">
        <v>336</v>
      </c>
      <c r="D224" s="11" t="s">
        <v>204</v>
      </c>
      <c r="E224" s="11" t="s">
        <v>300</v>
      </c>
      <c r="F224" s="11" t="s">
        <v>301</v>
      </c>
      <c r="G224" s="11" t="s">
        <v>313</v>
      </c>
      <c r="H224" s="11" t="s">
        <v>303</v>
      </c>
      <c r="I224" s="11" t="s">
        <v>300</v>
      </c>
      <c r="J224" s="20">
        <v>90</v>
      </c>
      <c r="K224" s="20">
        <v>70</v>
      </c>
      <c r="L224" s="11"/>
      <c r="M224" s="11"/>
      <c r="N224" s="11"/>
      <c r="O224" s="11"/>
      <c r="P224" s="11"/>
      <c r="Q224" s="10"/>
      <c r="R224" s="11" t="s">
        <v>836</v>
      </c>
      <c r="S224" s="11"/>
      <c r="T224" s="11"/>
      <c r="U224" s="11"/>
      <c r="V224" s="11" t="s">
        <v>305</v>
      </c>
      <c r="W224" s="11" t="s">
        <v>306</v>
      </c>
      <c r="X224" s="20">
        <v>0</v>
      </c>
      <c r="Y224" s="11" t="b">
        <v>0</v>
      </c>
      <c r="Z224" s="11" t="b">
        <v>0</v>
      </c>
      <c r="AA224" s="11"/>
      <c r="AB224" s="11" t="s">
        <v>218</v>
      </c>
      <c r="AC224" s="11" t="s">
        <v>338</v>
      </c>
      <c r="AD224" s="11" t="s">
        <v>338</v>
      </c>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c r="BC224" s="11"/>
      <c r="BD224" s="11"/>
      <c r="BE224" s="11"/>
      <c r="BF224" s="11"/>
      <c r="BG224" s="11"/>
      <c r="BH224" s="11"/>
      <c r="BI224" s="11"/>
      <c r="BJ224" s="11"/>
      <c r="BK224" s="11"/>
      <c r="BL224" s="11"/>
      <c r="BM224" s="11"/>
      <c r="BN224" s="11"/>
      <c r="BO224" s="11"/>
      <c r="BP224" s="11"/>
      <c r="BQ224" s="11"/>
      <c r="BR224" s="11"/>
      <c r="BS224" s="11"/>
      <c r="BT224" s="11"/>
      <c r="BU224" s="11"/>
      <c r="BV224" s="11"/>
      <c r="BW224" s="11"/>
      <c r="BX224" s="11"/>
      <c r="BY224" s="11"/>
      <c r="BZ224" s="11"/>
      <c r="CA224" s="11"/>
      <c r="CB224" s="11"/>
      <c r="CC224" s="11"/>
      <c r="CD224" s="11"/>
      <c r="CE224" s="11"/>
      <c r="CF224" s="11"/>
      <c r="CG224" s="11"/>
      <c r="CH224" s="11"/>
      <c r="CI224" s="11"/>
      <c r="CJ224" s="11"/>
      <c r="CK224" s="11"/>
      <c r="CL224" s="11"/>
      <c r="CM224" s="11"/>
      <c r="CN224" s="11"/>
      <c r="CO224" s="11"/>
      <c r="CP224" s="11"/>
      <c r="CQ224" s="11"/>
      <c r="CR224" s="11"/>
      <c r="CS224" s="11"/>
      <c r="CT224" s="11"/>
      <c r="CU224" s="11"/>
      <c r="CV224" s="11"/>
      <c r="CW224" s="11"/>
      <c r="CX224" s="11"/>
      <c r="CY224" s="11"/>
      <c r="CZ224" s="11"/>
      <c r="DA224" s="11"/>
      <c r="DB224" s="11"/>
      <c r="DC224" s="11"/>
      <c r="DD224" s="11"/>
    </row>
    <row r="225" spans="1:108" ht="24" x14ac:dyDescent="0.25">
      <c r="A225" s="6" t="s">
        <v>708</v>
      </c>
      <c r="B225" s="7" t="s">
        <v>707</v>
      </c>
      <c r="C225" s="8" t="s">
        <v>339</v>
      </c>
      <c r="D225" s="8" t="s">
        <v>299</v>
      </c>
      <c r="E225" s="8" t="s">
        <v>300</v>
      </c>
      <c r="F225" s="8" t="s">
        <v>301</v>
      </c>
      <c r="G225" s="8" t="s">
        <v>313</v>
      </c>
      <c r="H225" s="8" t="s">
        <v>303</v>
      </c>
      <c r="I225" s="8" t="s">
        <v>300</v>
      </c>
      <c r="J225" s="21">
        <v>90</v>
      </c>
      <c r="K225" s="21">
        <v>70</v>
      </c>
      <c r="L225" s="8"/>
      <c r="M225" s="8"/>
      <c r="N225" s="8"/>
      <c r="O225" s="8"/>
      <c r="P225" s="8"/>
      <c r="Q225" s="7"/>
      <c r="R225" s="8" t="s">
        <v>837</v>
      </c>
      <c r="S225" s="8"/>
      <c r="T225" s="8"/>
      <c r="U225" s="8"/>
      <c r="V225" s="8" t="s">
        <v>305</v>
      </c>
      <c r="W225" s="8" t="s">
        <v>306</v>
      </c>
      <c r="X225" s="21">
        <v>0</v>
      </c>
      <c r="Y225" s="8" t="b">
        <v>0</v>
      </c>
      <c r="Z225" s="8" t="b">
        <v>0</v>
      </c>
      <c r="AA225" s="8"/>
      <c r="AB225" s="8" t="s">
        <v>218</v>
      </c>
      <c r="AC225" s="8" t="s">
        <v>341</v>
      </c>
      <c r="AD225" s="8" t="s">
        <v>341</v>
      </c>
      <c r="AE225" s="8"/>
      <c r="AF225" s="21">
        <v>10</v>
      </c>
      <c r="AG225" s="21">
        <v>10</v>
      </c>
      <c r="AH225" s="21">
        <v>10</v>
      </c>
      <c r="AI225" s="21">
        <v>10</v>
      </c>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21">
        <v>10</v>
      </c>
      <c r="BH225" s="8"/>
      <c r="BI225" s="8"/>
      <c r="BJ225" s="8"/>
      <c r="BK225" s="8"/>
      <c r="BL225" s="8"/>
      <c r="BM225" s="8"/>
      <c r="BN225" s="8"/>
      <c r="BO225" s="8"/>
      <c r="BP225" s="8"/>
      <c r="BQ225" s="8"/>
      <c r="BR225" s="8"/>
      <c r="BS225" s="21">
        <v>10</v>
      </c>
      <c r="BT225" s="8"/>
      <c r="BU225" s="8"/>
      <c r="BV225" s="8"/>
      <c r="BW225" s="8"/>
      <c r="BX225" s="8"/>
      <c r="BY225" s="8"/>
      <c r="BZ225" s="8"/>
      <c r="CA225" s="8"/>
      <c r="CB225" s="8"/>
      <c r="CC225" s="8"/>
      <c r="CD225" s="8"/>
      <c r="CE225" s="21">
        <v>10</v>
      </c>
      <c r="CF225" s="8"/>
      <c r="CG225" s="8"/>
      <c r="CH225" s="8"/>
      <c r="CI225" s="8"/>
      <c r="CJ225" s="8"/>
      <c r="CK225" s="8"/>
      <c r="CL225" s="8"/>
      <c r="CM225" s="8"/>
      <c r="CN225" s="8"/>
      <c r="CO225" s="8"/>
      <c r="CP225" s="8"/>
      <c r="CQ225" s="21">
        <v>10</v>
      </c>
      <c r="CR225" s="8"/>
      <c r="CS225" s="8"/>
      <c r="CT225" s="8"/>
      <c r="CU225" s="8"/>
      <c r="CV225" s="8"/>
      <c r="CW225" s="8"/>
      <c r="CX225" s="8"/>
      <c r="CY225" s="8"/>
      <c r="CZ225" s="8"/>
      <c r="DA225" s="8"/>
      <c r="DB225" s="8"/>
      <c r="DC225" s="8"/>
      <c r="DD225" s="8"/>
    </row>
    <row r="226" spans="1:108" ht="24" x14ac:dyDescent="0.25">
      <c r="A226" s="6" t="s">
        <v>708</v>
      </c>
      <c r="B226" s="10" t="s">
        <v>707</v>
      </c>
      <c r="C226" s="11" t="s">
        <v>339</v>
      </c>
      <c r="D226" s="11" t="s">
        <v>308</v>
      </c>
      <c r="E226" s="11" t="s">
        <v>300</v>
      </c>
      <c r="F226" s="11" t="s">
        <v>301</v>
      </c>
      <c r="G226" s="11" t="s">
        <v>313</v>
      </c>
      <c r="H226" s="11" t="s">
        <v>303</v>
      </c>
      <c r="I226" s="11" t="s">
        <v>300</v>
      </c>
      <c r="J226" s="20">
        <v>90</v>
      </c>
      <c r="K226" s="20">
        <v>70</v>
      </c>
      <c r="L226" s="11"/>
      <c r="M226" s="11"/>
      <c r="N226" s="11"/>
      <c r="O226" s="11"/>
      <c r="P226" s="11"/>
      <c r="Q226" s="10"/>
      <c r="R226" s="11" t="s">
        <v>837</v>
      </c>
      <c r="S226" s="11"/>
      <c r="T226" s="11"/>
      <c r="U226" s="11"/>
      <c r="V226" s="11" t="s">
        <v>305</v>
      </c>
      <c r="W226" s="11" t="s">
        <v>306</v>
      </c>
      <c r="X226" s="20">
        <v>0</v>
      </c>
      <c r="Y226" s="11" t="b">
        <v>0</v>
      </c>
      <c r="Z226" s="11" t="b">
        <v>0</v>
      </c>
      <c r="AA226" s="11"/>
      <c r="AB226" s="11" t="s">
        <v>218</v>
      </c>
      <c r="AC226" s="11" t="s">
        <v>341</v>
      </c>
      <c r="AD226" s="11" t="s">
        <v>341</v>
      </c>
      <c r="AE226" s="11"/>
      <c r="AF226" s="20">
        <v>10</v>
      </c>
      <c r="AG226" s="20">
        <v>10</v>
      </c>
      <c r="AH226" s="20">
        <v>10</v>
      </c>
      <c r="AI226" s="20">
        <v>10</v>
      </c>
      <c r="AJ226" s="11"/>
      <c r="AK226" s="11"/>
      <c r="AL226" s="11"/>
      <c r="AM226" s="11"/>
      <c r="AN226" s="11"/>
      <c r="AO226" s="11"/>
      <c r="AP226" s="11"/>
      <c r="AQ226" s="11"/>
      <c r="AR226" s="11"/>
      <c r="AS226" s="11"/>
      <c r="AT226" s="11"/>
      <c r="AU226" s="11"/>
      <c r="AV226" s="11"/>
      <c r="AW226" s="11"/>
      <c r="AX226" s="11"/>
      <c r="AY226" s="11"/>
      <c r="AZ226" s="11"/>
      <c r="BA226" s="11"/>
      <c r="BB226" s="11"/>
      <c r="BC226" s="11"/>
      <c r="BD226" s="11"/>
      <c r="BE226" s="11"/>
      <c r="BF226" s="11"/>
      <c r="BG226" s="20">
        <v>10</v>
      </c>
      <c r="BH226" s="11"/>
      <c r="BI226" s="11"/>
      <c r="BJ226" s="11"/>
      <c r="BK226" s="11"/>
      <c r="BL226" s="11"/>
      <c r="BM226" s="11"/>
      <c r="BN226" s="11"/>
      <c r="BO226" s="11"/>
      <c r="BP226" s="11"/>
      <c r="BQ226" s="11"/>
      <c r="BR226" s="11"/>
      <c r="BS226" s="20">
        <v>10</v>
      </c>
      <c r="BT226" s="11"/>
      <c r="BU226" s="11"/>
      <c r="BV226" s="11"/>
      <c r="BW226" s="11"/>
      <c r="BX226" s="11"/>
      <c r="BY226" s="11"/>
      <c r="BZ226" s="11"/>
      <c r="CA226" s="11"/>
      <c r="CB226" s="11"/>
      <c r="CC226" s="11"/>
      <c r="CD226" s="11"/>
      <c r="CE226" s="20">
        <v>10</v>
      </c>
      <c r="CF226" s="11"/>
      <c r="CG226" s="11"/>
      <c r="CH226" s="11"/>
      <c r="CI226" s="11"/>
      <c r="CJ226" s="11"/>
      <c r="CK226" s="11"/>
      <c r="CL226" s="11"/>
      <c r="CM226" s="11"/>
      <c r="CN226" s="11"/>
      <c r="CO226" s="11"/>
      <c r="CP226" s="11"/>
      <c r="CQ226" s="20">
        <v>10</v>
      </c>
      <c r="CR226" s="11"/>
      <c r="CS226" s="11"/>
      <c r="CT226" s="11"/>
      <c r="CU226" s="11"/>
      <c r="CV226" s="11"/>
      <c r="CW226" s="11"/>
      <c r="CX226" s="11"/>
      <c r="CY226" s="11"/>
      <c r="CZ226" s="11"/>
      <c r="DA226" s="11"/>
      <c r="DB226" s="11"/>
      <c r="DC226" s="11"/>
      <c r="DD226" s="11"/>
    </row>
    <row r="227" spans="1:108" ht="24" x14ac:dyDescent="0.25">
      <c r="A227" s="6" t="s">
        <v>708</v>
      </c>
      <c r="B227" s="7" t="s">
        <v>707</v>
      </c>
      <c r="C227" s="8" t="s">
        <v>339</v>
      </c>
      <c r="D227" s="8" t="s">
        <v>204</v>
      </c>
      <c r="E227" s="8" t="s">
        <v>300</v>
      </c>
      <c r="F227" s="8" t="s">
        <v>301</v>
      </c>
      <c r="G227" s="8" t="s">
        <v>313</v>
      </c>
      <c r="H227" s="8" t="s">
        <v>303</v>
      </c>
      <c r="I227" s="8" t="s">
        <v>300</v>
      </c>
      <c r="J227" s="21">
        <v>90</v>
      </c>
      <c r="K227" s="21">
        <v>70</v>
      </c>
      <c r="L227" s="8"/>
      <c r="M227" s="8"/>
      <c r="N227" s="8"/>
      <c r="O227" s="8"/>
      <c r="P227" s="8"/>
      <c r="Q227" s="7"/>
      <c r="R227" s="8" t="s">
        <v>837</v>
      </c>
      <c r="S227" s="8"/>
      <c r="T227" s="8"/>
      <c r="U227" s="8"/>
      <c r="V227" s="8" t="s">
        <v>305</v>
      </c>
      <c r="W227" s="8" t="s">
        <v>306</v>
      </c>
      <c r="X227" s="21">
        <v>0</v>
      </c>
      <c r="Y227" s="8" t="b">
        <v>0</v>
      </c>
      <c r="Z227" s="8" t="b">
        <v>0</v>
      </c>
      <c r="AA227" s="8"/>
      <c r="AB227" s="8" t="s">
        <v>218</v>
      </c>
      <c r="AC227" s="8" t="s">
        <v>341</v>
      </c>
      <c r="AD227" s="8" t="s">
        <v>341</v>
      </c>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c r="BU227" s="8"/>
      <c r="BV227" s="8"/>
      <c r="BW227" s="8"/>
      <c r="BX227" s="8"/>
      <c r="BY227" s="8"/>
      <c r="BZ227" s="8"/>
      <c r="CA227" s="8"/>
      <c r="CB227" s="8"/>
      <c r="CC227" s="8"/>
      <c r="CD227" s="8"/>
      <c r="CE227" s="8"/>
      <c r="CF227" s="8"/>
      <c r="CG227" s="8"/>
      <c r="CH227" s="8"/>
      <c r="CI227" s="8"/>
      <c r="CJ227" s="8"/>
      <c r="CK227" s="8"/>
      <c r="CL227" s="8"/>
      <c r="CM227" s="8"/>
      <c r="CN227" s="8"/>
      <c r="CO227" s="8"/>
      <c r="CP227" s="8"/>
      <c r="CQ227" s="8"/>
      <c r="CR227" s="8"/>
      <c r="CS227" s="8"/>
      <c r="CT227" s="8"/>
      <c r="CU227" s="8"/>
      <c r="CV227" s="8"/>
      <c r="CW227" s="8"/>
      <c r="CX227" s="8"/>
      <c r="CY227" s="8"/>
      <c r="CZ227" s="8"/>
      <c r="DA227" s="8"/>
      <c r="DB227" s="8"/>
      <c r="DC227" s="8"/>
      <c r="DD227" s="8"/>
    </row>
    <row r="228" spans="1:108" ht="24" x14ac:dyDescent="0.25">
      <c r="A228" s="6" t="s">
        <v>708</v>
      </c>
      <c r="B228" s="10" t="s">
        <v>707</v>
      </c>
      <c r="C228" s="11" t="s">
        <v>342</v>
      </c>
      <c r="D228" s="11" t="s">
        <v>299</v>
      </c>
      <c r="E228" s="11" t="s">
        <v>300</v>
      </c>
      <c r="F228" s="11" t="s">
        <v>301</v>
      </c>
      <c r="G228" s="11" t="s">
        <v>313</v>
      </c>
      <c r="H228" s="11" t="s">
        <v>333</v>
      </c>
      <c r="I228" s="11"/>
      <c r="J228" s="20">
        <v>90</v>
      </c>
      <c r="K228" s="20">
        <v>70</v>
      </c>
      <c r="L228" s="11"/>
      <c r="M228" s="11"/>
      <c r="N228" s="11"/>
      <c r="O228" s="11"/>
      <c r="P228" s="11"/>
      <c r="Q228" s="10"/>
      <c r="R228" s="11" t="s">
        <v>838</v>
      </c>
      <c r="S228" s="11"/>
      <c r="T228" s="11"/>
      <c r="U228" s="11"/>
      <c r="V228" s="11" t="s">
        <v>305</v>
      </c>
      <c r="W228" s="11" t="s">
        <v>306</v>
      </c>
      <c r="X228" s="20">
        <v>0</v>
      </c>
      <c r="Y228" s="11" t="b">
        <v>0</v>
      </c>
      <c r="Z228" s="11" t="b">
        <v>0</v>
      </c>
      <c r="AA228" s="11"/>
      <c r="AB228" s="11" t="s">
        <v>218</v>
      </c>
      <c r="AC228" s="11" t="s">
        <v>344</v>
      </c>
      <c r="AD228" s="11" t="s">
        <v>344</v>
      </c>
      <c r="AE228" s="20">
        <v>80</v>
      </c>
      <c r="AF228" s="20">
        <v>80</v>
      </c>
      <c r="AG228" s="20">
        <v>80</v>
      </c>
      <c r="AH228" s="20">
        <v>80</v>
      </c>
      <c r="AI228" s="20">
        <v>80</v>
      </c>
      <c r="AJ228" s="11"/>
      <c r="AK228" s="11"/>
      <c r="AL228" s="11"/>
      <c r="AM228" s="11"/>
      <c r="AN228" s="11"/>
      <c r="AO228" s="11"/>
      <c r="AP228" s="11"/>
      <c r="AQ228" s="11"/>
      <c r="AR228" s="11"/>
      <c r="AS228" s="11"/>
      <c r="AT228" s="11"/>
      <c r="AU228" s="20">
        <v>80</v>
      </c>
      <c r="AV228" s="11"/>
      <c r="AW228" s="11"/>
      <c r="AX228" s="11"/>
      <c r="AY228" s="11"/>
      <c r="AZ228" s="11"/>
      <c r="BA228" s="11"/>
      <c r="BB228" s="11"/>
      <c r="BC228" s="11"/>
      <c r="BD228" s="11"/>
      <c r="BE228" s="11"/>
      <c r="BF228" s="11"/>
      <c r="BG228" s="20">
        <v>80</v>
      </c>
      <c r="BH228" s="11"/>
      <c r="BI228" s="11"/>
      <c r="BJ228" s="11"/>
      <c r="BK228" s="11"/>
      <c r="BL228" s="11"/>
      <c r="BM228" s="11"/>
      <c r="BN228" s="11"/>
      <c r="BO228" s="11"/>
      <c r="BP228" s="11"/>
      <c r="BQ228" s="11"/>
      <c r="BR228" s="11"/>
      <c r="BS228" s="20">
        <v>80</v>
      </c>
      <c r="BT228" s="11"/>
      <c r="BU228" s="11"/>
      <c r="BV228" s="11"/>
      <c r="BW228" s="11"/>
      <c r="BX228" s="11"/>
      <c r="BY228" s="11"/>
      <c r="BZ228" s="11"/>
      <c r="CA228" s="11"/>
      <c r="CB228" s="11"/>
      <c r="CC228" s="11"/>
      <c r="CD228" s="11"/>
      <c r="CE228" s="20">
        <v>80</v>
      </c>
      <c r="CF228" s="11"/>
      <c r="CG228" s="11"/>
      <c r="CH228" s="11"/>
      <c r="CI228" s="11"/>
      <c r="CJ228" s="11"/>
      <c r="CK228" s="11"/>
      <c r="CL228" s="11"/>
      <c r="CM228" s="11"/>
      <c r="CN228" s="11"/>
      <c r="CO228" s="11"/>
      <c r="CP228" s="11"/>
      <c r="CQ228" s="20">
        <v>80</v>
      </c>
      <c r="CR228" s="11"/>
      <c r="CS228" s="11"/>
      <c r="CT228" s="11"/>
      <c r="CU228" s="11"/>
      <c r="CV228" s="11"/>
      <c r="CW228" s="11"/>
      <c r="CX228" s="11"/>
      <c r="CY228" s="11"/>
      <c r="CZ228" s="11"/>
      <c r="DA228" s="11"/>
      <c r="DB228" s="11"/>
      <c r="DC228" s="11"/>
      <c r="DD228" s="11"/>
    </row>
    <row r="229" spans="1:108" ht="24" x14ac:dyDescent="0.25">
      <c r="A229" s="6" t="s">
        <v>708</v>
      </c>
      <c r="B229" s="7" t="s">
        <v>707</v>
      </c>
      <c r="C229" s="8" t="s">
        <v>342</v>
      </c>
      <c r="D229" s="8" t="s">
        <v>308</v>
      </c>
      <c r="E229" s="8" t="s">
        <v>300</v>
      </c>
      <c r="F229" s="8" t="s">
        <v>301</v>
      </c>
      <c r="G229" s="8" t="s">
        <v>313</v>
      </c>
      <c r="H229" s="8" t="s">
        <v>333</v>
      </c>
      <c r="I229" s="8"/>
      <c r="J229" s="21">
        <v>90</v>
      </c>
      <c r="K229" s="21">
        <v>70</v>
      </c>
      <c r="L229" s="8"/>
      <c r="M229" s="8"/>
      <c r="N229" s="8"/>
      <c r="O229" s="8"/>
      <c r="P229" s="8"/>
      <c r="Q229" s="7"/>
      <c r="R229" s="8" t="s">
        <v>838</v>
      </c>
      <c r="S229" s="8"/>
      <c r="T229" s="8"/>
      <c r="U229" s="8"/>
      <c r="V229" s="8" t="s">
        <v>305</v>
      </c>
      <c r="W229" s="8" t="s">
        <v>306</v>
      </c>
      <c r="X229" s="21">
        <v>0</v>
      </c>
      <c r="Y229" s="8" t="b">
        <v>0</v>
      </c>
      <c r="Z229" s="8" t="b">
        <v>0</v>
      </c>
      <c r="AA229" s="8"/>
      <c r="AB229" s="8" t="s">
        <v>218</v>
      </c>
      <c r="AC229" s="8" t="s">
        <v>344</v>
      </c>
      <c r="AD229" s="8" t="s">
        <v>344</v>
      </c>
      <c r="AE229" s="21">
        <v>80</v>
      </c>
      <c r="AF229" s="21">
        <v>80</v>
      </c>
      <c r="AG229" s="21">
        <v>80</v>
      </c>
      <c r="AH229" s="21">
        <v>80</v>
      </c>
      <c r="AI229" s="21">
        <v>80</v>
      </c>
      <c r="AJ229" s="8"/>
      <c r="AK229" s="8"/>
      <c r="AL229" s="8"/>
      <c r="AM229" s="8"/>
      <c r="AN229" s="8"/>
      <c r="AO229" s="8"/>
      <c r="AP229" s="8"/>
      <c r="AQ229" s="8"/>
      <c r="AR229" s="8"/>
      <c r="AS229" s="8"/>
      <c r="AT229" s="8"/>
      <c r="AU229" s="21">
        <v>80</v>
      </c>
      <c r="AV229" s="8"/>
      <c r="AW229" s="8"/>
      <c r="AX229" s="8"/>
      <c r="AY229" s="8"/>
      <c r="AZ229" s="8"/>
      <c r="BA229" s="8"/>
      <c r="BB229" s="8"/>
      <c r="BC229" s="8"/>
      <c r="BD229" s="8"/>
      <c r="BE229" s="8"/>
      <c r="BF229" s="8"/>
      <c r="BG229" s="21">
        <v>80</v>
      </c>
      <c r="BH229" s="8"/>
      <c r="BI229" s="8"/>
      <c r="BJ229" s="8"/>
      <c r="BK229" s="8"/>
      <c r="BL229" s="8"/>
      <c r="BM229" s="8"/>
      <c r="BN229" s="8"/>
      <c r="BO229" s="8"/>
      <c r="BP229" s="8"/>
      <c r="BQ229" s="8"/>
      <c r="BR229" s="8"/>
      <c r="BS229" s="21">
        <v>80</v>
      </c>
      <c r="BT229" s="8"/>
      <c r="BU229" s="8"/>
      <c r="BV229" s="8"/>
      <c r="BW229" s="8"/>
      <c r="BX229" s="8"/>
      <c r="BY229" s="8"/>
      <c r="BZ229" s="8"/>
      <c r="CA229" s="8"/>
      <c r="CB229" s="8"/>
      <c r="CC229" s="8"/>
      <c r="CD229" s="8"/>
      <c r="CE229" s="21">
        <v>80</v>
      </c>
      <c r="CF229" s="8"/>
      <c r="CG229" s="8"/>
      <c r="CH229" s="8"/>
      <c r="CI229" s="8"/>
      <c r="CJ229" s="8"/>
      <c r="CK229" s="8"/>
      <c r="CL229" s="8"/>
      <c r="CM229" s="8"/>
      <c r="CN229" s="8"/>
      <c r="CO229" s="8"/>
      <c r="CP229" s="8"/>
      <c r="CQ229" s="21">
        <v>80</v>
      </c>
      <c r="CR229" s="8"/>
      <c r="CS229" s="8"/>
      <c r="CT229" s="8"/>
      <c r="CU229" s="8"/>
      <c r="CV229" s="8"/>
      <c r="CW229" s="8"/>
      <c r="CX229" s="8"/>
      <c r="CY229" s="8"/>
      <c r="CZ229" s="8"/>
      <c r="DA229" s="8"/>
      <c r="DB229" s="8"/>
      <c r="DC229" s="8"/>
      <c r="DD229" s="8"/>
    </row>
    <row r="230" spans="1:108" ht="24" x14ac:dyDescent="0.25">
      <c r="A230" s="6" t="s">
        <v>708</v>
      </c>
      <c r="B230" s="10" t="s">
        <v>707</v>
      </c>
      <c r="C230" s="11" t="s">
        <v>342</v>
      </c>
      <c r="D230" s="11" t="s">
        <v>204</v>
      </c>
      <c r="E230" s="11" t="s">
        <v>300</v>
      </c>
      <c r="F230" s="11" t="s">
        <v>301</v>
      </c>
      <c r="G230" s="11" t="s">
        <v>313</v>
      </c>
      <c r="H230" s="11" t="s">
        <v>333</v>
      </c>
      <c r="I230" s="11"/>
      <c r="J230" s="20">
        <v>90</v>
      </c>
      <c r="K230" s="20">
        <v>70</v>
      </c>
      <c r="L230" s="11"/>
      <c r="M230" s="11"/>
      <c r="N230" s="11"/>
      <c r="O230" s="11"/>
      <c r="P230" s="11"/>
      <c r="Q230" s="10"/>
      <c r="R230" s="11" t="s">
        <v>838</v>
      </c>
      <c r="S230" s="11"/>
      <c r="T230" s="11"/>
      <c r="U230" s="11"/>
      <c r="V230" s="11" t="s">
        <v>305</v>
      </c>
      <c r="W230" s="11" t="s">
        <v>306</v>
      </c>
      <c r="X230" s="20">
        <v>0</v>
      </c>
      <c r="Y230" s="11" t="b">
        <v>0</v>
      </c>
      <c r="Z230" s="11" t="b">
        <v>0</v>
      </c>
      <c r="AA230" s="11"/>
      <c r="AB230" s="11" t="s">
        <v>218</v>
      </c>
      <c r="AC230" s="11" t="s">
        <v>344</v>
      </c>
      <c r="AD230" s="11" t="s">
        <v>344</v>
      </c>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c r="BC230" s="11"/>
      <c r="BD230" s="11"/>
      <c r="BE230" s="11"/>
      <c r="BF230" s="11"/>
      <c r="BG230" s="11"/>
      <c r="BH230" s="11"/>
      <c r="BI230" s="11"/>
      <c r="BJ230" s="11"/>
      <c r="BK230" s="11"/>
      <c r="BL230" s="11"/>
      <c r="BM230" s="11"/>
      <c r="BN230" s="11"/>
      <c r="BO230" s="11"/>
      <c r="BP230" s="11"/>
      <c r="BQ230" s="11"/>
      <c r="BR230" s="11"/>
      <c r="BS230" s="11"/>
      <c r="BT230" s="11"/>
      <c r="BU230" s="11"/>
      <c r="BV230" s="11"/>
      <c r="BW230" s="11"/>
      <c r="BX230" s="11"/>
      <c r="BY230" s="11"/>
      <c r="BZ230" s="11"/>
      <c r="CA230" s="11"/>
      <c r="CB230" s="11"/>
      <c r="CC230" s="11"/>
      <c r="CD230" s="11"/>
      <c r="CE230" s="11"/>
      <c r="CF230" s="11"/>
      <c r="CG230" s="11"/>
      <c r="CH230" s="11"/>
      <c r="CI230" s="11"/>
      <c r="CJ230" s="11"/>
      <c r="CK230" s="11"/>
      <c r="CL230" s="11"/>
      <c r="CM230" s="11"/>
      <c r="CN230" s="11"/>
      <c r="CO230" s="11"/>
      <c r="CP230" s="11"/>
      <c r="CQ230" s="11"/>
      <c r="CR230" s="11"/>
      <c r="CS230" s="11"/>
      <c r="CT230" s="11"/>
      <c r="CU230" s="11"/>
      <c r="CV230" s="11"/>
      <c r="CW230" s="11"/>
      <c r="CX230" s="11"/>
      <c r="CY230" s="11"/>
      <c r="CZ230" s="11"/>
      <c r="DA230" s="11"/>
      <c r="DB230" s="11"/>
      <c r="DC230" s="11"/>
      <c r="DD230" s="11"/>
    </row>
    <row r="231" spans="1:108" ht="24" x14ac:dyDescent="0.25">
      <c r="A231" s="6" t="s">
        <v>708</v>
      </c>
      <c r="B231" s="7" t="s">
        <v>707</v>
      </c>
      <c r="C231" s="8" t="s">
        <v>345</v>
      </c>
      <c r="D231" s="8" t="s">
        <v>299</v>
      </c>
      <c r="E231" s="8" t="s">
        <v>300</v>
      </c>
      <c r="F231" s="8" t="s">
        <v>301</v>
      </c>
      <c r="G231" s="8" t="s">
        <v>313</v>
      </c>
      <c r="H231" s="8" t="s">
        <v>303</v>
      </c>
      <c r="I231" s="8" t="s">
        <v>300</v>
      </c>
      <c r="J231" s="21">
        <v>90</v>
      </c>
      <c r="K231" s="21">
        <v>70</v>
      </c>
      <c r="L231" s="8"/>
      <c r="M231" s="8"/>
      <c r="N231" s="8"/>
      <c r="O231" s="8"/>
      <c r="P231" s="8"/>
      <c r="Q231" s="7"/>
      <c r="R231" s="8" t="s">
        <v>839</v>
      </c>
      <c r="S231" s="8"/>
      <c r="T231" s="8"/>
      <c r="U231" s="8"/>
      <c r="V231" s="8" t="s">
        <v>305</v>
      </c>
      <c r="W231" s="8" t="s">
        <v>306</v>
      </c>
      <c r="X231" s="21">
        <v>0</v>
      </c>
      <c r="Y231" s="8" t="b">
        <v>0</v>
      </c>
      <c r="Z231" s="8" t="b">
        <v>0</v>
      </c>
      <c r="AA231" s="8"/>
      <c r="AB231" s="8" t="s">
        <v>218</v>
      </c>
      <c r="AC231" s="8" t="s">
        <v>347</v>
      </c>
      <c r="AD231" s="8" t="s">
        <v>347</v>
      </c>
      <c r="AE231" s="8"/>
      <c r="AF231" s="21">
        <v>90</v>
      </c>
      <c r="AG231" s="21">
        <v>90</v>
      </c>
      <c r="AH231" s="21">
        <v>90</v>
      </c>
      <c r="AI231" s="21">
        <v>90</v>
      </c>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21">
        <v>90</v>
      </c>
      <c r="BH231" s="8"/>
      <c r="BI231" s="8"/>
      <c r="BJ231" s="8"/>
      <c r="BK231" s="8"/>
      <c r="BL231" s="8"/>
      <c r="BM231" s="8"/>
      <c r="BN231" s="8"/>
      <c r="BO231" s="8"/>
      <c r="BP231" s="8"/>
      <c r="BQ231" s="8"/>
      <c r="BR231" s="8"/>
      <c r="BS231" s="21">
        <v>90</v>
      </c>
      <c r="BT231" s="8"/>
      <c r="BU231" s="8"/>
      <c r="BV231" s="8"/>
      <c r="BW231" s="8"/>
      <c r="BX231" s="8"/>
      <c r="BY231" s="8"/>
      <c r="BZ231" s="8"/>
      <c r="CA231" s="8"/>
      <c r="CB231" s="8"/>
      <c r="CC231" s="8"/>
      <c r="CD231" s="8"/>
      <c r="CE231" s="21">
        <v>90</v>
      </c>
      <c r="CF231" s="8"/>
      <c r="CG231" s="8"/>
      <c r="CH231" s="8"/>
      <c r="CI231" s="8"/>
      <c r="CJ231" s="8"/>
      <c r="CK231" s="8"/>
      <c r="CL231" s="8"/>
      <c r="CM231" s="8"/>
      <c r="CN231" s="8"/>
      <c r="CO231" s="8"/>
      <c r="CP231" s="8"/>
      <c r="CQ231" s="21">
        <v>90</v>
      </c>
      <c r="CR231" s="8"/>
      <c r="CS231" s="8"/>
      <c r="CT231" s="8"/>
      <c r="CU231" s="8"/>
      <c r="CV231" s="8"/>
      <c r="CW231" s="8"/>
      <c r="CX231" s="8"/>
      <c r="CY231" s="8"/>
      <c r="CZ231" s="8"/>
      <c r="DA231" s="8"/>
      <c r="DB231" s="8"/>
      <c r="DC231" s="8"/>
      <c r="DD231" s="8"/>
    </row>
    <row r="232" spans="1:108" ht="24" x14ac:dyDescent="0.25">
      <c r="A232" s="6" t="s">
        <v>708</v>
      </c>
      <c r="B232" s="10" t="s">
        <v>707</v>
      </c>
      <c r="C232" s="11" t="s">
        <v>345</v>
      </c>
      <c r="D232" s="11" t="s">
        <v>308</v>
      </c>
      <c r="E232" s="11" t="s">
        <v>300</v>
      </c>
      <c r="F232" s="11" t="s">
        <v>301</v>
      </c>
      <c r="G232" s="11" t="s">
        <v>313</v>
      </c>
      <c r="H232" s="11" t="s">
        <v>303</v>
      </c>
      <c r="I232" s="11" t="s">
        <v>300</v>
      </c>
      <c r="J232" s="20">
        <v>90</v>
      </c>
      <c r="K232" s="20">
        <v>70</v>
      </c>
      <c r="L232" s="11"/>
      <c r="M232" s="11"/>
      <c r="N232" s="11"/>
      <c r="O232" s="11"/>
      <c r="P232" s="11"/>
      <c r="Q232" s="10"/>
      <c r="R232" s="11" t="s">
        <v>839</v>
      </c>
      <c r="S232" s="11"/>
      <c r="T232" s="11"/>
      <c r="U232" s="11"/>
      <c r="V232" s="11" t="s">
        <v>305</v>
      </c>
      <c r="W232" s="11" t="s">
        <v>306</v>
      </c>
      <c r="X232" s="20">
        <v>0</v>
      </c>
      <c r="Y232" s="11" t="b">
        <v>0</v>
      </c>
      <c r="Z232" s="11" t="b">
        <v>0</v>
      </c>
      <c r="AA232" s="11"/>
      <c r="AB232" s="11" t="s">
        <v>218</v>
      </c>
      <c r="AC232" s="11" t="s">
        <v>347</v>
      </c>
      <c r="AD232" s="11" t="s">
        <v>347</v>
      </c>
      <c r="AE232" s="11"/>
      <c r="AF232" s="20">
        <v>90</v>
      </c>
      <c r="AG232" s="20">
        <v>90</v>
      </c>
      <c r="AH232" s="20">
        <v>90</v>
      </c>
      <c r="AI232" s="20">
        <v>90</v>
      </c>
      <c r="AJ232" s="11"/>
      <c r="AK232" s="11"/>
      <c r="AL232" s="11"/>
      <c r="AM232" s="11"/>
      <c r="AN232" s="11"/>
      <c r="AO232" s="11"/>
      <c r="AP232" s="11"/>
      <c r="AQ232" s="11"/>
      <c r="AR232" s="11"/>
      <c r="AS232" s="11"/>
      <c r="AT232" s="11"/>
      <c r="AU232" s="11"/>
      <c r="AV232" s="11"/>
      <c r="AW232" s="11"/>
      <c r="AX232" s="11"/>
      <c r="AY232" s="11"/>
      <c r="AZ232" s="11"/>
      <c r="BA232" s="11"/>
      <c r="BB232" s="11"/>
      <c r="BC232" s="11"/>
      <c r="BD232" s="11"/>
      <c r="BE232" s="11"/>
      <c r="BF232" s="11"/>
      <c r="BG232" s="20">
        <v>90</v>
      </c>
      <c r="BH232" s="11"/>
      <c r="BI232" s="11"/>
      <c r="BJ232" s="11"/>
      <c r="BK232" s="11"/>
      <c r="BL232" s="11"/>
      <c r="BM232" s="11"/>
      <c r="BN232" s="11"/>
      <c r="BO232" s="11"/>
      <c r="BP232" s="11"/>
      <c r="BQ232" s="11"/>
      <c r="BR232" s="11"/>
      <c r="BS232" s="20">
        <v>90</v>
      </c>
      <c r="BT232" s="11"/>
      <c r="BU232" s="11"/>
      <c r="BV232" s="11"/>
      <c r="BW232" s="11"/>
      <c r="BX232" s="11"/>
      <c r="BY232" s="11"/>
      <c r="BZ232" s="11"/>
      <c r="CA232" s="11"/>
      <c r="CB232" s="11"/>
      <c r="CC232" s="11"/>
      <c r="CD232" s="11"/>
      <c r="CE232" s="20">
        <v>90</v>
      </c>
      <c r="CF232" s="11"/>
      <c r="CG232" s="11"/>
      <c r="CH232" s="11"/>
      <c r="CI232" s="11"/>
      <c r="CJ232" s="11"/>
      <c r="CK232" s="11"/>
      <c r="CL232" s="11"/>
      <c r="CM232" s="11"/>
      <c r="CN232" s="11"/>
      <c r="CO232" s="11"/>
      <c r="CP232" s="11"/>
      <c r="CQ232" s="20">
        <v>90</v>
      </c>
      <c r="CR232" s="11"/>
      <c r="CS232" s="11"/>
      <c r="CT232" s="11"/>
      <c r="CU232" s="11"/>
      <c r="CV232" s="11"/>
      <c r="CW232" s="11"/>
      <c r="CX232" s="11"/>
      <c r="CY232" s="11"/>
      <c r="CZ232" s="11"/>
      <c r="DA232" s="11"/>
      <c r="DB232" s="11"/>
      <c r="DC232" s="11"/>
      <c r="DD232" s="11"/>
    </row>
    <row r="233" spans="1:108" ht="24" x14ac:dyDescent="0.25">
      <c r="A233" s="6" t="s">
        <v>708</v>
      </c>
      <c r="B233" s="7" t="s">
        <v>707</v>
      </c>
      <c r="C233" s="8" t="s">
        <v>345</v>
      </c>
      <c r="D233" s="8" t="s">
        <v>204</v>
      </c>
      <c r="E233" s="8" t="s">
        <v>300</v>
      </c>
      <c r="F233" s="8" t="s">
        <v>301</v>
      </c>
      <c r="G233" s="8" t="s">
        <v>313</v>
      </c>
      <c r="H233" s="8" t="s">
        <v>303</v>
      </c>
      <c r="I233" s="8" t="s">
        <v>300</v>
      </c>
      <c r="J233" s="21">
        <v>90</v>
      </c>
      <c r="K233" s="21">
        <v>70</v>
      </c>
      <c r="L233" s="8"/>
      <c r="M233" s="8"/>
      <c r="N233" s="8"/>
      <c r="O233" s="8"/>
      <c r="P233" s="8"/>
      <c r="Q233" s="7"/>
      <c r="R233" s="8" t="s">
        <v>839</v>
      </c>
      <c r="S233" s="8"/>
      <c r="T233" s="8"/>
      <c r="U233" s="8"/>
      <c r="V233" s="8" t="s">
        <v>305</v>
      </c>
      <c r="W233" s="8" t="s">
        <v>306</v>
      </c>
      <c r="X233" s="21">
        <v>0</v>
      </c>
      <c r="Y233" s="8" t="b">
        <v>0</v>
      </c>
      <c r="Z233" s="8" t="b">
        <v>0</v>
      </c>
      <c r="AA233" s="8"/>
      <c r="AB233" s="8" t="s">
        <v>218</v>
      </c>
      <c r="AC233" s="8" t="s">
        <v>347</v>
      </c>
      <c r="AD233" s="8" t="s">
        <v>347</v>
      </c>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c r="BU233" s="8"/>
      <c r="BV233" s="8"/>
      <c r="BW233" s="8"/>
      <c r="BX233" s="8"/>
      <c r="BY233" s="8"/>
      <c r="BZ233" s="8"/>
      <c r="CA233" s="8"/>
      <c r="CB233" s="8"/>
      <c r="CC233" s="8"/>
      <c r="CD233" s="8"/>
      <c r="CE233" s="8"/>
      <c r="CF233" s="8"/>
      <c r="CG233" s="8"/>
      <c r="CH233" s="8"/>
      <c r="CI233" s="8"/>
      <c r="CJ233" s="8"/>
      <c r="CK233" s="8"/>
      <c r="CL233" s="8"/>
      <c r="CM233" s="8"/>
      <c r="CN233" s="8"/>
      <c r="CO233" s="8"/>
      <c r="CP233" s="8"/>
      <c r="CQ233" s="8"/>
      <c r="CR233" s="8"/>
      <c r="CS233" s="8"/>
      <c r="CT233" s="8"/>
      <c r="CU233" s="8"/>
      <c r="CV233" s="8"/>
      <c r="CW233" s="8"/>
      <c r="CX233" s="8"/>
      <c r="CY233" s="8"/>
      <c r="CZ233" s="8"/>
      <c r="DA233" s="8"/>
      <c r="DB233" s="8"/>
      <c r="DC233" s="8"/>
      <c r="DD233" s="8"/>
    </row>
    <row r="234" spans="1:108" ht="24" x14ac:dyDescent="0.25">
      <c r="A234" s="6" t="s">
        <v>711</v>
      </c>
      <c r="B234" s="10" t="s">
        <v>710</v>
      </c>
      <c r="C234" s="11" t="s">
        <v>348</v>
      </c>
      <c r="D234" s="11" t="s">
        <v>299</v>
      </c>
      <c r="E234" s="11" t="s">
        <v>300</v>
      </c>
      <c r="F234" s="11" t="s">
        <v>349</v>
      </c>
      <c r="G234" s="11" t="s">
        <v>313</v>
      </c>
      <c r="H234" s="11" t="s">
        <v>303</v>
      </c>
      <c r="I234" s="11"/>
      <c r="J234" s="20">
        <v>90</v>
      </c>
      <c r="K234" s="20">
        <v>70</v>
      </c>
      <c r="L234" s="11"/>
      <c r="M234" s="11"/>
      <c r="N234" s="11"/>
      <c r="O234" s="11"/>
      <c r="P234" s="11"/>
      <c r="Q234" s="10"/>
      <c r="R234" s="11" t="s">
        <v>840</v>
      </c>
      <c r="S234" s="11"/>
      <c r="T234" s="11"/>
      <c r="U234" s="11"/>
      <c r="V234" s="11" t="s">
        <v>305</v>
      </c>
      <c r="W234" s="11" t="s">
        <v>306</v>
      </c>
      <c r="X234" s="20">
        <v>0</v>
      </c>
      <c r="Y234" s="11" t="b">
        <v>0</v>
      </c>
      <c r="Z234" s="11" t="b">
        <v>0</v>
      </c>
      <c r="AA234" s="11"/>
      <c r="AB234" s="11" t="s">
        <v>218</v>
      </c>
      <c r="AC234" s="11" t="s">
        <v>351</v>
      </c>
      <c r="AD234" s="11" t="s">
        <v>351</v>
      </c>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c r="BC234" s="11"/>
      <c r="BD234" s="11"/>
      <c r="BE234" s="11"/>
      <c r="BF234" s="11"/>
      <c r="BG234" s="11"/>
      <c r="BH234" s="11"/>
      <c r="BI234" s="11"/>
      <c r="BJ234" s="11"/>
      <c r="BK234" s="11"/>
      <c r="BL234" s="11"/>
      <c r="BM234" s="11"/>
      <c r="BN234" s="11"/>
      <c r="BO234" s="11"/>
      <c r="BP234" s="11"/>
      <c r="BQ234" s="11"/>
      <c r="BR234" s="11"/>
      <c r="BS234" s="11"/>
      <c r="BT234" s="11"/>
      <c r="BU234" s="11"/>
      <c r="BV234" s="11"/>
      <c r="BW234" s="11"/>
      <c r="BX234" s="11"/>
      <c r="BY234" s="11"/>
      <c r="BZ234" s="11"/>
      <c r="CA234" s="11"/>
      <c r="CB234" s="11"/>
      <c r="CC234" s="11"/>
      <c r="CD234" s="11"/>
      <c r="CE234" s="11"/>
      <c r="CF234" s="11"/>
      <c r="CG234" s="11"/>
      <c r="CH234" s="11"/>
      <c r="CI234" s="11"/>
      <c r="CJ234" s="11"/>
      <c r="CK234" s="11"/>
      <c r="CL234" s="11"/>
      <c r="CM234" s="11"/>
      <c r="CN234" s="11"/>
      <c r="CO234" s="11"/>
      <c r="CP234" s="11"/>
      <c r="CQ234" s="11"/>
      <c r="CR234" s="11"/>
      <c r="CS234" s="11"/>
      <c r="CT234" s="11"/>
      <c r="CU234" s="11"/>
      <c r="CV234" s="11"/>
      <c r="CW234" s="11"/>
      <c r="CX234" s="11"/>
      <c r="CY234" s="11"/>
      <c r="CZ234" s="11"/>
      <c r="DA234" s="11"/>
      <c r="DB234" s="11"/>
      <c r="DC234" s="11"/>
      <c r="DD234" s="11"/>
    </row>
    <row r="235" spans="1:108" ht="24" x14ac:dyDescent="0.25">
      <c r="A235" s="6" t="s">
        <v>711</v>
      </c>
      <c r="B235" s="7" t="s">
        <v>710</v>
      </c>
      <c r="C235" s="8" t="s">
        <v>348</v>
      </c>
      <c r="D235" s="8" t="s">
        <v>308</v>
      </c>
      <c r="E235" s="8" t="s">
        <v>300</v>
      </c>
      <c r="F235" s="8" t="s">
        <v>349</v>
      </c>
      <c r="G235" s="8" t="s">
        <v>313</v>
      </c>
      <c r="H235" s="8" t="s">
        <v>303</v>
      </c>
      <c r="I235" s="8"/>
      <c r="J235" s="21">
        <v>90</v>
      </c>
      <c r="K235" s="21">
        <v>70</v>
      </c>
      <c r="L235" s="8"/>
      <c r="M235" s="8"/>
      <c r="N235" s="8"/>
      <c r="O235" s="8"/>
      <c r="P235" s="8"/>
      <c r="Q235" s="7"/>
      <c r="R235" s="8" t="s">
        <v>840</v>
      </c>
      <c r="S235" s="8"/>
      <c r="T235" s="8"/>
      <c r="U235" s="8"/>
      <c r="V235" s="8" t="s">
        <v>305</v>
      </c>
      <c r="W235" s="8" t="s">
        <v>306</v>
      </c>
      <c r="X235" s="21">
        <v>0</v>
      </c>
      <c r="Y235" s="8" t="b">
        <v>0</v>
      </c>
      <c r="Z235" s="8" t="b">
        <v>0</v>
      </c>
      <c r="AA235" s="8"/>
      <c r="AB235" s="8" t="s">
        <v>218</v>
      </c>
      <c r="AC235" s="8" t="s">
        <v>351</v>
      </c>
      <c r="AD235" s="8" t="s">
        <v>351</v>
      </c>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c r="BU235" s="8"/>
      <c r="BV235" s="8"/>
      <c r="BW235" s="8"/>
      <c r="BX235" s="8"/>
      <c r="BY235" s="8"/>
      <c r="BZ235" s="8"/>
      <c r="CA235" s="8"/>
      <c r="CB235" s="8"/>
      <c r="CC235" s="8"/>
      <c r="CD235" s="8"/>
      <c r="CE235" s="8"/>
      <c r="CF235" s="8"/>
      <c r="CG235" s="8"/>
      <c r="CH235" s="8"/>
      <c r="CI235" s="8"/>
      <c r="CJ235" s="8"/>
      <c r="CK235" s="8"/>
      <c r="CL235" s="8"/>
      <c r="CM235" s="8"/>
      <c r="CN235" s="8"/>
      <c r="CO235" s="8"/>
      <c r="CP235" s="8"/>
      <c r="CQ235" s="8"/>
      <c r="CR235" s="8"/>
      <c r="CS235" s="8"/>
      <c r="CT235" s="8"/>
      <c r="CU235" s="8"/>
      <c r="CV235" s="8"/>
      <c r="CW235" s="8"/>
      <c r="CX235" s="8"/>
      <c r="CY235" s="8"/>
      <c r="CZ235" s="8"/>
      <c r="DA235" s="8"/>
      <c r="DB235" s="8"/>
      <c r="DC235" s="8"/>
      <c r="DD235" s="8"/>
    </row>
    <row r="236" spans="1:108" ht="24" x14ac:dyDescent="0.25">
      <c r="A236" s="6" t="s">
        <v>711</v>
      </c>
      <c r="B236" s="10" t="s">
        <v>710</v>
      </c>
      <c r="C236" s="11" t="s">
        <v>348</v>
      </c>
      <c r="D236" s="11" t="s">
        <v>204</v>
      </c>
      <c r="E236" s="11" t="s">
        <v>300</v>
      </c>
      <c r="F236" s="11" t="s">
        <v>349</v>
      </c>
      <c r="G236" s="11" t="s">
        <v>313</v>
      </c>
      <c r="H236" s="11" t="s">
        <v>303</v>
      </c>
      <c r="I236" s="11"/>
      <c r="J236" s="20">
        <v>90</v>
      </c>
      <c r="K236" s="20">
        <v>70</v>
      </c>
      <c r="L236" s="11"/>
      <c r="M236" s="11"/>
      <c r="N236" s="11"/>
      <c r="O236" s="11"/>
      <c r="P236" s="11"/>
      <c r="Q236" s="10"/>
      <c r="R236" s="11" t="s">
        <v>840</v>
      </c>
      <c r="S236" s="11"/>
      <c r="T236" s="11"/>
      <c r="U236" s="11"/>
      <c r="V236" s="11" t="s">
        <v>305</v>
      </c>
      <c r="W236" s="11" t="s">
        <v>306</v>
      </c>
      <c r="X236" s="20">
        <v>0</v>
      </c>
      <c r="Y236" s="11" t="b">
        <v>0</v>
      </c>
      <c r="Z236" s="11" t="b">
        <v>0</v>
      </c>
      <c r="AA236" s="11"/>
      <c r="AB236" s="11" t="s">
        <v>218</v>
      </c>
      <c r="AC236" s="11" t="s">
        <v>351</v>
      </c>
      <c r="AD236" s="11" t="s">
        <v>351</v>
      </c>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c r="BC236" s="11"/>
      <c r="BD236" s="11"/>
      <c r="BE236" s="11"/>
      <c r="BF236" s="11"/>
      <c r="BG236" s="11"/>
      <c r="BH236" s="11"/>
      <c r="BI236" s="11"/>
      <c r="BJ236" s="11"/>
      <c r="BK236" s="11"/>
      <c r="BL236" s="11"/>
      <c r="BM236" s="11"/>
      <c r="BN236" s="11"/>
      <c r="BO236" s="11"/>
      <c r="BP236" s="11"/>
      <c r="BQ236" s="11"/>
      <c r="BR236" s="11"/>
      <c r="BS236" s="11"/>
      <c r="BT236" s="11"/>
      <c r="BU236" s="11"/>
      <c r="BV236" s="11"/>
      <c r="BW236" s="11"/>
      <c r="BX236" s="11"/>
      <c r="BY236" s="11"/>
      <c r="BZ236" s="11"/>
      <c r="CA236" s="11"/>
      <c r="CB236" s="11"/>
      <c r="CC236" s="11"/>
      <c r="CD236" s="11"/>
      <c r="CE236" s="11"/>
      <c r="CF236" s="11"/>
      <c r="CG236" s="11"/>
      <c r="CH236" s="11"/>
      <c r="CI236" s="11"/>
      <c r="CJ236" s="11"/>
      <c r="CK236" s="11"/>
      <c r="CL236" s="11"/>
      <c r="CM236" s="11"/>
      <c r="CN236" s="11"/>
      <c r="CO236" s="11"/>
      <c r="CP236" s="11"/>
      <c r="CQ236" s="11"/>
      <c r="CR236" s="11"/>
      <c r="CS236" s="11"/>
      <c r="CT236" s="11"/>
      <c r="CU236" s="11"/>
      <c r="CV236" s="11"/>
      <c r="CW236" s="11"/>
      <c r="CX236" s="11"/>
      <c r="CY236" s="11"/>
      <c r="CZ236" s="11"/>
      <c r="DA236" s="11"/>
      <c r="DB236" s="11"/>
      <c r="DC236" s="11"/>
      <c r="DD236" s="11"/>
    </row>
    <row r="237" spans="1:108" ht="24" x14ac:dyDescent="0.25">
      <c r="A237" s="6" t="s">
        <v>711</v>
      </c>
      <c r="B237" s="7" t="s">
        <v>710</v>
      </c>
      <c r="C237" s="8" t="s">
        <v>352</v>
      </c>
      <c r="D237" s="8" t="s">
        <v>299</v>
      </c>
      <c r="E237" s="8" t="s">
        <v>300</v>
      </c>
      <c r="F237" s="8" t="s">
        <v>349</v>
      </c>
      <c r="G237" s="8" t="s">
        <v>313</v>
      </c>
      <c r="H237" s="8" t="s">
        <v>333</v>
      </c>
      <c r="I237" s="8"/>
      <c r="J237" s="21">
        <v>90</v>
      </c>
      <c r="K237" s="21">
        <v>70</v>
      </c>
      <c r="L237" s="8"/>
      <c r="M237" s="8"/>
      <c r="N237" s="8"/>
      <c r="O237" s="8"/>
      <c r="P237" s="8"/>
      <c r="Q237" s="7"/>
      <c r="R237" s="25" t="s">
        <v>841</v>
      </c>
      <c r="S237" s="8"/>
      <c r="T237" s="8"/>
      <c r="U237" s="8"/>
      <c r="V237" s="8" t="s">
        <v>305</v>
      </c>
      <c r="W237" s="8" t="s">
        <v>306</v>
      </c>
      <c r="X237" s="21">
        <v>0</v>
      </c>
      <c r="Y237" s="8" t="b">
        <v>0</v>
      </c>
      <c r="Z237" s="8" t="b">
        <v>0</v>
      </c>
      <c r="AA237" s="8"/>
      <c r="AB237" s="8" t="s">
        <v>218</v>
      </c>
      <c r="AC237" s="8" t="s">
        <v>354</v>
      </c>
      <c r="AD237" s="8" t="s">
        <v>354</v>
      </c>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c r="BU237" s="8"/>
      <c r="BV237" s="8"/>
      <c r="BW237" s="8"/>
      <c r="BX237" s="8"/>
      <c r="BY237" s="8"/>
      <c r="BZ237" s="8"/>
      <c r="CA237" s="8"/>
      <c r="CB237" s="8"/>
      <c r="CC237" s="8"/>
      <c r="CD237" s="8"/>
      <c r="CE237" s="8"/>
      <c r="CF237" s="8"/>
      <c r="CG237" s="8"/>
      <c r="CH237" s="8"/>
      <c r="CI237" s="8"/>
      <c r="CJ237" s="8"/>
      <c r="CK237" s="8"/>
      <c r="CL237" s="8"/>
      <c r="CM237" s="8"/>
      <c r="CN237" s="8"/>
      <c r="CO237" s="8"/>
      <c r="CP237" s="8"/>
      <c r="CQ237" s="8"/>
      <c r="CR237" s="8"/>
      <c r="CS237" s="8"/>
      <c r="CT237" s="8"/>
      <c r="CU237" s="8"/>
      <c r="CV237" s="8"/>
      <c r="CW237" s="8"/>
      <c r="CX237" s="8"/>
      <c r="CY237" s="8"/>
      <c r="CZ237" s="8"/>
      <c r="DA237" s="8"/>
      <c r="DB237" s="8"/>
      <c r="DC237" s="8"/>
      <c r="DD237" s="8"/>
    </row>
    <row r="238" spans="1:108" ht="24" x14ac:dyDescent="0.25">
      <c r="A238" s="6" t="s">
        <v>711</v>
      </c>
      <c r="B238" s="10" t="s">
        <v>710</v>
      </c>
      <c r="C238" s="11" t="s">
        <v>352</v>
      </c>
      <c r="D238" s="11" t="s">
        <v>308</v>
      </c>
      <c r="E238" s="11" t="s">
        <v>300</v>
      </c>
      <c r="F238" s="11" t="s">
        <v>349</v>
      </c>
      <c r="G238" s="11" t="s">
        <v>313</v>
      </c>
      <c r="H238" s="11" t="s">
        <v>333</v>
      </c>
      <c r="I238" s="11"/>
      <c r="J238" s="20">
        <v>90</v>
      </c>
      <c r="K238" s="20">
        <v>70</v>
      </c>
      <c r="L238" s="11"/>
      <c r="M238" s="11"/>
      <c r="N238" s="11"/>
      <c r="O238" s="11"/>
      <c r="P238" s="11"/>
      <c r="Q238" s="10"/>
      <c r="R238" s="26" t="s">
        <v>841</v>
      </c>
      <c r="S238" s="11"/>
      <c r="T238" s="11"/>
      <c r="U238" s="11"/>
      <c r="V238" s="11" t="s">
        <v>305</v>
      </c>
      <c r="W238" s="11" t="s">
        <v>306</v>
      </c>
      <c r="X238" s="20">
        <v>0</v>
      </c>
      <c r="Y238" s="11" t="b">
        <v>0</v>
      </c>
      <c r="Z238" s="11" t="b">
        <v>0</v>
      </c>
      <c r="AA238" s="11"/>
      <c r="AB238" s="11" t="s">
        <v>218</v>
      </c>
      <c r="AC238" s="11" t="s">
        <v>354</v>
      </c>
      <c r="AD238" s="11" t="s">
        <v>354</v>
      </c>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c r="BC238" s="11"/>
      <c r="BD238" s="11"/>
      <c r="BE238" s="11"/>
      <c r="BF238" s="11"/>
      <c r="BG238" s="11"/>
      <c r="BH238" s="11"/>
      <c r="BI238" s="11"/>
      <c r="BJ238" s="11"/>
      <c r="BK238" s="11"/>
      <c r="BL238" s="11"/>
      <c r="BM238" s="11"/>
      <c r="BN238" s="11"/>
      <c r="BO238" s="11"/>
      <c r="BP238" s="11"/>
      <c r="BQ238" s="11"/>
      <c r="BR238" s="11"/>
      <c r="BS238" s="11"/>
      <c r="BT238" s="11"/>
      <c r="BU238" s="11"/>
      <c r="BV238" s="11"/>
      <c r="BW238" s="11"/>
      <c r="BX238" s="11"/>
      <c r="BY238" s="11"/>
      <c r="BZ238" s="11"/>
      <c r="CA238" s="11"/>
      <c r="CB238" s="11"/>
      <c r="CC238" s="11"/>
      <c r="CD238" s="11"/>
      <c r="CE238" s="11"/>
      <c r="CF238" s="11"/>
      <c r="CG238" s="11"/>
      <c r="CH238" s="11"/>
      <c r="CI238" s="11"/>
      <c r="CJ238" s="11"/>
      <c r="CK238" s="11"/>
      <c r="CL238" s="11"/>
      <c r="CM238" s="11"/>
      <c r="CN238" s="11"/>
      <c r="CO238" s="11"/>
      <c r="CP238" s="11"/>
      <c r="CQ238" s="11"/>
      <c r="CR238" s="11"/>
      <c r="CS238" s="11"/>
      <c r="CT238" s="11"/>
      <c r="CU238" s="11"/>
      <c r="CV238" s="11"/>
      <c r="CW238" s="11"/>
      <c r="CX238" s="11"/>
      <c r="CY238" s="11"/>
      <c r="CZ238" s="11"/>
      <c r="DA238" s="11"/>
      <c r="DB238" s="11"/>
      <c r="DC238" s="11"/>
      <c r="DD238" s="11"/>
    </row>
    <row r="239" spans="1:108" ht="24" x14ac:dyDescent="0.25">
      <c r="A239" s="6" t="s">
        <v>711</v>
      </c>
      <c r="B239" s="7" t="s">
        <v>710</v>
      </c>
      <c r="C239" s="8" t="s">
        <v>352</v>
      </c>
      <c r="D239" s="8" t="s">
        <v>204</v>
      </c>
      <c r="E239" s="8" t="s">
        <v>300</v>
      </c>
      <c r="F239" s="8" t="s">
        <v>349</v>
      </c>
      <c r="G239" s="8" t="s">
        <v>313</v>
      </c>
      <c r="H239" s="8" t="s">
        <v>333</v>
      </c>
      <c r="I239" s="8"/>
      <c r="J239" s="21">
        <v>90</v>
      </c>
      <c r="K239" s="21">
        <v>70</v>
      </c>
      <c r="L239" s="8"/>
      <c r="M239" s="8"/>
      <c r="N239" s="8"/>
      <c r="O239" s="8"/>
      <c r="P239" s="8"/>
      <c r="Q239" s="7"/>
      <c r="R239" s="25" t="s">
        <v>841</v>
      </c>
      <c r="S239" s="8"/>
      <c r="T239" s="8"/>
      <c r="U239" s="8"/>
      <c r="V239" s="8" t="s">
        <v>305</v>
      </c>
      <c r="W239" s="8" t="s">
        <v>306</v>
      </c>
      <c r="X239" s="21">
        <v>0</v>
      </c>
      <c r="Y239" s="8" t="b">
        <v>0</v>
      </c>
      <c r="Z239" s="8" t="b">
        <v>0</v>
      </c>
      <c r="AA239" s="8"/>
      <c r="AB239" s="8" t="s">
        <v>218</v>
      </c>
      <c r="AC239" s="8" t="s">
        <v>354</v>
      </c>
      <c r="AD239" s="8" t="s">
        <v>354</v>
      </c>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c r="BU239" s="8"/>
      <c r="BV239" s="8"/>
      <c r="BW239" s="8"/>
      <c r="BX239" s="8"/>
      <c r="BY239" s="8"/>
      <c r="BZ239" s="8"/>
      <c r="CA239" s="8"/>
      <c r="CB239" s="8"/>
      <c r="CC239" s="8"/>
      <c r="CD239" s="8"/>
      <c r="CE239" s="8"/>
      <c r="CF239" s="8"/>
      <c r="CG239" s="8"/>
      <c r="CH239" s="8"/>
      <c r="CI239" s="8"/>
      <c r="CJ239" s="8"/>
      <c r="CK239" s="8"/>
      <c r="CL239" s="8"/>
      <c r="CM239" s="8"/>
      <c r="CN239" s="8"/>
      <c r="CO239" s="8"/>
      <c r="CP239" s="8"/>
      <c r="CQ239" s="8"/>
      <c r="CR239" s="8"/>
      <c r="CS239" s="8"/>
      <c r="CT239" s="8"/>
      <c r="CU239" s="8"/>
      <c r="CV239" s="8"/>
      <c r="CW239" s="8"/>
      <c r="CX239" s="8"/>
      <c r="CY239" s="8"/>
      <c r="CZ239" s="8"/>
      <c r="DA239" s="8"/>
      <c r="DB239" s="8"/>
      <c r="DC239" s="8"/>
      <c r="DD239" s="8"/>
    </row>
    <row r="240" spans="1:108" ht="24" x14ac:dyDescent="0.25">
      <c r="A240" s="6" t="s">
        <v>711</v>
      </c>
      <c r="B240" s="10" t="s">
        <v>710</v>
      </c>
      <c r="C240" s="11" t="s">
        <v>355</v>
      </c>
      <c r="D240" s="11" t="s">
        <v>299</v>
      </c>
      <c r="E240" s="11" t="s">
        <v>300</v>
      </c>
      <c r="F240" s="11" t="s">
        <v>349</v>
      </c>
      <c r="G240" s="11" t="s">
        <v>313</v>
      </c>
      <c r="H240" s="11" t="s">
        <v>303</v>
      </c>
      <c r="I240" s="11"/>
      <c r="J240" s="20">
        <v>90</v>
      </c>
      <c r="K240" s="20">
        <v>70</v>
      </c>
      <c r="L240" s="11"/>
      <c r="M240" s="11"/>
      <c r="N240" s="11"/>
      <c r="O240" s="11"/>
      <c r="P240" s="11"/>
      <c r="Q240" s="10"/>
      <c r="R240" s="11" t="s">
        <v>842</v>
      </c>
      <c r="S240" s="11"/>
      <c r="T240" s="11"/>
      <c r="U240" s="11"/>
      <c r="V240" s="11" t="s">
        <v>305</v>
      </c>
      <c r="W240" s="11" t="s">
        <v>306</v>
      </c>
      <c r="X240" s="20">
        <v>0</v>
      </c>
      <c r="Y240" s="11" t="b">
        <v>0</v>
      </c>
      <c r="Z240" s="11" t="b">
        <v>0</v>
      </c>
      <c r="AA240" s="11"/>
      <c r="AB240" s="11" t="s">
        <v>218</v>
      </c>
      <c r="AC240" s="11" t="s">
        <v>357</v>
      </c>
      <c r="AD240" s="11" t="s">
        <v>357</v>
      </c>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c r="BC240" s="11"/>
      <c r="BD240" s="11"/>
      <c r="BE240" s="11"/>
      <c r="BF240" s="11"/>
      <c r="BG240" s="11"/>
      <c r="BH240" s="11"/>
      <c r="BI240" s="11"/>
      <c r="BJ240" s="11"/>
      <c r="BK240" s="11"/>
      <c r="BL240" s="11"/>
      <c r="BM240" s="11"/>
      <c r="BN240" s="11"/>
      <c r="BO240" s="11"/>
      <c r="BP240" s="11"/>
      <c r="BQ240" s="11"/>
      <c r="BR240" s="11"/>
      <c r="BS240" s="11"/>
      <c r="BT240" s="11"/>
      <c r="BU240" s="11"/>
      <c r="BV240" s="11"/>
      <c r="BW240" s="11"/>
      <c r="BX240" s="11"/>
      <c r="BY240" s="11"/>
      <c r="BZ240" s="11"/>
      <c r="CA240" s="11"/>
      <c r="CB240" s="11"/>
      <c r="CC240" s="11"/>
      <c r="CD240" s="11"/>
      <c r="CE240" s="11"/>
      <c r="CF240" s="11"/>
      <c r="CG240" s="11"/>
      <c r="CH240" s="11"/>
      <c r="CI240" s="11"/>
      <c r="CJ240" s="11"/>
      <c r="CK240" s="11"/>
      <c r="CL240" s="11"/>
      <c r="CM240" s="11"/>
      <c r="CN240" s="11"/>
      <c r="CO240" s="11"/>
      <c r="CP240" s="11"/>
      <c r="CQ240" s="11"/>
      <c r="CR240" s="11"/>
      <c r="CS240" s="11"/>
      <c r="CT240" s="11"/>
      <c r="CU240" s="11"/>
      <c r="CV240" s="11"/>
      <c r="CW240" s="11"/>
      <c r="CX240" s="11"/>
      <c r="CY240" s="11"/>
      <c r="CZ240" s="11"/>
      <c r="DA240" s="11"/>
      <c r="DB240" s="11"/>
      <c r="DC240" s="11"/>
      <c r="DD240" s="11"/>
    </row>
    <row r="241" spans="1:108" ht="24" x14ac:dyDescent="0.25">
      <c r="A241" s="6" t="s">
        <v>711</v>
      </c>
      <c r="B241" s="7" t="s">
        <v>710</v>
      </c>
      <c r="C241" s="8" t="s">
        <v>355</v>
      </c>
      <c r="D241" s="8" t="s">
        <v>308</v>
      </c>
      <c r="E241" s="8" t="s">
        <v>300</v>
      </c>
      <c r="F241" s="8" t="s">
        <v>349</v>
      </c>
      <c r="G241" s="8" t="s">
        <v>313</v>
      </c>
      <c r="H241" s="8" t="s">
        <v>303</v>
      </c>
      <c r="I241" s="8"/>
      <c r="J241" s="21">
        <v>90</v>
      </c>
      <c r="K241" s="21">
        <v>70</v>
      </c>
      <c r="L241" s="8"/>
      <c r="M241" s="8"/>
      <c r="N241" s="8"/>
      <c r="O241" s="8"/>
      <c r="P241" s="8"/>
      <c r="Q241" s="7"/>
      <c r="R241" s="8" t="s">
        <v>842</v>
      </c>
      <c r="S241" s="8"/>
      <c r="T241" s="8"/>
      <c r="U241" s="8"/>
      <c r="V241" s="8" t="s">
        <v>305</v>
      </c>
      <c r="W241" s="8" t="s">
        <v>306</v>
      </c>
      <c r="X241" s="21">
        <v>0</v>
      </c>
      <c r="Y241" s="8" t="b">
        <v>0</v>
      </c>
      <c r="Z241" s="8" t="b">
        <v>0</v>
      </c>
      <c r="AA241" s="8"/>
      <c r="AB241" s="8" t="s">
        <v>218</v>
      </c>
      <c r="AC241" s="8" t="s">
        <v>357</v>
      </c>
      <c r="AD241" s="8" t="s">
        <v>357</v>
      </c>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c r="BU241" s="8"/>
      <c r="BV241" s="8"/>
      <c r="BW241" s="8"/>
      <c r="BX241" s="8"/>
      <c r="BY241" s="8"/>
      <c r="BZ241" s="8"/>
      <c r="CA241" s="8"/>
      <c r="CB241" s="8"/>
      <c r="CC241" s="8"/>
      <c r="CD241" s="8"/>
      <c r="CE241" s="8"/>
      <c r="CF241" s="8"/>
      <c r="CG241" s="8"/>
      <c r="CH241" s="8"/>
      <c r="CI241" s="8"/>
      <c r="CJ241" s="8"/>
      <c r="CK241" s="8"/>
      <c r="CL241" s="8"/>
      <c r="CM241" s="8"/>
      <c r="CN241" s="8"/>
      <c r="CO241" s="8"/>
      <c r="CP241" s="8"/>
      <c r="CQ241" s="8"/>
      <c r="CR241" s="8"/>
      <c r="CS241" s="8"/>
      <c r="CT241" s="8"/>
      <c r="CU241" s="8"/>
      <c r="CV241" s="8"/>
      <c r="CW241" s="8"/>
      <c r="CX241" s="8"/>
      <c r="CY241" s="8"/>
      <c r="CZ241" s="8"/>
      <c r="DA241" s="8"/>
      <c r="DB241" s="8"/>
      <c r="DC241" s="8"/>
      <c r="DD241" s="8"/>
    </row>
    <row r="242" spans="1:108" ht="24" x14ac:dyDescent="0.25">
      <c r="A242" s="6" t="s">
        <v>711</v>
      </c>
      <c r="B242" s="10" t="s">
        <v>710</v>
      </c>
      <c r="C242" s="11" t="s">
        <v>355</v>
      </c>
      <c r="D242" s="11" t="s">
        <v>204</v>
      </c>
      <c r="E242" s="11" t="s">
        <v>300</v>
      </c>
      <c r="F242" s="11" t="s">
        <v>349</v>
      </c>
      <c r="G242" s="11" t="s">
        <v>313</v>
      </c>
      <c r="H242" s="11" t="s">
        <v>303</v>
      </c>
      <c r="I242" s="11"/>
      <c r="J242" s="20">
        <v>90</v>
      </c>
      <c r="K242" s="20">
        <v>70</v>
      </c>
      <c r="L242" s="11"/>
      <c r="M242" s="11"/>
      <c r="N242" s="11"/>
      <c r="O242" s="11"/>
      <c r="P242" s="11"/>
      <c r="Q242" s="10"/>
      <c r="R242" s="11" t="s">
        <v>842</v>
      </c>
      <c r="S242" s="11"/>
      <c r="T242" s="11"/>
      <c r="U242" s="11"/>
      <c r="V242" s="11" t="s">
        <v>305</v>
      </c>
      <c r="W242" s="11" t="s">
        <v>306</v>
      </c>
      <c r="X242" s="20">
        <v>0</v>
      </c>
      <c r="Y242" s="11" t="b">
        <v>0</v>
      </c>
      <c r="Z242" s="11" t="b">
        <v>0</v>
      </c>
      <c r="AA242" s="11"/>
      <c r="AB242" s="11" t="s">
        <v>218</v>
      </c>
      <c r="AC242" s="11" t="s">
        <v>357</v>
      </c>
      <c r="AD242" s="11" t="s">
        <v>357</v>
      </c>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c r="BC242" s="11"/>
      <c r="BD242" s="11"/>
      <c r="BE242" s="11"/>
      <c r="BF242" s="11"/>
      <c r="BG242" s="11"/>
      <c r="BH242" s="11"/>
      <c r="BI242" s="11"/>
      <c r="BJ242" s="11"/>
      <c r="BK242" s="11"/>
      <c r="BL242" s="11"/>
      <c r="BM242" s="11"/>
      <c r="BN242" s="11"/>
      <c r="BO242" s="11"/>
      <c r="BP242" s="11"/>
      <c r="BQ242" s="11"/>
      <c r="BR242" s="11"/>
      <c r="BS242" s="11"/>
      <c r="BT242" s="11"/>
      <c r="BU242" s="11"/>
      <c r="BV242" s="11"/>
      <c r="BW242" s="11"/>
      <c r="BX242" s="11"/>
      <c r="BY242" s="11"/>
      <c r="BZ242" s="11"/>
      <c r="CA242" s="11"/>
      <c r="CB242" s="11"/>
      <c r="CC242" s="11"/>
      <c r="CD242" s="11"/>
      <c r="CE242" s="11"/>
      <c r="CF242" s="11"/>
      <c r="CG242" s="11"/>
      <c r="CH242" s="11"/>
      <c r="CI242" s="11"/>
      <c r="CJ242" s="11"/>
      <c r="CK242" s="11"/>
      <c r="CL242" s="11"/>
      <c r="CM242" s="11"/>
      <c r="CN242" s="11"/>
      <c r="CO242" s="11"/>
      <c r="CP242" s="11"/>
      <c r="CQ242" s="11"/>
      <c r="CR242" s="11"/>
      <c r="CS242" s="11"/>
      <c r="CT242" s="11"/>
      <c r="CU242" s="11"/>
      <c r="CV242" s="11"/>
      <c r="CW242" s="11"/>
      <c r="CX242" s="11"/>
      <c r="CY242" s="11"/>
      <c r="CZ242" s="11"/>
      <c r="DA242" s="11"/>
      <c r="DB242" s="11"/>
      <c r="DC242" s="11"/>
      <c r="DD242" s="11"/>
    </row>
    <row r="243" spans="1:108" ht="24" x14ac:dyDescent="0.25">
      <c r="A243" s="6" t="s">
        <v>715</v>
      </c>
      <c r="B243" s="7" t="s">
        <v>714</v>
      </c>
      <c r="C243" s="8" t="s">
        <v>358</v>
      </c>
      <c r="D243" s="8" t="s">
        <v>299</v>
      </c>
      <c r="E243" s="8" t="s">
        <v>300</v>
      </c>
      <c r="F243" s="8" t="s">
        <v>349</v>
      </c>
      <c r="G243" s="8" t="s">
        <v>313</v>
      </c>
      <c r="H243" s="8" t="s">
        <v>303</v>
      </c>
      <c r="I243" s="8"/>
      <c r="J243" s="21">
        <v>90</v>
      </c>
      <c r="K243" s="21">
        <v>70</v>
      </c>
      <c r="L243" s="8"/>
      <c r="M243" s="8"/>
      <c r="N243" s="8"/>
      <c r="O243" s="8"/>
      <c r="P243" s="8"/>
      <c r="Q243" s="7"/>
      <c r="R243" s="8" t="s">
        <v>843</v>
      </c>
      <c r="S243" s="8"/>
      <c r="T243" s="8"/>
      <c r="U243" s="8"/>
      <c r="V243" s="8" t="s">
        <v>305</v>
      </c>
      <c r="W243" s="8" t="s">
        <v>306</v>
      </c>
      <c r="X243" s="21">
        <v>0</v>
      </c>
      <c r="Y243" s="8" t="b">
        <v>0</v>
      </c>
      <c r="Z243" s="8" t="b">
        <v>0</v>
      </c>
      <c r="AA243" s="8"/>
      <c r="AB243" s="8" t="s">
        <v>218</v>
      </c>
      <c r="AC243" s="8" t="s">
        <v>360</v>
      </c>
      <c r="AD243" s="8" t="s">
        <v>360</v>
      </c>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c r="BU243" s="8"/>
      <c r="BV243" s="8"/>
      <c r="BW243" s="8"/>
      <c r="BX243" s="8"/>
      <c r="BY243" s="8"/>
      <c r="BZ243" s="8"/>
      <c r="CA243" s="8"/>
      <c r="CB243" s="8"/>
      <c r="CC243" s="8"/>
      <c r="CD243" s="8"/>
      <c r="CE243" s="8"/>
      <c r="CF243" s="8"/>
      <c r="CG243" s="8"/>
      <c r="CH243" s="8"/>
      <c r="CI243" s="8"/>
      <c r="CJ243" s="8"/>
      <c r="CK243" s="8"/>
      <c r="CL243" s="8"/>
      <c r="CM243" s="8"/>
      <c r="CN243" s="8"/>
      <c r="CO243" s="8"/>
      <c r="CP243" s="8"/>
      <c r="CQ243" s="8"/>
      <c r="CR243" s="8"/>
      <c r="CS243" s="8"/>
      <c r="CT243" s="8"/>
      <c r="CU243" s="8"/>
      <c r="CV243" s="8"/>
      <c r="CW243" s="8"/>
      <c r="CX243" s="8"/>
      <c r="CY243" s="8"/>
      <c r="CZ243" s="8"/>
      <c r="DA243" s="8"/>
      <c r="DB243" s="8"/>
      <c r="DC243" s="8"/>
      <c r="DD243" s="8"/>
    </row>
    <row r="244" spans="1:108" ht="24" x14ac:dyDescent="0.25">
      <c r="A244" s="6" t="s">
        <v>715</v>
      </c>
      <c r="B244" s="10" t="s">
        <v>714</v>
      </c>
      <c r="C244" s="11" t="s">
        <v>358</v>
      </c>
      <c r="D244" s="11" t="s">
        <v>308</v>
      </c>
      <c r="E244" s="11" t="s">
        <v>300</v>
      </c>
      <c r="F244" s="11" t="s">
        <v>349</v>
      </c>
      <c r="G244" s="11" t="s">
        <v>313</v>
      </c>
      <c r="H244" s="11" t="s">
        <v>303</v>
      </c>
      <c r="I244" s="11"/>
      <c r="J244" s="20">
        <v>90</v>
      </c>
      <c r="K244" s="20">
        <v>70</v>
      </c>
      <c r="L244" s="11"/>
      <c r="M244" s="11"/>
      <c r="N244" s="11"/>
      <c r="O244" s="11"/>
      <c r="P244" s="11"/>
      <c r="Q244" s="10"/>
      <c r="R244" s="11" t="s">
        <v>843</v>
      </c>
      <c r="S244" s="11"/>
      <c r="T244" s="11"/>
      <c r="U244" s="11"/>
      <c r="V244" s="11" t="s">
        <v>305</v>
      </c>
      <c r="W244" s="11" t="s">
        <v>306</v>
      </c>
      <c r="X244" s="20">
        <v>0</v>
      </c>
      <c r="Y244" s="11" t="b">
        <v>0</v>
      </c>
      <c r="Z244" s="11" t="b">
        <v>0</v>
      </c>
      <c r="AA244" s="11"/>
      <c r="AB244" s="11" t="s">
        <v>218</v>
      </c>
      <c r="AC244" s="11" t="s">
        <v>360</v>
      </c>
      <c r="AD244" s="11" t="s">
        <v>360</v>
      </c>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c r="BC244" s="11"/>
      <c r="BD244" s="11"/>
      <c r="BE244" s="11"/>
      <c r="BF244" s="11"/>
      <c r="BG244" s="11"/>
      <c r="BH244" s="11"/>
      <c r="BI244" s="11"/>
      <c r="BJ244" s="11"/>
      <c r="BK244" s="11"/>
      <c r="BL244" s="11"/>
      <c r="BM244" s="11"/>
      <c r="BN244" s="11"/>
      <c r="BO244" s="11"/>
      <c r="BP244" s="11"/>
      <c r="BQ244" s="11"/>
      <c r="BR244" s="11"/>
      <c r="BS244" s="11"/>
      <c r="BT244" s="11"/>
      <c r="BU244" s="11"/>
      <c r="BV244" s="11"/>
      <c r="BW244" s="11"/>
      <c r="BX244" s="11"/>
      <c r="BY244" s="11"/>
      <c r="BZ244" s="11"/>
      <c r="CA244" s="11"/>
      <c r="CB244" s="11"/>
      <c r="CC244" s="11"/>
      <c r="CD244" s="11"/>
      <c r="CE244" s="11"/>
      <c r="CF244" s="11"/>
      <c r="CG244" s="11"/>
      <c r="CH244" s="11"/>
      <c r="CI244" s="11"/>
      <c r="CJ244" s="11"/>
      <c r="CK244" s="11"/>
      <c r="CL244" s="11"/>
      <c r="CM244" s="11"/>
      <c r="CN244" s="11"/>
      <c r="CO244" s="11"/>
      <c r="CP244" s="11"/>
      <c r="CQ244" s="11"/>
      <c r="CR244" s="11"/>
      <c r="CS244" s="11"/>
      <c r="CT244" s="11"/>
      <c r="CU244" s="11"/>
      <c r="CV244" s="11"/>
      <c r="CW244" s="11"/>
      <c r="CX244" s="11"/>
      <c r="CY244" s="11"/>
      <c r="CZ244" s="11"/>
      <c r="DA244" s="11"/>
      <c r="DB244" s="11"/>
      <c r="DC244" s="11"/>
      <c r="DD244" s="11"/>
    </row>
    <row r="245" spans="1:108" ht="24" x14ac:dyDescent="0.25">
      <c r="A245" s="6" t="s">
        <v>715</v>
      </c>
      <c r="B245" s="7" t="s">
        <v>714</v>
      </c>
      <c r="C245" s="8" t="s">
        <v>358</v>
      </c>
      <c r="D245" s="8" t="s">
        <v>204</v>
      </c>
      <c r="E245" s="8" t="s">
        <v>300</v>
      </c>
      <c r="F245" s="8" t="s">
        <v>349</v>
      </c>
      <c r="G245" s="8" t="s">
        <v>313</v>
      </c>
      <c r="H245" s="8" t="s">
        <v>303</v>
      </c>
      <c r="I245" s="8"/>
      <c r="J245" s="21">
        <v>90</v>
      </c>
      <c r="K245" s="21">
        <v>70</v>
      </c>
      <c r="L245" s="8"/>
      <c r="M245" s="8"/>
      <c r="N245" s="8"/>
      <c r="O245" s="8"/>
      <c r="P245" s="8"/>
      <c r="Q245" s="7"/>
      <c r="R245" s="8" t="s">
        <v>843</v>
      </c>
      <c r="S245" s="8"/>
      <c r="T245" s="8"/>
      <c r="U245" s="8"/>
      <c r="V245" s="8" t="s">
        <v>305</v>
      </c>
      <c r="W245" s="8" t="s">
        <v>306</v>
      </c>
      <c r="X245" s="21">
        <v>0</v>
      </c>
      <c r="Y245" s="8" t="b">
        <v>0</v>
      </c>
      <c r="Z245" s="8" t="b">
        <v>0</v>
      </c>
      <c r="AA245" s="8"/>
      <c r="AB245" s="8" t="s">
        <v>218</v>
      </c>
      <c r="AC245" s="8" t="s">
        <v>360</v>
      </c>
      <c r="AD245" s="8" t="s">
        <v>360</v>
      </c>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c r="BU245" s="8"/>
      <c r="BV245" s="8"/>
      <c r="BW245" s="8"/>
      <c r="BX245" s="8"/>
      <c r="BY245" s="8"/>
      <c r="BZ245" s="8"/>
      <c r="CA245" s="8"/>
      <c r="CB245" s="8"/>
      <c r="CC245" s="8"/>
      <c r="CD245" s="8"/>
      <c r="CE245" s="8"/>
      <c r="CF245" s="8"/>
      <c r="CG245" s="8"/>
      <c r="CH245" s="8"/>
      <c r="CI245" s="8"/>
      <c r="CJ245" s="8"/>
      <c r="CK245" s="8"/>
      <c r="CL245" s="8"/>
      <c r="CM245" s="8"/>
      <c r="CN245" s="8"/>
      <c r="CO245" s="8"/>
      <c r="CP245" s="8"/>
      <c r="CQ245" s="8"/>
      <c r="CR245" s="8"/>
      <c r="CS245" s="8"/>
      <c r="CT245" s="8"/>
      <c r="CU245" s="8"/>
      <c r="CV245" s="8"/>
      <c r="CW245" s="8"/>
      <c r="CX245" s="8"/>
      <c r="CY245" s="8"/>
      <c r="CZ245" s="8"/>
      <c r="DA245" s="8"/>
      <c r="DB245" s="8"/>
      <c r="DC245" s="8"/>
      <c r="DD245" s="8"/>
    </row>
    <row r="246" spans="1:108" ht="24" x14ac:dyDescent="0.25">
      <c r="A246" s="6" t="s">
        <v>715</v>
      </c>
      <c r="B246" s="10" t="s">
        <v>714</v>
      </c>
      <c r="C246" s="11" t="s">
        <v>361</v>
      </c>
      <c r="D246" s="11" t="s">
        <v>299</v>
      </c>
      <c r="E246" s="11" t="s">
        <v>300</v>
      </c>
      <c r="F246" s="11" t="s">
        <v>349</v>
      </c>
      <c r="G246" s="11" t="s">
        <v>313</v>
      </c>
      <c r="H246" s="11" t="s">
        <v>303</v>
      </c>
      <c r="I246" s="11"/>
      <c r="J246" s="20">
        <v>90</v>
      </c>
      <c r="K246" s="20">
        <v>70</v>
      </c>
      <c r="L246" s="11"/>
      <c r="M246" s="11"/>
      <c r="N246" s="11"/>
      <c r="O246" s="11"/>
      <c r="P246" s="11"/>
      <c r="Q246" s="10"/>
      <c r="R246" s="11" t="s">
        <v>844</v>
      </c>
      <c r="S246" s="11"/>
      <c r="T246" s="11"/>
      <c r="U246" s="11"/>
      <c r="V246" s="11" t="s">
        <v>305</v>
      </c>
      <c r="W246" s="11" t="s">
        <v>306</v>
      </c>
      <c r="X246" s="20">
        <v>0</v>
      </c>
      <c r="Y246" s="11" t="b">
        <v>0</v>
      </c>
      <c r="Z246" s="11" t="b">
        <v>0</v>
      </c>
      <c r="AA246" s="11"/>
      <c r="AB246" s="11" t="s">
        <v>218</v>
      </c>
      <c r="AC246" s="11" t="s">
        <v>363</v>
      </c>
      <c r="AD246" s="11" t="s">
        <v>363</v>
      </c>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c r="BC246" s="11"/>
      <c r="BD246" s="11"/>
      <c r="BE246" s="11"/>
      <c r="BF246" s="11"/>
      <c r="BG246" s="11"/>
      <c r="BH246" s="11"/>
      <c r="BI246" s="11"/>
      <c r="BJ246" s="11"/>
      <c r="BK246" s="11"/>
      <c r="BL246" s="11"/>
      <c r="BM246" s="11"/>
      <c r="BN246" s="11"/>
      <c r="BO246" s="11"/>
      <c r="BP246" s="11"/>
      <c r="BQ246" s="11"/>
      <c r="BR246" s="11"/>
      <c r="BS246" s="11"/>
      <c r="BT246" s="11"/>
      <c r="BU246" s="11"/>
      <c r="BV246" s="11"/>
      <c r="BW246" s="11"/>
      <c r="BX246" s="11"/>
      <c r="BY246" s="11"/>
      <c r="BZ246" s="11"/>
      <c r="CA246" s="11"/>
      <c r="CB246" s="11"/>
      <c r="CC246" s="11"/>
      <c r="CD246" s="11"/>
      <c r="CE246" s="11"/>
      <c r="CF246" s="11"/>
      <c r="CG246" s="11"/>
      <c r="CH246" s="11"/>
      <c r="CI246" s="11"/>
      <c r="CJ246" s="11"/>
      <c r="CK246" s="11"/>
      <c r="CL246" s="11"/>
      <c r="CM246" s="11"/>
      <c r="CN246" s="11"/>
      <c r="CO246" s="11"/>
      <c r="CP246" s="11"/>
      <c r="CQ246" s="11"/>
      <c r="CR246" s="11"/>
      <c r="CS246" s="11"/>
      <c r="CT246" s="11"/>
      <c r="CU246" s="11"/>
      <c r="CV246" s="11"/>
      <c r="CW246" s="11"/>
      <c r="CX246" s="11"/>
      <c r="CY246" s="11"/>
      <c r="CZ246" s="11"/>
      <c r="DA246" s="11"/>
      <c r="DB246" s="11"/>
      <c r="DC246" s="11"/>
      <c r="DD246" s="11"/>
    </row>
    <row r="247" spans="1:108" ht="24" x14ac:dyDescent="0.25">
      <c r="A247" s="6" t="s">
        <v>715</v>
      </c>
      <c r="B247" s="7" t="s">
        <v>714</v>
      </c>
      <c r="C247" s="8" t="s">
        <v>361</v>
      </c>
      <c r="D247" s="8" t="s">
        <v>308</v>
      </c>
      <c r="E247" s="8" t="s">
        <v>300</v>
      </c>
      <c r="F247" s="8" t="s">
        <v>349</v>
      </c>
      <c r="G247" s="8" t="s">
        <v>313</v>
      </c>
      <c r="H247" s="8" t="s">
        <v>303</v>
      </c>
      <c r="I247" s="8"/>
      <c r="J247" s="21">
        <v>90</v>
      </c>
      <c r="K247" s="21">
        <v>70</v>
      </c>
      <c r="L247" s="8"/>
      <c r="M247" s="8"/>
      <c r="N247" s="8"/>
      <c r="O247" s="8"/>
      <c r="P247" s="8"/>
      <c r="Q247" s="7"/>
      <c r="R247" s="8" t="s">
        <v>844</v>
      </c>
      <c r="S247" s="8"/>
      <c r="T247" s="8"/>
      <c r="U247" s="8"/>
      <c r="V247" s="8" t="s">
        <v>305</v>
      </c>
      <c r="W247" s="8" t="s">
        <v>306</v>
      </c>
      <c r="X247" s="21">
        <v>0</v>
      </c>
      <c r="Y247" s="8" t="b">
        <v>0</v>
      </c>
      <c r="Z247" s="8" t="b">
        <v>0</v>
      </c>
      <c r="AA247" s="8"/>
      <c r="AB247" s="8" t="s">
        <v>218</v>
      </c>
      <c r="AC247" s="8" t="s">
        <v>363</v>
      </c>
      <c r="AD247" s="8" t="s">
        <v>363</v>
      </c>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c r="BU247" s="8"/>
      <c r="BV247" s="8"/>
      <c r="BW247" s="8"/>
      <c r="BX247" s="8"/>
      <c r="BY247" s="8"/>
      <c r="BZ247" s="8"/>
      <c r="CA247" s="8"/>
      <c r="CB247" s="8"/>
      <c r="CC247" s="8"/>
      <c r="CD247" s="8"/>
      <c r="CE247" s="8"/>
      <c r="CF247" s="8"/>
      <c r="CG247" s="8"/>
      <c r="CH247" s="8"/>
      <c r="CI247" s="8"/>
      <c r="CJ247" s="8"/>
      <c r="CK247" s="8"/>
      <c r="CL247" s="8"/>
      <c r="CM247" s="8"/>
      <c r="CN247" s="8"/>
      <c r="CO247" s="8"/>
      <c r="CP247" s="8"/>
      <c r="CQ247" s="8"/>
      <c r="CR247" s="8"/>
      <c r="CS247" s="8"/>
      <c r="CT247" s="8"/>
      <c r="CU247" s="8"/>
      <c r="CV247" s="8"/>
      <c r="CW247" s="8"/>
      <c r="CX247" s="8"/>
      <c r="CY247" s="8"/>
      <c r="CZ247" s="8"/>
      <c r="DA247" s="8"/>
      <c r="DB247" s="8"/>
      <c r="DC247" s="8"/>
      <c r="DD247" s="8"/>
    </row>
    <row r="248" spans="1:108" ht="24" x14ac:dyDescent="0.25">
      <c r="A248" s="6" t="s">
        <v>715</v>
      </c>
      <c r="B248" s="10" t="s">
        <v>714</v>
      </c>
      <c r="C248" s="11" t="s">
        <v>361</v>
      </c>
      <c r="D248" s="11" t="s">
        <v>204</v>
      </c>
      <c r="E248" s="11" t="s">
        <v>300</v>
      </c>
      <c r="F248" s="11" t="s">
        <v>349</v>
      </c>
      <c r="G248" s="11" t="s">
        <v>313</v>
      </c>
      <c r="H248" s="11" t="s">
        <v>303</v>
      </c>
      <c r="I248" s="11"/>
      <c r="J248" s="20">
        <v>90</v>
      </c>
      <c r="K248" s="20">
        <v>70</v>
      </c>
      <c r="L248" s="11"/>
      <c r="M248" s="11"/>
      <c r="N248" s="11"/>
      <c r="O248" s="11"/>
      <c r="P248" s="11"/>
      <c r="Q248" s="10"/>
      <c r="R248" s="11" t="s">
        <v>844</v>
      </c>
      <c r="S248" s="11"/>
      <c r="T248" s="11"/>
      <c r="U248" s="11"/>
      <c r="V248" s="11" t="s">
        <v>305</v>
      </c>
      <c r="W248" s="11" t="s">
        <v>306</v>
      </c>
      <c r="X248" s="20">
        <v>0</v>
      </c>
      <c r="Y248" s="11" t="b">
        <v>0</v>
      </c>
      <c r="Z248" s="11" t="b">
        <v>0</v>
      </c>
      <c r="AA248" s="11"/>
      <c r="AB248" s="11" t="s">
        <v>218</v>
      </c>
      <c r="AC248" s="11" t="s">
        <v>363</v>
      </c>
      <c r="AD248" s="11" t="s">
        <v>363</v>
      </c>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c r="BC248" s="11"/>
      <c r="BD248" s="11"/>
      <c r="BE248" s="11"/>
      <c r="BF248" s="11"/>
      <c r="BG248" s="11"/>
      <c r="BH248" s="11"/>
      <c r="BI248" s="11"/>
      <c r="BJ248" s="11"/>
      <c r="BK248" s="11"/>
      <c r="BL248" s="11"/>
      <c r="BM248" s="11"/>
      <c r="BN248" s="11"/>
      <c r="BO248" s="11"/>
      <c r="BP248" s="11"/>
      <c r="BQ248" s="11"/>
      <c r="BR248" s="11"/>
      <c r="BS248" s="11"/>
      <c r="BT248" s="11"/>
      <c r="BU248" s="11"/>
      <c r="BV248" s="11"/>
      <c r="BW248" s="11"/>
      <c r="BX248" s="11"/>
      <c r="BY248" s="11"/>
      <c r="BZ248" s="11"/>
      <c r="CA248" s="11"/>
      <c r="CB248" s="11"/>
      <c r="CC248" s="11"/>
      <c r="CD248" s="11"/>
      <c r="CE248" s="11"/>
      <c r="CF248" s="11"/>
      <c r="CG248" s="11"/>
      <c r="CH248" s="11"/>
      <c r="CI248" s="11"/>
      <c r="CJ248" s="11"/>
      <c r="CK248" s="11"/>
      <c r="CL248" s="11"/>
      <c r="CM248" s="11"/>
      <c r="CN248" s="11"/>
      <c r="CO248" s="11"/>
      <c r="CP248" s="11"/>
      <c r="CQ248" s="11"/>
      <c r="CR248" s="11"/>
      <c r="CS248" s="11"/>
      <c r="CT248" s="11"/>
      <c r="CU248" s="11"/>
      <c r="CV248" s="11"/>
      <c r="CW248" s="11"/>
      <c r="CX248" s="11"/>
      <c r="CY248" s="11"/>
      <c r="CZ248" s="11"/>
      <c r="DA248" s="11"/>
      <c r="DB248" s="11"/>
      <c r="DC248" s="11"/>
      <c r="DD248" s="11"/>
    </row>
    <row r="249" spans="1:108" ht="24" x14ac:dyDescent="0.25">
      <c r="A249" s="6" t="s">
        <v>715</v>
      </c>
      <c r="B249" s="7" t="s">
        <v>714</v>
      </c>
      <c r="C249" s="8" t="s">
        <v>364</v>
      </c>
      <c r="D249" s="8" t="s">
        <v>299</v>
      </c>
      <c r="E249" s="8" t="s">
        <v>300</v>
      </c>
      <c r="F249" s="8" t="s">
        <v>349</v>
      </c>
      <c r="G249" s="8" t="s">
        <v>313</v>
      </c>
      <c r="H249" s="8" t="s">
        <v>333</v>
      </c>
      <c r="I249" s="8"/>
      <c r="J249" s="21">
        <v>90</v>
      </c>
      <c r="K249" s="21">
        <v>70</v>
      </c>
      <c r="L249" s="8"/>
      <c r="M249" s="8"/>
      <c r="N249" s="8"/>
      <c r="O249" s="8"/>
      <c r="P249" s="8"/>
      <c r="Q249" s="7"/>
      <c r="R249" s="8" t="s">
        <v>845</v>
      </c>
      <c r="S249" s="8"/>
      <c r="T249" s="8"/>
      <c r="U249" s="8"/>
      <c r="V249" s="8" t="s">
        <v>305</v>
      </c>
      <c r="W249" s="8" t="s">
        <v>306</v>
      </c>
      <c r="X249" s="21">
        <v>0</v>
      </c>
      <c r="Y249" s="8" t="b">
        <v>0</v>
      </c>
      <c r="Z249" s="8" t="b">
        <v>0</v>
      </c>
      <c r="AA249" s="8"/>
      <c r="AB249" s="8" t="s">
        <v>218</v>
      </c>
      <c r="AC249" s="8" t="s">
        <v>366</v>
      </c>
      <c r="AD249" s="8" t="s">
        <v>366</v>
      </c>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c r="BU249" s="8"/>
      <c r="BV249" s="8"/>
      <c r="BW249" s="8"/>
      <c r="BX249" s="8"/>
      <c r="BY249" s="8"/>
      <c r="BZ249" s="8"/>
      <c r="CA249" s="8"/>
      <c r="CB249" s="8"/>
      <c r="CC249" s="8"/>
      <c r="CD249" s="8"/>
      <c r="CE249" s="8"/>
      <c r="CF249" s="8"/>
      <c r="CG249" s="8"/>
      <c r="CH249" s="8"/>
      <c r="CI249" s="8"/>
      <c r="CJ249" s="8"/>
      <c r="CK249" s="8"/>
      <c r="CL249" s="8"/>
      <c r="CM249" s="8"/>
      <c r="CN249" s="8"/>
      <c r="CO249" s="8"/>
      <c r="CP249" s="8"/>
      <c r="CQ249" s="8"/>
      <c r="CR249" s="8"/>
      <c r="CS249" s="8"/>
      <c r="CT249" s="8"/>
      <c r="CU249" s="8"/>
      <c r="CV249" s="8"/>
      <c r="CW249" s="8"/>
      <c r="CX249" s="8"/>
      <c r="CY249" s="8"/>
      <c r="CZ249" s="8"/>
      <c r="DA249" s="8"/>
      <c r="DB249" s="8"/>
      <c r="DC249" s="8"/>
      <c r="DD249" s="8"/>
    </row>
    <row r="250" spans="1:108" ht="24" x14ac:dyDescent="0.25">
      <c r="A250" s="6" t="s">
        <v>715</v>
      </c>
      <c r="B250" s="10" t="s">
        <v>714</v>
      </c>
      <c r="C250" s="11" t="s">
        <v>364</v>
      </c>
      <c r="D250" s="11" t="s">
        <v>308</v>
      </c>
      <c r="E250" s="11" t="s">
        <v>300</v>
      </c>
      <c r="F250" s="11" t="s">
        <v>349</v>
      </c>
      <c r="G250" s="11" t="s">
        <v>313</v>
      </c>
      <c r="H250" s="11" t="s">
        <v>333</v>
      </c>
      <c r="I250" s="11"/>
      <c r="J250" s="20">
        <v>90</v>
      </c>
      <c r="K250" s="20">
        <v>70</v>
      </c>
      <c r="L250" s="11"/>
      <c r="M250" s="11"/>
      <c r="N250" s="11"/>
      <c r="O250" s="11"/>
      <c r="P250" s="11"/>
      <c r="Q250" s="10"/>
      <c r="R250" s="11" t="s">
        <v>845</v>
      </c>
      <c r="S250" s="11"/>
      <c r="T250" s="11"/>
      <c r="U250" s="11"/>
      <c r="V250" s="11" t="s">
        <v>305</v>
      </c>
      <c r="W250" s="11" t="s">
        <v>306</v>
      </c>
      <c r="X250" s="20">
        <v>0</v>
      </c>
      <c r="Y250" s="11" t="b">
        <v>0</v>
      </c>
      <c r="Z250" s="11" t="b">
        <v>0</v>
      </c>
      <c r="AA250" s="11"/>
      <c r="AB250" s="11" t="s">
        <v>218</v>
      </c>
      <c r="AC250" s="11" t="s">
        <v>366</v>
      </c>
      <c r="AD250" s="11" t="s">
        <v>366</v>
      </c>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c r="BC250" s="11"/>
      <c r="BD250" s="11"/>
      <c r="BE250" s="11"/>
      <c r="BF250" s="11"/>
      <c r="BG250" s="11"/>
      <c r="BH250" s="11"/>
      <c r="BI250" s="11"/>
      <c r="BJ250" s="11"/>
      <c r="BK250" s="11"/>
      <c r="BL250" s="11"/>
      <c r="BM250" s="11"/>
      <c r="BN250" s="11"/>
      <c r="BO250" s="11"/>
      <c r="BP250" s="11"/>
      <c r="BQ250" s="11"/>
      <c r="BR250" s="11"/>
      <c r="BS250" s="11"/>
      <c r="BT250" s="11"/>
      <c r="BU250" s="11"/>
      <c r="BV250" s="11"/>
      <c r="BW250" s="11"/>
      <c r="BX250" s="11"/>
      <c r="BY250" s="11"/>
      <c r="BZ250" s="11"/>
      <c r="CA250" s="11"/>
      <c r="CB250" s="11"/>
      <c r="CC250" s="11"/>
      <c r="CD250" s="11"/>
      <c r="CE250" s="11"/>
      <c r="CF250" s="11"/>
      <c r="CG250" s="11"/>
      <c r="CH250" s="11"/>
      <c r="CI250" s="11"/>
      <c r="CJ250" s="11"/>
      <c r="CK250" s="11"/>
      <c r="CL250" s="11"/>
      <c r="CM250" s="11"/>
      <c r="CN250" s="11"/>
      <c r="CO250" s="11"/>
      <c r="CP250" s="11"/>
      <c r="CQ250" s="11"/>
      <c r="CR250" s="11"/>
      <c r="CS250" s="11"/>
      <c r="CT250" s="11"/>
      <c r="CU250" s="11"/>
      <c r="CV250" s="11"/>
      <c r="CW250" s="11"/>
      <c r="CX250" s="11"/>
      <c r="CY250" s="11"/>
      <c r="CZ250" s="11"/>
      <c r="DA250" s="11"/>
      <c r="DB250" s="11"/>
      <c r="DC250" s="11"/>
      <c r="DD250" s="11"/>
    </row>
    <row r="251" spans="1:108" ht="24" x14ac:dyDescent="0.25">
      <c r="A251" s="6" t="s">
        <v>715</v>
      </c>
      <c r="B251" s="7" t="s">
        <v>714</v>
      </c>
      <c r="C251" s="8" t="s">
        <v>364</v>
      </c>
      <c r="D251" s="8" t="s">
        <v>204</v>
      </c>
      <c r="E251" s="8" t="s">
        <v>300</v>
      </c>
      <c r="F251" s="8" t="s">
        <v>349</v>
      </c>
      <c r="G251" s="8" t="s">
        <v>313</v>
      </c>
      <c r="H251" s="8" t="s">
        <v>333</v>
      </c>
      <c r="I251" s="8"/>
      <c r="J251" s="21">
        <v>90</v>
      </c>
      <c r="K251" s="21">
        <v>70</v>
      </c>
      <c r="L251" s="8"/>
      <c r="M251" s="8"/>
      <c r="N251" s="8"/>
      <c r="O251" s="8"/>
      <c r="P251" s="8"/>
      <c r="Q251" s="7"/>
      <c r="R251" s="8" t="s">
        <v>845</v>
      </c>
      <c r="S251" s="8"/>
      <c r="T251" s="8"/>
      <c r="U251" s="8"/>
      <c r="V251" s="8" t="s">
        <v>305</v>
      </c>
      <c r="W251" s="8" t="s">
        <v>306</v>
      </c>
      <c r="X251" s="21">
        <v>0</v>
      </c>
      <c r="Y251" s="8" t="b">
        <v>0</v>
      </c>
      <c r="Z251" s="8" t="b">
        <v>0</v>
      </c>
      <c r="AA251" s="8"/>
      <c r="AB251" s="8" t="s">
        <v>218</v>
      </c>
      <c r="AC251" s="8" t="s">
        <v>366</v>
      </c>
      <c r="AD251" s="8" t="s">
        <v>366</v>
      </c>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c r="BU251" s="8"/>
      <c r="BV251" s="8"/>
      <c r="BW251" s="8"/>
      <c r="BX251" s="8"/>
      <c r="BY251" s="8"/>
      <c r="BZ251" s="8"/>
      <c r="CA251" s="8"/>
      <c r="CB251" s="8"/>
      <c r="CC251" s="8"/>
      <c r="CD251" s="8"/>
      <c r="CE251" s="8"/>
      <c r="CF251" s="8"/>
      <c r="CG251" s="8"/>
      <c r="CH251" s="8"/>
      <c r="CI251" s="8"/>
      <c r="CJ251" s="8"/>
      <c r="CK251" s="8"/>
      <c r="CL251" s="8"/>
      <c r="CM251" s="8"/>
      <c r="CN251" s="8"/>
      <c r="CO251" s="8"/>
      <c r="CP251" s="8"/>
      <c r="CQ251" s="8"/>
      <c r="CR251" s="8"/>
      <c r="CS251" s="8"/>
      <c r="CT251" s="8"/>
      <c r="CU251" s="8"/>
      <c r="CV251" s="8"/>
      <c r="CW251" s="8"/>
      <c r="CX251" s="8"/>
      <c r="CY251" s="8"/>
      <c r="CZ251" s="8"/>
      <c r="DA251" s="8"/>
      <c r="DB251" s="8"/>
      <c r="DC251" s="8"/>
      <c r="DD251" s="8"/>
    </row>
  </sheetData>
  <autoFilter ref="A2:DD71" xr:uid="{00000000-0009-0000-0000-000005000000}"/>
  <mergeCells count="1">
    <mergeCell ref="A1:AN1"/>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294"/>
  <sheetViews>
    <sheetView showGridLines="0" zoomScaleNormal="100" workbookViewId="0">
      <pane xSplit="2" ySplit="2" topLeftCell="C3" activePane="bottomRight" state="frozen"/>
      <selection pane="topRight" activeCell="C1" sqref="C1"/>
      <selection pane="bottomLeft" activeCell="A3" sqref="A3"/>
      <selection pane="bottomRight" sqref="A1:V1"/>
    </sheetView>
  </sheetViews>
  <sheetFormatPr defaultColWidth="8.7109375" defaultRowHeight="15" x14ac:dyDescent="0.25"/>
  <cols>
    <col min="1" max="1" width="10" customWidth="1"/>
    <col min="2" max="2" width="30" customWidth="1"/>
    <col min="3" max="14" width="16" customWidth="1"/>
    <col min="15" max="15" width="40" customWidth="1"/>
    <col min="16" max="22" width="16" customWidth="1"/>
  </cols>
  <sheetData>
    <row r="1" spans="1:22" ht="21.75" customHeight="1" x14ac:dyDescent="0.25">
      <c r="A1" s="1" t="s">
        <v>376</v>
      </c>
      <c r="B1" s="1"/>
      <c r="C1" s="1"/>
      <c r="D1" s="1"/>
      <c r="E1" s="1"/>
      <c r="F1" s="1"/>
      <c r="G1" s="1"/>
      <c r="H1" s="1"/>
      <c r="I1" s="1"/>
      <c r="J1" s="1"/>
      <c r="K1" s="1"/>
      <c r="L1" s="1"/>
      <c r="M1" s="1"/>
      <c r="N1" s="1"/>
      <c r="O1" s="1"/>
      <c r="P1" s="1"/>
      <c r="Q1" s="1"/>
      <c r="R1" s="1"/>
      <c r="S1" s="1"/>
      <c r="T1" s="1"/>
      <c r="U1" s="1"/>
      <c r="V1" s="1"/>
    </row>
    <row r="2" spans="1:22" ht="23.25" customHeight="1" x14ac:dyDescent="0.25">
      <c r="A2" s="5" t="s">
        <v>1</v>
      </c>
      <c r="B2" s="5" t="s">
        <v>2</v>
      </c>
      <c r="C2" s="5" t="s">
        <v>54</v>
      </c>
      <c r="D2" s="5" t="s">
        <v>5</v>
      </c>
      <c r="E2" s="5" t="s">
        <v>9</v>
      </c>
      <c r="F2" s="5" t="s">
        <v>10</v>
      </c>
      <c r="G2" s="5" t="s">
        <v>11</v>
      </c>
      <c r="H2" s="5" t="s">
        <v>377</v>
      </c>
      <c r="I2" s="5" t="s">
        <v>378</v>
      </c>
      <c r="J2" s="5" t="s">
        <v>379</v>
      </c>
      <c r="K2" s="5" t="s">
        <v>380</v>
      </c>
      <c r="L2" s="5" t="s">
        <v>381</v>
      </c>
      <c r="M2" s="5" t="s">
        <v>382</v>
      </c>
      <c r="N2" s="5" t="s">
        <v>383</v>
      </c>
      <c r="O2" s="5" t="s">
        <v>65</v>
      </c>
      <c r="P2" s="5" t="s">
        <v>115</v>
      </c>
      <c r="Q2" s="5" t="s">
        <v>384</v>
      </c>
      <c r="R2" s="5" t="s">
        <v>117</v>
      </c>
      <c r="S2" s="5" t="s">
        <v>296</v>
      </c>
      <c r="T2" s="5" t="s">
        <v>297</v>
      </c>
      <c r="U2" s="5" t="s">
        <v>385</v>
      </c>
      <c r="V2" s="5" t="s">
        <v>119</v>
      </c>
    </row>
    <row r="3" spans="1:22" ht="21.75" customHeight="1" x14ac:dyDescent="0.25">
      <c r="A3" s="6" t="s">
        <v>19</v>
      </c>
      <c r="B3" s="10" t="s">
        <v>20</v>
      </c>
      <c r="C3" s="11" t="s">
        <v>386</v>
      </c>
      <c r="D3" s="11" t="s">
        <v>387</v>
      </c>
      <c r="E3" s="11" t="s">
        <v>388</v>
      </c>
      <c r="F3" s="11" t="s">
        <v>389</v>
      </c>
      <c r="G3" s="23">
        <v>46104</v>
      </c>
      <c r="H3" s="23">
        <v>46115</v>
      </c>
      <c r="I3" s="11"/>
      <c r="J3" s="11"/>
      <c r="K3" s="11" t="s">
        <v>390</v>
      </c>
      <c r="L3" s="11"/>
      <c r="M3" s="11"/>
      <c r="N3" s="11"/>
      <c r="O3" s="10"/>
      <c r="P3" s="11" t="s">
        <v>391</v>
      </c>
      <c r="Q3" s="11"/>
      <c r="R3" s="20">
        <v>0</v>
      </c>
      <c r="S3" s="11" t="b">
        <v>0</v>
      </c>
      <c r="T3" s="11"/>
      <c r="U3" s="11" t="s">
        <v>392</v>
      </c>
      <c r="V3" s="11" t="s">
        <v>218</v>
      </c>
    </row>
    <row r="4" spans="1:22" ht="21.75" customHeight="1" x14ac:dyDescent="0.25">
      <c r="A4" s="6" t="s">
        <v>19</v>
      </c>
      <c r="B4" s="7" t="s">
        <v>20</v>
      </c>
      <c r="C4" s="8" t="s">
        <v>393</v>
      </c>
      <c r="D4" s="8" t="s">
        <v>394</v>
      </c>
      <c r="E4" s="8" t="s">
        <v>388</v>
      </c>
      <c r="F4" s="8" t="s">
        <v>395</v>
      </c>
      <c r="G4" s="22">
        <v>46125</v>
      </c>
      <c r="H4" s="22">
        <v>46129</v>
      </c>
      <c r="I4" s="22">
        <v>46125</v>
      </c>
      <c r="J4" s="22">
        <v>46129</v>
      </c>
      <c r="K4" s="8" t="s">
        <v>390</v>
      </c>
      <c r="L4" s="8"/>
      <c r="M4" s="8"/>
      <c r="N4" s="8"/>
      <c r="O4" s="7"/>
      <c r="P4" s="8" t="s">
        <v>396</v>
      </c>
      <c r="Q4" s="8"/>
      <c r="R4" s="21">
        <v>2</v>
      </c>
      <c r="S4" s="8" t="b">
        <v>0</v>
      </c>
      <c r="T4" s="8"/>
      <c r="U4" s="8" t="s">
        <v>392</v>
      </c>
      <c r="V4" s="8" t="s">
        <v>218</v>
      </c>
    </row>
    <row r="5" spans="1:22" ht="21.75" customHeight="1" x14ac:dyDescent="0.25">
      <c r="A5" s="6" t="s">
        <v>19</v>
      </c>
      <c r="B5" s="10" t="s">
        <v>20</v>
      </c>
      <c r="C5" s="11" t="s">
        <v>397</v>
      </c>
      <c r="D5" s="11" t="s">
        <v>394</v>
      </c>
      <c r="E5" s="11" t="s">
        <v>388</v>
      </c>
      <c r="F5" s="11" t="s">
        <v>395</v>
      </c>
      <c r="G5" s="23">
        <v>46132</v>
      </c>
      <c r="H5" s="23">
        <v>46136</v>
      </c>
      <c r="I5" s="23">
        <v>46132</v>
      </c>
      <c r="J5" s="23">
        <v>46136</v>
      </c>
      <c r="K5" s="11" t="s">
        <v>390</v>
      </c>
      <c r="L5" s="11"/>
      <c r="M5" s="11"/>
      <c r="N5" s="11"/>
      <c r="O5" s="10"/>
      <c r="P5" s="11" t="s">
        <v>398</v>
      </c>
      <c r="Q5" s="11"/>
      <c r="R5" s="20">
        <v>1</v>
      </c>
      <c r="S5" s="11" t="b">
        <v>0</v>
      </c>
      <c r="T5" s="11"/>
      <c r="U5" s="11" t="s">
        <v>392</v>
      </c>
      <c r="V5" s="11" t="s">
        <v>218</v>
      </c>
    </row>
    <row r="6" spans="1:22" ht="21.75" customHeight="1" x14ac:dyDescent="0.25">
      <c r="A6" s="6" t="s">
        <v>19</v>
      </c>
      <c r="B6" s="7" t="s">
        <v>20</v>
      </c>
      <c r="C6" s="8" t="s">
        <v>399</v>
      </c>
      <c r="D6" s="8" t="s">
        <v>394</v>
      </c>
      <c r="E6" s="8" t="s">
        <v>388</v>
      </c>
      <c r="F6" s="8" t="s">
        <v>28</v>
      </c>
      <c r="G6" s="22">
        <v>46139</v>
      </c>
      <c r="H6" s="22">
        <v>46142</v>
      </c>
      <c r="I6" s="22">
        <v>46139</v>
      </c>
      <c r="J6" s="8"/>
      <c r="K6" s="8" t="s">
        <v>390</v>
      </c>
      <c r="L6" s="8"/>
      <c r="M6" s="8"/>
      <c r="N6" s="8"/>
      <c r="O6" s="7"/>
      <c r="P6" s="8" t="s">
        <v>401</v>
      </c>
      <c r="Q6" s="8"/>
      <c r="R6" s="21">
        <v>3</v>
      </c>
      <c r="S6" s="8" t="b">
        <v>0</v>
      </c>
      <c r="T6" s="8"/>
      <c r="U6" s="8" t="s">
        <v>392</v>
      </c>
      <c r="V6" s="8" t="s">
        <v>218</v>
      </c>
    </row>
    <row r="7" spans="1:22" ht="21.75" customHeight="1" x14ac:dyDescent="0.25">
      <c r="A7" s="6" t="s">
        <v>19</v>
      </c>
      <c r="B7" s="10" t="s">
        <v>20</v>
      </c>
      <c r="C7" s="11" t="s">
        <v>402</v>
      </c>
      <c r="D7" s="11" t="s">
        <v>387</v>
      </c>
      <c r="E7" s="11" t="s">
        <v>388</v>
      </c>
      <c r="F7" s="11" t="s">
        <v>27</v>
      </c>
      <c r="G7" s="23">
        <v>46118</v>
      </c>
      <c r="H7" s="23">
        <v>46173</v>
      </c>
      <c r="I7" s="11"/>
      <c r="J7" s="11"/>
      <c r="K7" s="11" t="s">
        <v>403</v>
      </c>
      <c r="L7" s="11"/>
      <c r="M7" s="11"/>
      <c r="N7" s="11"/>
      <c r="O7" s="10"/>
      <c r="P7" s="11" t="s">
        <v>404</v>
      </c>
      <c r="Q7" s="11"/>
      <c r="R7" s="20">
        <v>4</v>
      </c>
      <c r="S7" s="11" t="b">
        <v>0</v>
      </c>
      <c r="T7" s="11"/>
      <c r="U7" s="11" t="s">
        <v>392</v>
      </c>
      <c r="V7" s="11" t="s">
        <v>218</v>
      </c>
    </row>
    <row r="8" spans="1:22" ht="21.75" customHeight="1" x14ac:dyDescent="0.25">
      <c r="A8" s="6" t="s">
        <v>19</v>
      </c>
      <c r="B8" s="7" t="s">
        <v>20</v>
      </c>
      <c r="C8" s="8" t="s">
        <v>405</v>
      </c>
      <c r="D8" s="8" t="s">
        <v>387</v>
      </c>
      <c r="E8" s="8" t="s">
        <v>388</v>
      </c>
      <c r="F8" s="8" t="s">
        <v>27</v>
      </c>
      <c r="G8" s="22">
        <v>46143</v>
      </c>
      <c r="H8" s="22">
        <v>46173</v>
      </c>
      <c r="I8" s="8"/>
      <c r="J8" s="8"/>
      <c r="K8" s="8" t="s">
        <v>406</v>
      </c>
      <c r="L8" s="8"/>
      <c r="M8" s="8"/>
      <c r="N8" s="8"/>
      <c r="O8" s="7"/>
      <c r="P8" s="8" t="s">
        <v>407</v>
      </c>
      <c r="Q8" s="8"/>
      <c r="R8" s="21">
        <v>7</v>
      </c>
      <c r="S8" s="8" t="b">
        <v>0</v>
      </c>
      <c r="T8" s="8"/>
      <c r="U8" s="8" t="s">
        <v>392</v>
      </c>
      <c r="V8" s="8" t="s">
        <v>218</v>
      </c>
    </row>
    <row r="9" spans="1:22" ht="21.75" customHeight="1" x14ac:dyDescent="0.25">
      <c r="A9" s="6" t="s">
        <v>19</v>
      </c>
      <c r="B9" s="10" t="s">
        <v>20</v>
      </c>
      <c r="C9" s="11" t="s">
        <v>408</v>
      </c>
      <c r="D9" s="11" t="s">
        <v>387</v>
      </c>
      <c r="E9" s="11" t="s">
        <v>388</v>
      </c>
      <c r="F9" s="11" t="s">
        <v>28</v>
      </c>
      <c r="G9" s="23">
        <v>46174</v>
      </c>
      <c r="H9" s="23">
        <v>46234</v>
      </c>
      <c r="I9" s="11"/>
      <c r="J9" s="11"/>
      <c r="K9" s="11" t="s">
        <v>406</v>
      </c>
      <c r="L9" s="11"/>
      <c r="M9" s="11"/>
      <c r="N9" s="11"/>
      <c r="O9" s="10"/>
      <c r="P9" s="11" t="s">
        <v>410</v>
      </c>
      <c r="Q9" s="11"/>
      <c r="R9" s="20">
        <v>5</v>
      </c>
      <c r="S9" s="11" t="b">
        <v>0</v>
      </c>
      <c r="T9" s="11"/>
      <c r="U9" s="11" t="s">
        <v>392</v>
      </c>
      <c r="V9" s="11" t="s">
        <v>218</v>
      </c>
    </row>
    <row r="10" spans="1:22" ht="21.75" customHeight="1" x14ac:dyDescent="0.25">
      <c r="A10" s="6" t="s">
        <v>19</v>
      </c>
      <c r="B10" s="7" t="s">
        <v>20</v>
      </c>
      <c r="C10" s="8" t="s">
        <v>411</v>
      </c>
      <c r="D10" s="8" t="s">
        <v>387</v>
      </c>
      <c r="E10" s="8" t="s">
        <v>388</v>
      </c>
      <c r="F10" s="8" t="s">
        <v>28</v>
      </c>
      <c r="G10" s="22">
        <v>46235</v>
      </c>
      <c r="H10" s="22">
        <v>46265</v>
      </c>
      <c r="I10" s="8"/>
      <c r="J10" s="8"/>
      <c r="K10" s="8" t="s">
        <v>406</v>
      </c>
      <c r="L10" s="8"/>
      <c r="M10" s="8"/>
      <c r="N10" s="8"/>
      <c r="O10" s="7"/>
      <c r="P10" s="8" t="s">
        <v>412</v>
      </c>
      <c r="Q10" s="8"/>
      <c r="R10" s="21">
        <v>6</v>
      </c>
      <c r="S10" s="8" t="b">
        <v>0</v>
      </c>
      <c r="T10" s="8"/>
      <c r="U10" s="8" t="s">
        <v>392</v>
      </c>
      <c r="V10" s="8" t="s">
        <v>218</v>
      </c>
    </row>
    <row r="11" spans="1:22" ht="21.75" customHeight="1" x14ac:dyDescent="0.25">
      <c r="A11" s="6" t="s">
        <v>19</v>
      </c>
      <c r="B11" s="10" t="s">
        <v>20</v>
      </c>
      <c r="C11" s="11" t="s">
        <v>413</v>
      </c>
      <c r="D11" s="11" t="s">
        <v>387</v>
      </c>
      <c r="E11" s="11" t="s">
        <v>388</v>
      </c>
      <c r="F11" s="11" t="s">
        <v>27</v>
      </c>
      <c r="G11" s="23">
        <v>46174</v>
      </c>
      <c r="H11" s="23">
        <v>46326</v>
      </c>
      <c r="I11" s="11"/>
      <c r="J11" s="11"/>
      <c r="K11" s="11" t="s">
        <v>406</v>
      </c>
      <c r="L11" s="11"/>
      <c r="M11" s="11"/>
      <c r="N11" s="11"/>
      <c r="O11" s="10"/>
      <c r="P11" s="11" t="s">
        <v>414</v>
      </c>
      <c r="Q11" s="11"/>
      <c r="R11" s="20">
        <v>8</v>
      </c>
      <c r="S11" s="11" t="b">
        <v>0</v>
      </c>
      <c r="T11" s="11"/>
      <c r="U11" s="11" t="s">
        <v>392</v>
      </c>
      <c r="V11" s="11" t="s">
        <v>218</v>
      </c>
    </row>
    <row r="12" spans="1:22" ht="21.75" customHeight="1" x14ac:dyDescent="0.25">
      <c r="A12" s="6" t="s">
        <v>19</v>
      </c>
      <c r="B12" s="7" t="s">
        <v>20</v>
      </c>
      <c r="C12" s="8" t="s">
        <v>415</v>
      </c>
      <c r="D12" s="8" t="s">
        <v>387</v>
      </c>
      <c r="E12" s="8" t="s">
        <v>388</v>
      </c>
      <c r="F12" s="8" t="s">
        <v>28</v>
      </c>
      <c r="G12" s="22">
        <v>46296</v>
      </c>
      <c r="H12" s="22">
        <v>46356</v>
      </c>
      <c r="I12" s="8"/>
      <c r="J12" s="8"/>
      <c r="K12" s="8" t="s">
        <v>406</v>
      </c>
      <c r="L12" s="8"/>
      <c r="M12" s="8"/>
      <c r="N12" s="8"/>
      <c r="O12" s="7"/>
      <c r="P12" s="8" t="s">
        <v>416</v>
      </c>
      <c r="Q12" s="8"/>
      <c r="R12" s="21">
        <v>9</v>
      </c>
      <c r="S12" s="8" t="b">
        <v>0</v>
      </c>
      <c r="T12" s="8"/>
      <c r="U12" s="8" t="s">
        <v>392</v>
      </c>
      <c r="V12" s="8" t="s">
        <v>218</v>
      </c>
    </row>
    <row r="13" spans="1:22" ht="21.75" customHeight="1" x14ac:dyDescent="0.25">
      <c r="A13" s="6" t="s">
        <v>19</v>
      </c>
      <c r="B13" s="10" t="s">
        <v>20</v>
      </c>
      <c r="C13" s="11" t="s">
        <v>417</v>
      </c>
      <c r="D13" s="11" t="s">
        <v>387</v>
      </c>
      <c r="E13" s="11" t="s">
        <v>388</v>
      </c>
      <c r="F13" s="11" t="s">
        <v>27</v>
      </c>
      <c r="G13" s="23">
        <v>46357</v>
      </c>
      <c r="H13" s="23">
        <v>46418</v>
      </c>
      <c r="I13" s="11"/>
      <c r="J13" s="11"/>
      <c r="K13" s="11" t="s">
        <v>406</v>
      </c>
      <c r="L13" s="11"/>
      <c r="M13" s="11"/>
      <c r="N13" s="11"/>
      <c r="O13" s="10"/>
      <c r="P13" s="11" t="s">
        <v>418</v>
      </c>
      <c r="Q13" s="11"/>
      <c r="R13" s="20">
        <v>10</v>
      </c>
      <c r="S13" s="11" t="b">
        <v>0</v>
      </c>
      <c r="T13" s="11"/>
      <c r="U13" s="11" t="s">
        <v>392</v>
      </c>
      <c r="V13" s="11" t="s">
        <v>218</v>
      </c>
    </row>
    <row r="14" spans="1:22" ht="21.75" customHeight="1" x14ac:dyDescent="0.25">
      <c r="A14" s="6" t="s">
        <v>19</v>
      </c>
      <c r="B14" s="7" t="s">
        <v>20</v>
      </c>
      <c r="C14" s="8" t="s">
        <v>419</v>
      </c>
      <c r="D14" s="8" t="s">
        <v>387</v>
      </c>
      <c r="E14" s="8" t="s">
        <v>388</v>
      </c>
      <c r="F14" s="8" t="s">
        <v>27</v>
      </c>
      <c r="G14" s="22">
        <v>46419</v>
      </c>
      <c r="H14" s="22">
        <v>46446</v>
      </c>
      <c r="I14" s="8"/>
      <c r="J14" s="8"/>
      <c r="K14" s="8" t="s">
        <v>406</v>
      </c>
      <c r="L14" s="8"/>
      <c r="M14" s="8"/>
      <c r="N14" s="8"/>
      <c r="O14" s="7"/>
      <c r="P14" s="8" t="s">
        <v>420</v>
      </c>
      <c r="Q14" s="8"/>
      <c r="R14" s="21">
        <v>11</v>
      </c>
      <c r="S14" s="8" t="b">
        <v>0</v>
      </c>
      <c r="T14" s="8"/>
      <c r="U14" s="8" t="s">
        <v>392</v>
      </c>
      <c r="V14" s="8" t="s">
        <v>218</v>
      </c>
    </row>
    <row r="15" spans="1:22" ht="21.75" customHeight="1" x14ac:dyDescent="0.25">
      <c r="A15" s="6" t="s">
        <v>19</v>
      </c>
      <c r="B15" s="10" t="s">
        <v>20</v>
      </c>
      <c r="C15" s="11" t="s">
        <v>421</v>
      </c>
      <c r="D15" s="11" t="s">
        <v>59</v>
      </c>
      <c r="E15" s="11" t="s">
        <v>26</v>
      </c>
      <c r="F15" s="11" t="s">
        <v>27</v>
      </c>
      <c r="G15" s="23">
        <v>46388</v>
      </c>
      <c r="H15" s="23">
        <v>46660</v>
      </c>
      <c r="I15" s="11"/>
      <c r="J15" s="11"/>
      <c r="K15" s="11" t="s">
        <v>406</v>
      </c>
      <c r="L15" s="11"/>
      <c r="M15" s="11"/>
      <c r="N15" s="11"/>
      <c r="O15" s="10" t="s">
        <v>422</v>
      </c>
      <c r="P15" s="11" t="s">
        <v>423</v>
      </c>
      <c r="Q15" s="11"/>
      <c r="R15" s="20">
        <v>13</v>
      </c>
      <c r="S15" s="11" t="b">
        <v>0</v>
      </c>
      <c r="T15" s="11"/>
      <c r="U15" s="11" t="s">
        <v>392</v>
      </c>
      <c r="V15" s="11" t="s">
        <v>218</v>
      </c>
    </row>
    <row r="16" spans="1:22" ht="21.75" customHeight="1" x14ac:dyDescent="0.25">
      <c r="A16" s="6" t="s">
        <v>19</v>
      </c>
      <c r="B16" s="7" t="s">
        <v>20</v>
      </c>
      <c r="C16" s="8" t="s">
        <v>424</v>
      </c>
      <c r="D16" s="8" t="s">
        <v>387</v>
      </c>
      <c r="E16" s="8" t="s">
        <v>388</v>
      </c>
      <c r="F16" s="8" t="s">
        <v>27</v>
      </c>
      <c r="G16" s="22">
        <v>46447</v>
      </c>
      <c r="H16" s="22">
        <v>46660</v>
      </c>
      <c r="I16" s="8"/>
      <c r="J16" s="8"/>
      <c r="K16" s="8" t="s">
        <v>406</v>
      </c>
      <c r="L16" s="8"/>
      <c r="M16" s="8"/>
      <c r="N16" s="8"/>
      <c r="O16" s="7"/>
      <c r="P16" s="8" t="s">
        <v>425</v>
      </c>
      <c r="Q16" s="8"/>
      <c r="R16" s="21">
        <v>12</v>
      </c>
      <c r="S16" s="8" t="b">
        <v>0</v>
      </c>
      <c r="T16" s="8"/>
      <c r="U16" s="8" t="s">
        <v>392</v>
      </c>
      <c r="V16" s="8" t="s">
        <v>218</v>
      </c>
    </row>
    <row r="17" spans="1:22" ht="21.75" customHeight="1" x14ac:dyDescent="0.25">
      <c r="A17" s="6" t="s">
        <v>19</v>
      </c>
      <c r="B17" s="10" t="s">
        <v>20</v>
      </c>
      <c r="C17" s="11" t="s">
        <v>426</v>
      </c>
      <c r="D17" s="11" t="s">
        <v>387</v>
      </c>
      <c r="E17" s="11" t="s">
        <v>388</v>
      </c>
      <c r="F17" s="11" t="s">
        <v>27</v>
      </c>
      <c r="G17" s="23">
        <v>46388</v>
      </c>
      <c r="H17" s="11"/>
      <c r="I17" s="11"/>
      <c r="J17" s="11"/>
      <c r="K17" s="11" t="s">
        <v>406</v>
      </c>
      <c r="L17" s="11"/>
      <c r="M17" s="11"/>
      <c r="N17" s="11"/>
      <c r="O17" s="10"/>
      <c r="P17" s="11" t="s">
        <v>427</v>
      </c>
      <c r="Q17" s="11"/>
      <c r="R17" s="20">
        <v>14</v>
      </c>
      <c r="S17" s="11" t="b">
        <v>0</v>
      </c>
      <c r="T17" s="11"/>
      <c r="U17" s="11" t="s">
        <v>392</v>
      </c>
      <c r="V17" s="11" t="s">
        <v>218</v>
      </c>
    </row>
    <row r="18" spans="1:22" ht="21.75" customHeight="1" x14ac:dyDescent="0.25">
      <c r="A18" s="6" t="s">
        <v>29</v>
      </c>
      <c r="B18" s="7" t="s">
        <v>30</v>
      </c>
      <c r="C18" s="8" t="s">
        <v>386</v>
      </c>
      <c r="D18" s="8" t="s">
        <v>387</v>
      </c>
      <c r="E18" s="8" t="s">
        <v>388</v>
      </c>
      <c r="F18" s="8" t="s">
        <v>389</v>
      </c>
      <c r="G18" s="22">
        <v>46104</v>
      </c>
      <c r="H18" s="22">
        <v>46115</v>
      </c>
      <c r="I18" s="8"/>
      <c r="J18" s="8"/>
      <c r="K18" s="8" t="s">
        <v>390</v>
      </c>
      <c r="L18" s="8"/>
      <c r="M18" s="8"/>
      <c r="N18" s="8"/>
      <c r="O18" s="7" t="s">
        <v>428</v>
      </c>
      <c r="P18" s="8" t="s">
        <v>429</v>
      </c>
      <c r="Q18" s="8"/>
      <c r="R18" s="21">
        <v>0</v>
      </c>
      <c r="S18" s="8" t="b">
        <v>0</v>
      </c>
      <c r="T18" s="8"/>
      <c r="U18" s="8" t="s">
        <v>392</v>
      </c>
      <c r="V18" s="8" t="s">
        <v>218</v>
      </c>
    </row>
    <row r="19" spans="1:22" ht="21.75" customHeight="1" x14ac:dyDescent="0.25">
      <c r="A19" s="6" t="s">
        <v>29</v>
      </c>
      <c r="B19" s="10" t="s">
        <v>30</v>
      </c>
      <c r="C19" s="11" t="s">
        <v>430</v>
      </c>
      <c r="D19" s="11" t="s">
        <v>387</v>
      </c>
      <c r="E19" s="11" t="s">
        <v>388</v>
      </c>
      <c r="F19" s="11" t="s">
        <v>395</v>
      </c>
      <c r="G19" s="23">
        <v>46118</v>
      </c>
      <c r="H19" s="23">
        <v>46129</v>
      </c>
      <c r="I19" s="11"/>
      <c r="J19" s="11"/>
      <c r="K19" s="11" t="s">
        <v>390</v>
      </c>
      <c r="L19" s="11"/>
      <c r="M19" s="11"/>
      <c r="N19" s="11"/>
      <c r="O19" s="10" t="s">
        <v>428</v>
      </c>
      <c r="P19" s="11" t="s">
        <v>431</v>
      </c>
      <c r="Q19" s="11"/>
      <c r="R19" s="20">
        <v>2</v>
      </c>
      <c r="S19" s="11" t="b">
        <v>0</v>
      </c>
      <c r="T19" s="11"/>
      <c r="U19" s="11" t="s">
        <v>392</v>
      </c>
      <c r="V19" s="11" t="s">
        <v>218</v>
      </c>
    </row>
    <row r="20" spans="1:22" ht="21.75" customHeight="1" x14ac:dyDescent="0.25">
      <c r="A20" s="6" t="s">
        <v>29</v>
      </c>
      <c r="B20" s="7" t="s">
        <v>30</v>
      </c>
      <c r="C20" s="8" t="s">
        <v>432</v>
      </c>
      <c r="D20" s="8" t="s">
        <v>394</v>
      </c>
      <c r="E20" s="8" t="s">
        <v>388</v>
      </c>
      <c r="F20" s="8" t="s">
        <v>395</v>
      </c>
      <c r="G20" s="22">
        <v>46118</v>
      </c>
      <c r="H20" s="22">
        <v>46129</v>
      </c>
      <c r="I20" s="22">
        <v>46118</v>
      </c>
      <c r="J20" s="22">
        <v>46129</v>
      </c>
      <c r="K20" s="8" t="s">
        <v>390</v>
      </c>
      <c r="L20" s="8"/>
      <c r="M20" s="8"/>
      <c r="N20" s="8"/>
      <c r="O20" s="7"/>
      <c r="P20" s="8" t="s">
        <v>433</v>
      </c>
      <c r="Q20" s="8"/>
      <c r="R20" s="21">
        <v>1</v>
      </c>
      <c r="S20" s="8" t="b">
        <v>0</v>
      </c>
      <c r="T20" s="8"/>
      <c r="U20" s="8" t="s">
        <v>392</v>
      </c>
      <c r="V20" s="8" t="s">
        <v>218</v>
      </c>
    </row>
    <row r="21" spans="1:22" ht="21.75" customHeight="1" x14ac:dyDescent="0.25">
      <c r="A21" s="6" t="s">
        <v>29</v>
      </c>
      <c r="B21" s="10" t="s">
        <v>30</v>
      </c>
      <c r="C21" s="11" t="s">
        <v>434</v>
      </c>
      <c r="D21" s="11" t="s">
        <v>394</v>
      </c>
      <c r="E21" s="11" t="s">
        <v>388</v>
      </c>
      <c r="F21" s="11" t="s">
        <v>395</v>
      </c>
      <c r="G21" s="23">
        <v>46118</v>
      </c>
      <c r="H21" s="23">
        <v>46142</v>
      </c>
      <c r="I21" s="23">
        <v>46118</v>
      </c>
      <c r="J21" s="11"/>
      <c r="K21" s="11" t="s">
        <v>390</v>
      </c>
      <c r="L21" s="11"/>
      <c r="M21" s="11"/>
      <c r="N21" s="11"/>
      <c r="O21" s="10"/>
      <c r="P21" s="11" t="s">
        <v>435</v>
      </c>
      <c r="Q21" s="11"/>
      <c r="R21" s="20">
        <v>3</v>
      </c>
      <c r="S21" s="11" t="b">
        <v>0</v>
      </c>
      <c r="T21" s="11"/>
      <c r="U21" s="11" t="s">
        <v>392</v>
      </c>
      <c r="V21" s="11" t="s">
        <v>218</v>
      </c>
    </row>
    <row r="22" spans="1:22" ht="21.75" customHeight="1" x14ac:dyDescent="0.25">
      <c r="A22" s="6" t="s">
        <v>29</v>
      </c>
      <c r="B22" s="7" t="s">
        <v>30</v>
      </c>
      <c r="C22" s="8" t="s">
        <v>399</v>
      </c>
      <c r="D22" s="8" t="s">
        <v>394</v>
      </c>
      <c r="E22" s="8" t="s">
        <v>388</v>
      </c>
      <c r="F22" s="8" t="s">
        <v>395</v>
      </c>
      <c r="G22" s="22">
        <v>46139</v>
      </c>
      <c r="H22" s="22">
        <v>46142</v>
      </c>
      <c r="I22" s="22">
        <v>46139</v>
      </c>
      <c r="J22" s="8"/>
      <c r="K22" s="8" t="s">
        <v>390</v>
      </c>
      <c r="L22" s="8"/>
      <c r="M22" s="8"/>
      <c r="N22" s="8"/>
      <c r="O22" s="7"/>
      <c r="P22" s="8" t="s">
        <v>436</v>
      </c>
      <c r="Q22" s="8"/>
      <c r="R22" s="21">
        <v>4</v>
      </c>
      <c r="S22" s="8" t="b">
        <v>0</v>
      </c>
      <c r="T22" s="8"/>
      <c r="U22" s="8" t="s">
        <v>392</v>
      </c>
      <c r="V22" s="8" t="s">
        <v>218</v>
      </c>
    </row>
    <row r="23" spans="1:22" ht="21.75" customHeight="1" x14ac:dyDescent="0.25">
      <c r="A23" s="6" t="s">
        <v>29</v>
      </c>
      <c r="B23" s="10" t="s">
        <v>30</v>
      </c>
      <c r="C23" s="11" t="s">
        <v>437</v>
      </c>
      <c r="D23" s="11" t="s">
        <v>387</v>
      </c>
      <c r="E23" s="11" t="s">
        <v>388</v>
      </c>
      <c r="F23" s="11" t="s">
        <v>438</v>
      </c>
      <c r="G23" s="23">
        <v>46146</v>
      </c>
      <c r="H23" s="23">
        <v>46173</v>
      </c>
      <c r="I23" s="11"/>
      <c r="J23" s="11"/>
      <c r="K23" s="11" t="s">
        <v>406</v>
      </c>
      <c r="L23" s="11"/>
      <c r="M23" s="11" t="s">
        <v>440</v>
      </c>
      <c r="N23" s="11"/>
      <c r="O23" s="10" t="s">
        <v>441</v>
      </c>
      <c r="P23" s="11" t="s">
        <v>442</v>
      </c>
      <c r="Q23" s="11" t="s">
        <v>443</v>
      </c>
      <c r="R23" s="20">
        <v>6</v>
      </c>
      <c r="S23" s="11" t="b">
        <v>0</v>
      </c>
      <c r="T23" s="11"/>
      <c r="U23" s="11" t="s">
        <v>392</v>
      </c>
      <c r="V23" s="11" t="s">
        <v>218</v>
      </c>
    </row>
    <row r="24" spans="1:22" ht="21.75" customHeight="1" x14ac:dyDescent="0.25">
      <c r="A24" s="6" t="s">
        <v>29</v>
      </c>
      <c r="B24" s="7" t="s">
        <v>30</v>
      </c>
      <c r="C24" s="8" t="s">
        <v>444</v>
      </c>
      <c r="D24" s="8" t="s">
        <v>387</v>
      </c>
      <c r="E24" s="8" t="s">
        <v>388</v>
      </c>
      <c r="F24" s="8" t="s">
        <v>438</v>
      </c>
      <c r="G24" s="22">
        <v>46174</v>
      </c>
      <c r="H24" s="22">
        <v>46234</v>
      </c>
      <c r="I24" s="8"/>
      <c r="J24" s="8"/>
      <c r="K24" s="8" t="s">
        <v>406</v>
      </c>
      <c r="L24" s="8"/>
      <c r="M24" s="8" t="s">
        <v>440</v>
      </c>
      <c r="N24" s="8"/>
      <c r="O24" s="7" t="s">
        <v>441</v>
      </c>
      <c r="P24" s="8" t="s">
        <v>445</v>
      </c>
      <c r="Q24" s="8" t="s">
        <v>443</v>
      </c>
      <c r="R24" s="21">
        <v>7</v>
      </c>
      <c r="S24" s="8" t="b">
        <v>0</v>
      </c>
      <c r="T24" s="8"/>
      <c r="U24" s="8" t="s">
        <v>392</v>
      </c>
      <c r="V24" s="8" t="s">
        <v>218</v>
      </c>
    </row>
    <row r="25" spans="1:22" ht="21.75" customHeight="1" x14ac:dyDescent="0.25">
      <c r="A25" s="6" t="s">
        <v>29</v>
      </c>
      <c r="B25" s="10" t="s">
        <v>30</v>
      </c>
      <c r="C25" s="11" t="s">
        <v>446</v>
      </c>
      <c r="D25" s="11" t="s">
        <v>387</v>
      </c>
      <c r="E25" s="11" t="s">
        <v>388</v>
      </c>
      <c r="F25" s="11" t="s">
        <v>31</v>
      </c>
      <c r="G25" s="23">
        <v>46235</v>
      </c>
      <c r="H25" s="23">
        <v>46265</v>
      </c>
      <c r="I25" s="11"/>
      <c r="J25" s="11"/>
      <c r="K25" s="11" t="s">
        <v>406</v>
      </c>
      <c r="L25" s="11"/>
      <c r="M25" s="11" t="s">
        <v>440</v>
      </c>
      <c r="N25" s="11"/>
      <c r="O25" s="10" t="s">
        <v>447</v>
      </c>
      <c r="P25" s="11" t="s">
        <v>448</v>
      </c>
      <c r="Q25" s="11" t="s">
        <v>443</v>
      </c>
      <c r="R25" s="20">
        <v>9</v>
      </c>
      <c r="S25" s="11" t="b">
        <v>0</v>
      </c>
      <c r="T25" s="11"/>
      <c r="U25" s="11" t="s">
        <v>392</v>
      </c>
      <c r="V25" s="11" t="s">
        <v>218</v>
      </c>
    </row>
    <row r="26" spans="1:22" ht="21.75" customHeight="1" x14ac:dyDescent="0.25">
      <c r="A26" s="6" t="s">
        <v>29</v>
      </c>
      <c r="B26" s="7" t="s">
        <v>30</v>
      </c>
      <c r="C26" s="8" t="s">
        <v>449</v>
      </c>
      <c r="D26" s="8" t="s">
        <v>387</v>
      </c>
      <c r="E26" s="8" t="s">
        <v>388</v>
      </c>
      <c r="F26" s="8"/>
      <c r="G26" s="22">
        <v>46266</v>
      </c>
      <c r="H26" s="22">
        <v>46295</v>
      </c>
      <c r="I26" s="8"/>
      <c r="J26" s="8"/>
      <c r="K26" s="8" t="s">
        <v>406</v>
      </c>
      <c r="L26" s="8"/>
      <c r="M26" s="8" t="s">
        <v>440</v>
      </c>
      <c r="N26" s="8"/>
      <c r="O26" s="7" t="s">
        <v>450</v>
      </c>
      <c r="P26" s="8" t="s">
        <v>451</v>
      </c>
      <c r="Q26" s="8" t="s">
        <v>443</v>
      </c>
      <c r="R26" s="21">
        <v>10</v>
      </c>
      <c r="S26" s="8" t="b">
        <v>0</v>
      </c>
      <c r="T26" s="8"/>
      <c r="U26" s="8" t="s">
        <v>392</v>
      </c>
      <c r="V26" s="8" t="s">
        <v>218</v>
      </c>
    </row>
    <row r="27" spans="1:22" ht="21.75" customHeight="1" x14ac:dyDescent="0.25">
      <c r="A27" s="6" t="s">
        <v>29</v>
      </c>
      <c r="B27" s="10" t="s">
        <v>30</v>
      </c>
      <c r="C27" s="11" t="s">
        <v>452</v>
      </c>
      <c r="D27" s="11" t="s">
        <v>387</v>
      </c>
      <c r="E27" s="11" t="s">
        <v>388</v>
      </c>
      <c r="F27" s="11" t="s">
        <v>438</v>
      </c>
      <c r="G27" s="23">
        <v>46235</v>
      </c>
      <c r="H27" s="23">
        <v>46295</v>
      </c>
      <c r="I27" s="11"/>
      <c r="J27" s="11"/>
      <c r="K27" s="11" t="s">
        <v>406</v>
      </c>
      <c r="L27" s="11"/>
      <c r="M27" s="11" t="s">
        <v>440</v>
      </c>
      <c r="N27" s="11"/>
      <c r="O27" s="10" t="s">
        <v>441</v>
      </c>
      <c r="P27" s="11" t="s">
        <v>453</v>
      </c>
      <c r="Q27" s="11" t="s">
        <v>443</v>
      </c>
      <c r="R27" s="20">
        <v>8</v>
      </c>
      <c r="S27" s="11" t="b">
        <v>0</v>
      </c>
      <c r="T27" s="11"/>
      <c r="U27" s="11" t="s">
        <v>392</v>
      </c>
      <c r="V27" s="11" t="s">
        <v>218</v>
      </c>
    </row>
    <row r="28" spans="1:22" ht="21.75" customHeight="1" x14ac:dyDescent="0.25">
      <c r="A28" s="6" t="s">
        <v>29</v>
      </c>
      <c r="B28" s="7" t="s">
        <v>30</v>
      </c>
      <c r="C28" s="8" t="s">
        <v>440</v>
      </c>
      <c r="D28" s="8" t="s">
        <v>387</v>
      </c>
      <c r="E28" s="8" t="s">
        <v>388</v>
      </c>
      <c r="F28" s="8" t="s">
        <v>438</v>
      </c>
      <c r="G28" s="22">
        <v>46132</v>
      </c>
      <c r="H28" s="22">
        <v>46295</v>
      </c>
      <c r="I28" s="8"/>
      <c r="J28" s="8"/>
      <c r="K28" s="8" t="s">
        <v>406</v>
      </c>
      <c r="L28" s="8"/>
      <c r="M28" s="8"/>
      <c r="N28" s="8"/>
      <c r="O28" s="7" t="s">
        <v>441</v>
      </c>
      <c r="P28" s="8" t="s">
        <v>443</v>
      </c>
      <c r="Q28" s="8"/>
      <c r="R28" s="21">
        <v>5</v>
      </c>
      <c r="S28" s="8" t="b">
        <v>0</v>
      </c>
      <c r="T28" s="8"/>
      <c r="U28" s="8" t="s">
        <v>392</v>
      </c>
      <c r="V28" s="8" t="s">
        <v>218</v>
      </c>
    </row>
    <row r="29" spans="1:22" ht="21.75" customHeight="1" x14ac:dyDescent="0.25">
      <c r="A29" s="6" t="s">
        <v>29</v>
      </c>
      <c r="B29" s="10" t="s">
        <v>30</v>
      </c>
      <c r="C29" s="11" t="s">
        <v>454</v>
      </c>
      <c r="D29" s="11" t="s">
        <v>387</v>
      </c>
      <c r="E29" s="11" t="s">
        <v>388</v>
      </c>
      <c r="F29" s="11" t="s">
        <v>31</v>
      </c>
      <c r="G29" s="23">
        <v>46296</v>
      </c>
      <c r="H29" s="23">
        <v>46326</v>
      </c>
      <c r="I29" s="11"/>
      <c r="J29" s="11"/>
      <c r="K29" s="11" t="s">
        <v>406</v>
      </c>
      <c r="L29" s="11"/>
      <c r="M29" s="11" t="s">
        <v>440</v>
      </c>
      <c r="N29" s="11"/>
      <c r="O29" s="10" t="s">
        <v>447</v>
      </c>
      <c r="P29" s="11" t="s">
        <v>455</v>
      </c>
      <c r="Q29" s="11" t="s">
        <v>443</v>
      </c>
      <c r="R29" s="20">
        <v>11</v>
      </c>
      <c r="S29" s="11" t="b">
        <v>0</v>
      </c>
      <c r="T29" s="11"/>
      <c r="U29" s="11" t="s">
        <v>392</v>
      </c>
      <c r="V29" s="11" t="s">
        <v>218</v>
      </c>
    </row>
    <row r="30" spans="1:22" ht="21.75" customHeight="1" x14ac:dyDescent="0.25">
      <c r="A30" s="6" t="s">
        <v>29</v>
      </c>
      <c r="B30" s="7" t="s">
        <v>30</v>
      </c>
      <c r="C30" s="8" t="s">
        <v>411</v>
      </c>
      <c r="D30" s="8" t="s">
        <v>387</v>
      </c>
      <c r="E30" s="8" t="s">
        <v>388</v>
      </c>
      <c r="F30" s="8"/>
      <c r="G30" s="22">
        <v>46327</v>
      </c>
      <c r="H30" s="22">
        <v>46356</v>
      </c>
      <c r="I30" s="8"/>
      <c r="J30" s="8"/>
      <c r="K30" s="8" t="s">
        <v>406</v>
      </c>
      <c r="L30" s="8"/>
      <c r="M30" s="8" t="s">
        <v>440</v>
      </c>
      <c r="N30" s="8"/>
      <c r="O30" s="7" t="s">
        <v>450</v>
      </c>
      <c r="P30" s="8" t="s">
        <v>456</v>
      </c>
      <c r="Q30" s="8" t="s">
        <v>443</v>
      </c>
      <c r="R30" s="21">
        <v>12</v>
      </c>
      <c r="S30" s="8" t="b">
        <v>0</v>
      </c>
      <c r="T30" s="8"/>
      <c r="U30" s="8" t="s">
        <v>392</v>
      </c>
      <c r="V30" s="8" t="s">
        <v>218</v>
      </c>
    </row>
    <row r="31" spans="1:22" ht="21.75" customHeight="1" x14ac:dyDescent="0.25">
      <c r="A31" s="6" t="s">
        <v>29</v>
      </c>
      <c r="B31" s="10" t="s">
        <v>30</v>
      </c>
      <c r="C31" s="11" t="s">
        <v>457</v>
      </c>
      <c r="D31" s="11" t="s">
        <v>387</v>
      </c>
      <c r="E31" s="11" t="s">
        <v>388</v>
      </c>
      <c r="F31" s="11"/>
      <c r="G31" s="23">
        <v>46357</v>
      </c>
      <c r="H31" s="23">
        <v>46477</v>
      </c>
      <c r="I31" s="11"/>
      <c r="J31" s="11"/>
      <c r="K31" s="11" t="s">
        <v>406</v>
      </c>
      <c r="L31" s="11"/>
      <c r="M31" s="11" t="s">
        <v>440</v>
      </c>
      <c r="N31" s="11"/>
      <c r="O31" s="10" t="s">
        <v>450</v>
      </c>
      <c r="P31" s="11" t="s">
        <v>458</v>
      </c>
      <c r="Q31" s="11" t="s">
        <v>443</v>
      </c>
      <c r="R31" s="20">
        <v>13</v>
      </c>
      <c r="S31" s="11" t="b">
        <v>0</v>
      </c>
      <c r="T31" s="11"/>
      <c r="U31" s="11" t="s">
        <v>392</v>
      </c>
      <c r="V31" s="11" t="s">
        <v>218</v>
      </c>
    </row>
    <row r="32" spans="1:22" ht="21.75" customHeight="1" x14ac:dyDescent="0.25">
      <c r="A32" s="6" t="s">
        <v>29</v>
      </c>
      <c r="B32" s="7" t="s">
        <v>30</v>
      </c>
      <c r="C32" s="8" t="s">
        <v>459</v>
      </c>
      <c r="D32" s="8" t="s">
        <v>387</v>
      </c>
      <c r="E32" s="8" t="s">
        <v>388</v>
      </c>
      <c r="F32" s="8" t="s">
        <v>31</v>
      </c>
      <c r="G32" s="22">
        <v>46478</v>
      </c>
      <c r="H32" s="22">
        <v>46507</v>
      </c>
      <c r="I32" s="8"/>
      <c r="J32" s="8"/>
      <c r="K32" s="8" t="s">
        <v>406</v>
      </c>
      <c r="L32" s="8"/>
      <c r="M32" s="8" t="s">
        <v>440</v>
      </c>
      <c r="N32" s="8"/>
      <c r="O32" s="7" t="s">
        <v>447</v>
      </c>
      <c r="P32" s="8" t="s">
        <v>460</v>
      </c>
      <c r="Q32" s="8" t="s">
        <v>443</v>
      </c>
      <c r="R32" s="21">
        <v>14</v>
      </c>
      <c r="S32" s="8" t="b">
        <v>0</v>
      </c>
      <c r="T32" s="8"/>
      <c r="U32" s="8" t="s">
        <v>392</v>
      </c>
      <c r="V32" s="8" t="s">
        <v>218</v>
      </c>
    </row>
    <row r="33" spans="1:22" ht="21.75" customHeight="1" x14ac:dyDescent="0.25">
      <c r="A33" s="6" t="s">
        <v>29</v>
      </c>
      <c r="B33" s="10" t="s">
        <v>30</v>
      </c>
      <c r="C33" s="11" t="s">
        <v>461</v>
      </c>
      <c r="D33" s="11" t="s">
        <v>387</v>
      </c>
      <c r="E33" s="11" t="s">
        <v>388</v>
      </c>
      <c r="F33" s="11" t="s">
        <v>31</v>
      </c>
      <c r="G33" s="23">
        <v>46508</v>
      </c>
      <c r="H33" s="23">
        <v>46538</v>
      </c>
      <c r="I33" s="11"/>
      <c r="J33" s="11"/>
      <c r="K33" s="11" t="s">
        <v>406</v>
      </c>
      <c r="L33" s="11"/>
      <c r="M33" s="11" t="s">
        <v>440</v>
      </c>
      <c r="N33" s="11"/>
      <c r="O33" s="10" t="s">
        <v>447</v>
      </c>
      <c r="P33" s="11" t="s">
        <v>462</v>
      </c>
      <c r="Q33" s="11" t="s">
        <v>443</v>
      </c>
      <c r="R33" s="20">
        <v>15</v>
      </c>
      <c r="S33" s="11" t="b">
        <v>0</v>
      </c>
      <c r="T33" s="11"/>
      <c r="U33" s="11" t="s">
        <v>392</v>
      </c>
      <c r="V33" s="11" t="s">
        <v>218</v>
      </c>
    </row>
    <row r="34" spans="1:22" ht="21.75" customHeight="1" x14ac:dyDescent="0.25">
      <c r="A34" s="6" t="s">
        <v>29</v>
      </c>
      <c r="B34" s="7" t="s">
        <v>30</v>
      </c>
      <c r="C34" s="8" t="s">
        <v>463</v>
      </c>
      <c r="D34" s="8" t="s">
        <v>387</v>
      </c>
      <c r="E34" s="8" t="s">
        <v>388</v>
      </c>
      <c r="F34" s="8"/>
      <c r="G34" s="22">
        <v>46539</v>
      </c>
      <c r="H34" s="22">
        <v>46568</v>
      </c>
      <c r="I34" s="8"/>
      <c r="J34" s="8"/>
      <c r="K34" s="8" t="s">
        <v>406</v>
      </c>
      <c r="L34" s="8"/>
      <c r="M34" s="8" t="s">
        <v>440</v>
      </c>
      <c r="N34" s="8"/>
      <c r="O34" s="7" t="s">
        <v>447</v>
      </c>
      <c r="P34" s="8" t="s">
        <v>464</v>
      </c>
      <c r="Q34" s="8" t="s">
        <v>443</v>
      </c>
      <c r="R34" s="21">
        <v>16</v>
      </c>
      <c r="S34" s="8" t="b">
        <v>0</v>
      </c>
      <c r="T34" s="8"/>
      <c r="U34" s="8" t="s">
        <v>392</v>
      </c>
      <c r="V34" s="8" t="s">
        <v>218</v>
      </c>
    </row>
    <row r="35" spans="1:22" ht="21.75" customHeight="1" x14ac:dyDescent="0.25">
      <c r="A35" s="6" t="s">
        <v>29</v>
      </c>
      <c r="B35" s="10" t="s">
        <v>30</v>
      </c>
      <c r="C35" s="11" t="s">
        <v>421</v>
      </c>
      <c r="D35" s="11" t="s">
        <v>59</v>
      </c>
      <c r="E35" s="11" t="s">
        <v>26</v>
      </c>
      <c r="F35" s="11" t="s">
        <v>31</v>
      </c>
      <c r="G35" s="23">
        <v>46388</v>
      </c>
      <c r="H35" s="23">
        <v>46752</v>
      </c>
      <c r="I35" s="11"/>
      <c r="J35" s="11"/>
      <c r="K35" s="11" t="s">
        <v>406</v>
      </c>
      <c r="L35" s="11"/>
      <c r="M35" s="11"/>
      <c r="N35" s="11"/>
      <c r="O35" s="10" t="s">
        <v>422</v>
      </c>
      <c r="P35" s="11" t="s">
        <v>465</v>
      </c>
      <c r="Q35" s="11"/>
      <c r="R35" s="20">
        <v>18</v>
      </c>
      <c r="S35" s="11" t="b">
        <v>0</v>
      </c>
      <c r="T35" s="11"/>
      <c r="U35" s="11" t="s">
        <v>392</v>
      </c>
      <c r="V35" s="11" t="s">
        <v>218</v>
      </c>
    </row>
    <row r="36" spans="1:22" ht="21.75" customHeight="1" x14ac:dyDescent="0.25">
      <c r="A36" s="6" t="s">
        <v>29</v>
      </c>
      <c r="B36" s="7" t="s">
        <v>30</v>
      </c>
      <c r="C36" s="8" t="s">
        <v>466</v>
      </c>
      <c r="D36" s="8" t="s">
        <v>387</v>
      </c>
      <c r="E36" s="8" t="s">
        <v>388</v>
      </c>
      <c r="F36" s="8"/>
      <c r="G36" s="22">
        <v>46569</v>
      </c>
      <c r="H36" s="22">
        <v>46752</v>
      </c>
      <c r="I36" s="8"/>
      <c r="J36" s="8"/>
      <c r="K36" s="8" t="s">
        <v>406</v>
      </c>
      <c r="L36" s="8"/>
      <c r="M36" s="8" t="s">
        <v>440</v>
      </c>
      <c r="N36" s="8"/>
      <c r="O36" s="7" t="s">
        <v>447</v>
      </c>
      <c r="P36" s="8" t="s">
        <v>467</v>
      </c>
      <c r="Q36" s="8" t="s">
        <v>443</v>
      </c>
      <c r="R36" s="21">
        <v>17</v>
      </c>
      <c r="S36" s="8" t="b">
        <v>0</v>
      </c>
      <c r="T36" s="8"/>
      <c r="U36" s="8" t="s">
        <v>392</v>
      </c>
      <c r="V36" s="8" t="s">
        <v>218</v>
      </c>
    </row>
    <row r="37" spans="1:22" ht="21.75" customHeight="1" x14ac:dyDescent="0.25">
      <c r="A37" s="6" t="s">
        <v>29</v>
      </c>
      <c r="B37" s="10" t="s">
        <v>30</v>
      </c>
      <c r="C37" s="11" t="s">
        <v>468</v>
      </c>
      <c r="D37" s="11" t="s">
        <v>387</v>
      </c>
      <c r="E37" s="11" t="s">
        <v>388</v>
      </c>
      <c r="F37" s="11"/>
      <c r="G37" s="23">
        <v>46753</v>
      </c>
      <c r="H37" s="11"/>
      <c r="I37" s="11"/>
      <c r="J37" s="11"/>
      <c r="K37" s="11" t="s">
        <v>406</v>
      </c>
      <c r="L37" s="11"/>
      <c r="M37" s="11" t="s">
        <v>440</v>
      </c>
      <c r="N37" s="11"/>
      <c r="O37" s="10" t="s">
        <v>447</v>
      </c>
      <c r="P37" s="11" t="s">
        <v>469</v>
      </c>
      <c r="Q37" s="11" t="s">
        <v>443</v>
      </c>
      <c r="R37" s="20">
        <v>19</v>
      </c>
      <c r="S37" s="11" t="b">
        <v>0</v>
      </c>
      <c r="T37" s="11"/>
      <c r="U37" s="11" t="s">
        <v>392</v>
      </c>
      <c r="V37" s="11" t="s">
        <v>218</v>
      </c>
    </row>
    <row r="38" spans="1:22" ht="21.75" customHeight="1" x14ac:dyDescent="0.25">
      <c r="A38" s="6" t="s">
        <v>32</v>
      </c>
      <c r="B38" s="7" t="s">
        <v>656</v>
      </c>
      <c r="C38" s="8" t="s">
        <v>470</v>
      </c>
      <c r="D38" s="8" t="s">
        <v>394</v>
      </c>
      <c r="E38" s="8" t="s">
        <v>388</v>
      </c>
      <c r="F38" s="8" t="s">
        <v>395</v>
      </c>
      <c r="G38" s="22">
        <v>46162</v>
      </c>
      <c r="H38" s="22">
        <v>46164</v>
      </c>
      <c r="I38" s="8"/>
      <c r="J38" s="8"/>
      <c r="K38" s="8" t="s">
        <v>390</v>
      </c>
      <c r="L38" s="8"/>
      <c r="M38" s="8"/>
      <c r="N38" s="8"/>
      <c r="O38" s="7"/>
      <c r="P38" s="8" t="s">
        <v>471</v>
      </c>
      <c r="Q38" s="8"/>
      <c r="R38" s="21">
        <v>2</v>
      </c>
      <c r="S38" s="8" t="b">
        <v>0</v>
      </c>
      <c r="T38" s="8"/>
      <c r="U38" s="8" t="s">
        <v>392</v>
      </c>
      <c r="V38" s="8" t="s">
        <v>218</v>
      </c>
    </row>
    <row r="39" spans="1:22" ht="21.75" customHeight="1" x14ac:dyDescent="0.25">
      <c r="A39" s="6" t="s">
        <v>32</v>
      </c>
      <c r="B39" s="10" t="s">
        <v>656</v>
      </c>
      <c r="C39" s="11" t="s">
        <v>472</v>
      </c>
      <c r="D39" s="11" t="s">
        <v>394</v>
      </c>
      <c r="E39" s="11" t="s">
        <v>388</v>
      </c>
      <c r="F39" s="11" t="s">
        <v>473</v>
      </c>
      <c r="G39" s="11"/>
      <c r="H39" s="23">
        <v>46173</v>
      </c>
      <c r="I39" s="11"/>
      <c r="J39" s="11"/>
      <c r="K39" s="11" t="s">
        <v>390</v>
      </c>
      <c r="L39" s="11"/>
      <c r="M39" s="11"/>
      <c r="N39" s="11"/>
      <c r="O39" s="10" t="s">
        <v>474</v>
      </c>
      <c r="P39" s="11" t="s">
        <v>475</v>
      </c>
      <c r="Q39" s="11"/>
      <c r="R39" s="20">
        <v>4</v>
      </c>
      <c r="S39" s="11" t="b">
        <v>0</v>
      </c>
      <c r="T39" s="11"/>
      <c r="U39" s="11" t="s">
        <v>392</v>
      </c>
      <c r="V39" s="11" t="s">
        <v>218</v>
      </c>
    </row>
    <row r="40" spans="1:22" ht="21.75" customHeight="1" x14ac:dyDescent="0.25">
      <c r="A40" s="6" t="s">
        <v>32</v>
      </c>
      <c r="B40" s="7" t="s">
        <v>656</v>
      </c>
      <c r="C40" s="8" t="s">
        <v>476</v>
      </c>
      <c r="D40" s="8" t="s">
        <v>387</v>
      </c>
      <c r="E40" s="8" t="s">
        <v>388</v>
      </c>
      <c r="F40" s="8" t="s">
        <v>477</v>
      </c>
      <c r="G40" s="22">
        <v>46174</v>
      </c>
      <c r="H40" s="22">
        <v>46234</v>
      </c>
      <c r="I40" s="8"/>
      <c r="J40" s="8"/>
      <c r="K40" s="8" t="s">
        <v>403</v>
      </c>
      <c r="L40" s="8"/>
      <c r="M40" s="8"/>
      <c r="N40" s="8"/>
      <c r="O40" s="7" t="s">
        <v>478</v>
      </c>
      <c r="P40" s="8" t="s">
        <v>479</v>
      </c>
      <c r="Q40" s="8"/>
      <c r="R40" s="21">
        <v>5</v>
      </c>
      <c r="S40" s="8" t="b">
        <v>0</v>
      </c>
      <c r="T40" s="8"/>
      <c r="U40" s="8" t="s">
        <v>392</v>
      </c>
      <c r="V40" s="8" t="s">
        <v>218</v>
      </c>
    </row>
    <row r="41" spans="1:22" ht="21.75" customHeight="1" x14ac:dyDescent="0.25">
      <c r="A41" s="6" t="s">
        <v>32</v>
      </c>
      <c r="B41" s="10" t="s">
        <v>656</v>
      </c>
      <c r="C41" s="11" t="s">
        <v>480</v>
      </c>
      <c r="D41" s="11" t="s">
        <v>387</v>
      </c>
      <c r="E41" s="11" t="s">
        <v>388</v>
      </c>
      <c r="F41" s="11" t="s">
        <v>481</v>
      </c>
      <c r="G41" s="11"/>
      <c r="H41" s="23">
        <v>46265</v>
      </c>
      <c r="I41" s="11"/>
      <c r="J41" s="11"/>
      <c r="K41" s="11" t="s">
        <v>403</v>
      </c>
      <c r="L41" s="11"/>
      <c r="M41" s="11"/>
      <c r="N41" s="11"/>
      <c r="O41" s="10"/>
      <c r="P41" s="11" t="s">
        <v>482</v>
      </c>
      <c r="Q41" s="11"/>
      <c r="R41" s="20">
        <v>8</v>
      </c>
      <c r="S41" s="11" t="b">
        <v>0</v>
      </c>
      <c r="T41" s="11"/>
      <c r="U41" s="11" t="s">
        <v>392</v>
      </c>
      <c r="V41" s="11" t="s">
        <v>218</v>
      </c>
    </row>
    <row r="42" spans="1:22" ht="21.75" customHeight="1" x14ac:dyDescent="0.25">
      <c r="A42" s="6" t="s">
        <v>32</v>
      </c>
      <c r="B42" s="7" t="s">
        <v>656</v>
      </c>
      <c r="C42" s="8" t="s">
        <v>483</v>
      </c>
      <c r="D42" s="8" t="s">
        <v>387</v>
      </c>
      <c r="E42" s="8" t="s">
        <v>388</v>
      </c>
      <c r="F42" s="8" t="s">
        <v>481</v>
      </c>
      <c r="G42" s="8"/>
      <c r="H42" s="22">
        <v>46265</v>
      </c>
      <c r="I42" s="8"/>
      <c r="J42" s="8"/>
      <c r="K42" s="8" t="s">
        <v>403</v>
      </c>
      <c r="L42" s="8"/>
      <c r="M42" s="8"/>
      <c r="N42" s="8"/>
      <c r="O42" s="7" t="s">
        <v>484</v>
      </c>
      <c r="P42" s="8" t="s">
        <v>485</v>
      </c>
      <c r="Q42" s="8"/>
      <c r="R42" s="21">
        <v>7</v>
      </c>
      <c r="S42" s="8" t="b">
        <v>0</v>
      </c>
      <c r="T42" s="8"/>
      <c r="U42" s="8" t="s">
        <v>392</v>
      </c>
      <c r="V42" s="8" t="s">
        <v>218</v>
      </c>
    </row>
    <row r="43" spans="1:22" ht="21.75" customHeight="1" x14ac:dyDescent="0.25">
      <c r="A43" s="6" t="s">
        <v>32</v>
      </c>
      <c r="B43" s="10" t="s">
        <v>656</v>
      </c>
      <c r="C43" s="11" t="s">
        <v>486</v>
      </c>
      <c r="D43" s="11" t="s">
        <v>387</v>
      </c>
      <c r="E43" s="11" t="s">
        <v>388</v>
      </c>
      <c r="F43" s="11" t="s">
        <v>481</v>
      </c>
      <c r="G43" s="11"/>
      <c r="H43" s="23">
        <v>46265</v>
      </c>
      <c r="I43" s="11"/>
      <c r="J43" s="11"/>
      <c r="K43" s="11" t="s">
        <v>403</v>
      </c>
      <c r="L43" s="11"/>
      <c r="M43" s="11"/>
      <c r="N43" s="11"/>
      <c r="O43" s="10" t="s">
        <v>484</v>
      </c>
      <c r="P43" s="11" t="s">
        <v>487</v>
      </c>
      <c r="Q43" s="11"/>
      <c r="R43" s="20">
        <v>6</v>
      </c>
      <c r="S43" s="11" t="b">
        <v>0</v>
      </c>
      <c r="T43" s="11"/>
      <c r="U43" s="11" t="s">
        <v>392</v>
      </c>
      <c r="V43" s="11" t="s">
        <v>218</v>
      </c>
    </row>
    <row r="44" spans="1:22" ht="21.75" customHeight="1" x14ac:dyDescent="0.25">
      <c r="A44" s="6" t="s">
        <v>32</v>
      </c>
      <c r="B44" s="7" t="s">
        <v>656</v>
      </c>
      <c r="C44" s="8" t="s">
        <v>488</v>
      </c>
      <c r="D44" s="8" t="s">
        <v>387</v>
      </c>
      <c r="E44" s="8" t="s">
        <v>388</v>
      </c>
      <c r="F44" s="8" t="s">
        <v>481</v>
      </c>
      <c r="G44" s="22">
        <v>46266</v>
      </c>
      <c r="H44" s="22">
        <v>46387</v>
      </c>
      <c r="I44" s="8"/>
      <c r="J44" s="8"/>
      <c r="K44" s="8" t="s">
        <v>406</v>
      </c>
      <c r="L44" s="8"/>
      <c r="M44" s="8"/>
      <c r="N44" s="8"/>
      <c r="O44" s="7"/>
      <c r="P44" s="8" t="s">
        <v>489</v>
      </c>
      <c r="Q44" s="8"/>
      <c r="R44" s="21">
        <v>9</v>
      </c>
      <c r="S44" s="8" t="b">
        <v>0</v>
      </c>
      <c r="T44" s="8"/>
      <c r="U44" s="8" t="s">
        <v>392</v>
      </c>
      <c r="V44" s="8" t="s">
        <v>218</v>
      </c>
    </row>
    <row r="45" spans="1:22" ht="21.75" customHeight="1" x14ac:dyDescent="0.25">
      <c r="A45" s="6" t="s">
        <v>32</v>
      </c>
      <c r="B45" s="10" t="s">
        <v>656</v>
      </c>
      <c r="C45" s="11" t="s">
        <v>490</v>
      </c>
      <c r="D45" s="11" t="s">
        <v>394</v>
      </c>
      <c r="E45" s="11" t="s">
        <v>388</v>
      </c>
      <c r="F45" s="11" t="s">
        <v>481</v>
      </c>
      <c r="G45" s="23">
        <v>46266</v>
      </c>
      <c r="H45" s="23">
        <v>46387</v>
      </c>
      <c r="I45" s="11"/>
      <c r="J45" s="11"/>
      <c r="K45" s="11" t="s">
        <v>406</v>
      </c>
      <c r="L45" s="11"/>
      <c r="M45" s="11"/>
      <c r="N45" s="11"/>
      <c r="O45" s="10"/>
      <c r="P45" s="26" t="s">
        <v>491</v>
      </c>
      <c r="Q45" s="11"/>
      <c r="R45" s="20">
        <v>10</v>
      </c>
      <c r="S45" s="11" t="b">
        <v>0</v>
      </c>
      <c r="T45" s="11"/>
      <c r="U45" s="11" t="s">
        <v>392</v>
      </c>
      <c r="V45" s="11" t="s">
        <v>218</v>
      </c>
    </row>
    <row r="46" spans="1:22" ht="21.75" customHeight="1" x14ac:dyDescent="0.25">
      <c r="A46" s="6" t="s">
        <v>32</v>
      </c>
      <c r="B46" s="7" t="s">
        <v>656</v>
      </c>
      <c r="C46" s="8" t="s">
        <v>421</v>
      </c>
      <c r="D46" s="8" t="s">
        <v>59</v>
      </c>
      <c r="E46" s="8" t="s">
        <v>26</v>
      </c>
      <c r="F46" s="8" t="s">
        <v>35</v>
      </c>
      <c r="G46" s="22">
        <v>46388</v>
      </c>
      <c r="H46" s="22">
        <v>46660</v>
      </c>
      <c r="I46" s="8"/>
      <c r="J46" s="8"/>
      <c r="K46" s="8" t="s">
        <v>406</v>
      </c>
      <c r="L46" s="8"/>
      <c r="M46" s="8"/>
      <c r="N46" s="8"/>
      <c r="O46" s="7" t="s">
        <v>422</v>
      </c>
      <c r="P46" s="8" t="s">
        <v>492</v>
      </c>
      <c r="Q46" s="8"/>
      <c r="R46" s="21">
        <v>13</v>
      </c>
      <c r="S46" s="8" t="b">
        <v>0</v>
      </c>
      <c r="T46" s="8"/>
      <c r="U46" s="8" t="s">
        <v>392</v>
      </c>
      <c r="V46" s="8" t="s">
        <v>218</v>
      </c>
    </row>
    <row r="47" spans="1:22" ht="21.75" customHeight="1" x14ac:dyDescent="0.25">
      <c r="A47" s="6" t="s">
        <v>32</v>
      </c>
      <c r="B47" s="10" t="s">
        <v>656</v>
      </c>
      <c r="C47" s="11" t="s">
        <v>493</v>
      </c>
      <c r="D47" s="11" t="s">
        <v>387</v>
      </c>
      <c r="E47" s="11" t="s">
        <v>388</v>
      </c>
      <c r="F47" s="11" t="s">
        <v>481</v>
      </c>
      <c r="G47" s="23">
        <v>46388</v>
      </c>
      <c r="H47" s="23">
        <v>46660</v>
      </c>
      <c r="I47" s="11"/>
      <c r="J47" s="11"/>
      <c r="K47" s="11" t="s">
        <v>406</v>
      </c>
      <c r="L47" s="11"/>
      <c r="M47" s="11"/>
      <c r="N47" s="11"/>
      <c r="O47" s="10" t="s">
        <v>484</v>
      </c>
      <c r="P47" s="11" t="s">
        <v>494</v>
      </c>
      <c r="Q47" s="11"/>
      <c r="R47" s="20">
        <v>11</v>
      </c>
      <c r="S47" s="11" t="b">
        <v>0</v>
      </c>
      <c r="T47" s="11"/>
      <c r="U47" s="11" t="s">
        <v>392</v>
      </c>
      <c r="V47" s="11" t="s">
        <v>218</v>
      </c>
    </row>
    <row r="48" spans="1:22" ht="21.75" customHeight="1" x14ac:dyDescent="0.25">
      <c r="A48" s="6" t="s">
        <v>32</v>
      </c>
      <c r="B48" s="7" t="s">
        <v>656</v>
      </c>
      <c r="C48" s="8" t="s">
        <v>495</v>
      </c>
      <c r="D48" s="8" t="s">
        <v>387</v>
      </c>
      <c r="E48" s="8" t="s">
        <v>388</v>
      </c>
      <c r="F48" s="8" t="s">
        <v>481</v>
      </c>
      <c r="G48" s="22">
        <v>46388</v>
      </c>
      <c r="H48" s="8"/>
      <c r="I48" s="8"/>
      <c r="J48" s="8"/>
      <c r="K48" s="8" t="s">
        <v>406</v>
      </c>
      <c r="L48" s="8"/>
      <c r="M48" s="8"/>
      <c r="N48" s="8"/>
      <c r="O48" s="7" t="s">
        <v>484</v>
      </c>
      <c r="P48" s="8" t="s">
        <v>496</v>
      </c>
      <c r="Q48" s="8"/>
      <c r="R48" s="21">
        <v>12</v>
      </c>
      <c r="S48" s="8" t="b">
        <v>0</v>
      </c>
      <c r="T48" s="8"/>
      <c r="U48" s="8" t="s">
        <v>392</v>
      </c>
      <c r="V48" s="8" t="s">
        <v>218</v>
      </c>
    </row>
    <row r="49" spans="1:22" ht="21.75" customHeight="1" x14ac:dyDescent="0.25">
      <c r="A49" s="6" t="s">
        <v>32</v>
      </c>
      <c r="B49" s="10" t="s">
        <v>656</v>
      </c>
      <c r="C49" s="11" t="s">
        <v>661</v>
      </c>
      <c r="D49" s="11" t="s">
        <v>387</v>
      </c>
      <c r="E49" s="11" t="s">
        <v>388</v>
      </c>
      <c r="F49" s="11" t="s">
        <v>35</v>
      </c>
      <c r="G49" s="11"/>
      <c r="H49" s="11"/>
      <c r="I49" s="11"/>
      <c r="J49" s="11"/>
      <c r="K49" s="11" t="s">
        <v>390</v>
      </c>
      <c r="L49" s="11"/>
      <c r="M49" s="11"/>
      <c r="N49" s="11"/>
      <c r="O49" s="10"/>
      <c r="P49" s="11" t="s">
        <v>497</v>
      </c>
      <c r="Q49" s="11"/>
      <c r="R49" s="20">
        <v>0</v>
      </c>
      <c r="S49" s="11" t="b">
        <v>0</v>
      </c>
      <c r="T49" s="11"/>
      <c r="U49" s="11" t="s">
        <v>392</v>
      </c>
      <c r="V49" s="11" t="s">
        <v>218</v>
      </c>
    </row>
    <row r="50" spans="1:22" ht="21.75" customHeight="1" x14ac:dyDescent="0.25">
      <c r="A50" s="6" t="s">
        <v>32</v>
      </c>
      <c r="B50" s="7" t="s">
        <v>656</v>
      </c>
      <c r="C50" s="8" t="s">
        <v>498</v>
      </c>
      <c r="D50" s="8" t="s">
        <v>387</v>
      </c>
      <c r="E50" s="8" t="s">
        <v>388</v>
      </c>
      <c r="F50" s="8" t="s">
        <v>35</v>
      </c>
      <c r="G50" s="8"/>
      <c r="H50" s="8"/>
      <c r="I50" s="8"/>
      <c r="J50" s="8"/>
      <c r="K50" s="8" t="s">
        <v>390</v>
      </c>
      <c r="L50" s="8"/>
      <c r="M50" s="8"/>
      <c r="N50" s="8"/>
      <c r="O50" s="7"/>
      <c r="P50" s="8" t="s">
        <v>499</v>
      </c>
      <c r="Q50" s="8"/>
      <c r="R50" s="21">
        <v>1</v>
      </c>
      <c r="S50" s="8" t="b">
        <v>0</v>
      </c>
      <c r="T50" s="8"/>
      <c r="U50" s="8" t="s">
        <v>392</v>
      </c>
      <c r="V50" s="8" t="s">
        <v>218</v>
      </c>
    </row>
    <row r="51" spans="1:22" ht="21.75" customHeight="1" x14ac:dyDescent="0.25">
      <c r="A51" s="6" t="s">
        <v>32</v>
      </c>
      <c r="B51" s="10" t="s">
        <v>656</v>
      </c>
      <c r="C51" s="11" t="s">
        <v>446</v>
      </c>
      <c r="D51" s="11" t="s">
        <v>394</v>
      </c>
      <c r="E51" s="11" t="s">
        <v>388</v>
      </c>
      <c r="F51" s="11" t="s">
        <v>473</v>
      </c>
      <c r="G51" s="11"/>
      <c r="H51" s="11"/>
      <c r="I51" s="11"/>
      <c r="J51" s="11"/>
      <c r="K51" s="11" t="s">
        <v>390</v>
      </c>
      <c r="L51" s="11"/>
      <c r="M51" s="11"/>
      <c r="N51" s="11"/>
      <c r="O51" s="10"/>
      <c r="P51" s="11" t="s">
        <v>500</v>
      </c>
      <c r="Q51" s="11"/>
      <c r="R51" s="20">
        <v>3</v>
      </c>
      <c r="S51" s="11" t="b">
        <v>0</v>
      </c>
      <c r="T51" s="11"/>
      <c r="U51" s="11" t="s">
        <v>392</v>
      </c>
      <c r="V51" s="11" t="s">
        <v>218</v>
      </c>
    </row>
    <row r="52" spans="1:22" ht="15" customHeight="1" x14ac:dyDescent="0.25">
      <c r="A52" s="6" t="s">
        <v>36</v>
      </c>
      <c r="B52" s="7" t="s">
        <v>37</v>
      </c>
      <c r="C52" s="8" t="s">
        <v>501</v>
      </c>
      <c r="D52" s="8" t="s">
        <v>394</v>
      </c>
      <c r="E52" s="8" t="s">
        <v>388</v>
      </c>
      <c r="F52" s="8" t="s">
        <v>41</v>
      </c>
      <c r="G52" s="22">
        <v>46158</v>
      </c>
      <c r="H52" s="22">
        <v>46173</v>
      </c>
      <c r="I52" s="8"/>
      <c r="J52" s="8"/>
      <c r="K52" s="8" t="s">
        <v>403</v>
      </c>
      <c r="L52" s="8"/>
      <c r="M52" s="8"/>
      <c r="N52" s="8"/>
      <c r="O52" s="7"/>
      <c r="P52" s="8" t="s">
        <v>502</v>
      </c>
      <c r="Q52" s="8"/>
      <c r="R52" s="21">
        <v>1</v>
      </c>
      <c r="S52" s="8" t="b">
        <v>0</v>
      </c>
      <c r="T52" s="8"/>
      <c r="U52" s="8" t="s">
        <v>392</v>
      </c>
      <c r="V52" s="8" t="s">
        <v>218</v>
      </c>
    </row>
    <row r="53" spans="1:22" ht="15" customHeight="1" x14ac:dyDescent="0.25">
      <c r="A53" s="6" t="s">
        <v>36</v>
      </c>
      <c r="B53" s="10" t="s">
        <v>37</v>
      </c>
      <c r="C53" s="11" t="s">
        <v>503</v>
      </c>
      <c r="D53" s="11" t="s">
        <v>394</v>
      </c>
      <c r="E53" s="11" t="s">
        <v>388</v>
      </c>
      <c r="F53" s="11" t="s">
        <v>41</v>
      </c>
      <c r="G53" s="23">
        <v>46143</v>
      </c>
      <c r="H53" s="23">
        <v>46178</v>
      </c>
      <c r="I53" s="11"/>
      <c r="J53" s="11"/>
      <c r="K53" s="11" t="s">
        <v>403</v>
      </c>
      <c r="L53" s="11"/>
      <c r="M53" s="11" t="s">
        <v>501</v>
      </c>
      <c r="N53" s="11"/>
      <c r="O53" s="10"/>
      <c r="P53" s="11" t="s">
        <v>504</v>
      </c>
      <c r="Q53" s="11" t="s">
        <v>502</v>
      </c>
      <c r="R53" s="20">
        <v>0</v>
      </c>
      <c r="S53" s="11" t="b">
        <v>0</v>
      </c>
      <c r="T53" s="11"/>
      <c r="U53" s="11" t="s">
        <v>392</v>
      </c>
      <c r="V53" s="11" t="s">
        <v>218</v>
      </c>
    </row>
    <row r="54" spans="1:22" ht="15" customHeight="1" x14ac:dyDescent="0.25">
      <c r="A54" s="6" t="s">
        <v>36</v>
      </c>
      <c r="B54" s="7" t="s">
        <v>37</v>
      </c>
      <c r="C54" s="8" t="s">
        <v>505</v>
      </c>
      <c r="D54" s="8" t="s">
        <v>394</v>
      </c>
      <c r="E54" s="8" t="s">
        <v>388</v>
      </c>
      <c r="F54" s="8" t="s">
        <v>40</v>
      </c>
      <c r="G54" s="8"/>
      <c r="H54" s="22">
        <v>46203</v>
      </c>
      <c r="I54" s="8"/>
      <c r="J54" s="8"/>
      <c r="K54" s="8" t="s">
        <v>406</v>
      </c>
      <c r="L54" s="8"/>
      <c r="M54" s="8"/>
      <c r="N54" s="8"/>
      <c r="O54" s="7"/>
      <c r="P54" s="8" t="s">
        <v>506</v>
      </c>
      <c r="Q54" s="8"/>
      <c r="R54" s="21">
        <v>9</v>
      </c>
      <c r="S54" s="8" t="b">
        <v>0</v>
      </c>
      <c r="T54" s="8"/>
      <c r="U54" s="8" t="s">
        <v>392</v>
      </c>
      <c r="V54" s="8" t="s">
        <v>218</v>
      </c>
    </row>
    <row r="55" spans="1:22" ht="15" customHeight="1" x14ac:dyDescent="0.25">
      <c r="A55" s="6" t="s">
        <v>36</v>
      </c>
      <c r="B55" s="10" t="s">
        <v>37</v>
      </c>
      <c r="C55" s="11" t="s">
        <v>507</v>
      </c>
      <c r="D55" s="11" t="s">
        <v>394</v>
      </c>
      <c r="E55" s="11" t="s">
        <v>388</v>
      </c>
      <c r="F55" s="11" t="s">
        <v>40</v>
      </c>
      <c r="G55" s="23">
        <v>46174</v>
      </c>
      <c r="H55" s="23">
        <v>46295</v>
      </c>
      <c r="I55" s="11"/>
      <c r="J55" s="11"/>
      <c r="K55" s="11" t="s">
        <v>406</v>
      </c>
      <c r="L55" s="11"/>
      <c r="M55" s="11"/>
      <c r="N55" s="11"/>
      <c r="O55" s="10"/>
      <c r="P55" s="11" t="s">
        <v>508</v>
      </c>
      <c r="Q55" s="11"/>
      <c r="R55" s="20">
        <v>2</v>
      </c>
      <c r="S55" s="11" t="b">
        <v>0</v>
      </c>
      <c r="T55" s="11"/>
      <c r="U55" s="11" t="s">
        <v>392</v>
      </c>
      <c r="V55" s="11" t="s">
        <v>218</v>
      </c>
    </row>
    <row r="56" spans="1:22" ht="15" customHeight="1" x14ac:dyDescent="0.25">
      <c r="A56" s="6" t="s">
        <v>36</v>
      </c>
      <c r="B56" s="7" t="s">
        <v>37</v>
      </c>
      <c r="C56" s="8" t="s">
        <v>509</v>
      </c>
      <c r="D56" s="8" t="s">
        <v>394</v>
      </c>
      <c r="E56" s="8" t="s">
        <v>388</v>
      </c>
      <c r="F56" s="8" t="s">
        <v>40</v>
      </c>
      <c r="G56" s="22">
        <v>46327</v>
      </c>
      <c r="H56" s="22">
        <v>46371</v>
      </c>
      <c r="I56" s="8"/>
      <c r="J56" s="8"/>
      <c r="K56" s="8" t="s">
        <v>406</v>
      </c>
      <c r="L56" s="8"/>
      <c r="M56" s="8"/>
      <c r="N56" s="8"/>
      <c r="O56" s="7"/>
      <c r="P56" s="8" t="s">
        <v>510</v>
      </c>
      <c r="Q56" s="8"/>
      <c r="R56" s="21">
        <v>6</v>
      </c>
      <c r="S56" s="8" t="b">
        <v>0</v>
      </c>
      <c r="T56" s="8"/>
      <c r="U56" s="8" t="s">
        <v>392</v>
      </c>
      <c r="V56" s="8" t="s">
        <v>218</v>
      </c>
    </row>
    <row r="57" spans="1:22" ht="15" customHeight="1" x14ac:dyDescent="0.25">
      <c r="A57" s="6" t="s">
        <v>36</v>
      </c>
      <c r="B57" s="10" t="s">
        <v>37</v>
      </c>
      <c r="C57" s="11" t="s">
        <v>511</v>
      </c>
      <c r="D57" s="11" t="s">
        <v>394</v>
      </c>
      <c r="E57" s="11" t="s">
        <v>388</v>
      </c>
      <c r="F57" s="11" t="s">
        <v>40</v>
      </c>
      <c r="G57" s="23">
        <v>46189</v>
      </c>
      <c r="H57" s="23">
        <v>46387</v>
      </c>
      <c r="I57" s="11"/>
      <c r="J57" s="11"/>
      <c r="K57" s="11" t="s">
        <v>406</v>
      </c>
      <c r="L57" s="11"/>
      <c r="M57" s="11"/>
      <c r="N57" s="11"/>
      <c r="O57" s="10"/>
      <c r="P57" s="11" t="s">
        <v>512</v>
      </c>
      <c r="Q57" s="11"/>
      <c r="R57" s="20">
        <v>3</v>
      </c>
      <c r="S57" s="11" t="b">
        <v>0</v>
      </c>
      <c r="T57" s="11"/>
      <c r="U57" s="11" t="s">
        <v>392</v>
      </c>
      <c r="V57" s="11" t="s">
        <v>218</v>
      </c>
    </row>
    <row r="58" spans="1:22" ht="15" customHeight="1" x14ac:dyDescent="0.25">
      <c r="A58" s="6" t="s">
        <v>36</v>
      </c>
      <c r="B58" s="7" t="s">
        <v>37</v>
      </c>
      <c r="C58" s="8" t="s">
        <v>513</v>
      </c>
      <c r="D58" s="8" t="s">
        <v>394</v>
      </c>
      <c r="E58" s="8" t="s">
        <v>388</v>
      </c>
      <c r="F58" s="8" t="s">
        <v>40</v>
      </c>
      <c r="G58" s="22">
        <v>46372</v>
      </c>
      <c r="H58" s="22">
        <v>46418</v>
      </c>
      <c r="I58" s="8"/>
      <c r="J58" s="8"/>
      <c r="K58" s="8" t="s">
        <v>406</v>
      </c>
      <c r="L58" s="8"/>
      <c r="M58" s="8"/>
      <c r="N58" s="8"/>
      <c r="O58" s="7"/>
      <c r="P58" s="8" t="s">
        <v>514</v>
      </c>
      <c r="Q58" s="8"/>
      <c r="R58" s="21">
        <v>7</v>
      </c>
      <c r="S58" s="8" t="b">
        <v>0</v>
      </c>
      <c r="T58" s="8"/>
      <c r="U58" s="8" t="s">
        <v>392</v>
      </c>
      <c r="V58" s="8" t="s">
        <v>218</v>
      </c>
    </row>
    <row r="59" spans="1:22" ht="15" customHeight="1" x14ac:dyDescent="0.25">
      <c r="A59" s="6" t="s">
        <v>36</v>
      </c>
      <c r="B59" s="10" t="s">
        <v>37</v>
      </c>
      <c r="C59" s="11" t="s">
        <v>515</v>
      </c>
      <c r="D59" s="11" t="s">
        <v>394</v>
      </c>
      <c r="E59" s="11" t="s">
        <v>388</v>
      </c>
      <c r="F59" s="11" t="s">
        <v>40</v>
      </c>
      <c r="G59" s="23">
        <v>46388</v>
      </c>
      <c r="H59" s="23">
        <v>46477</v>
      </c>
      <c r="I59" s="11"/>
      <c r="J59" s="11"/>
      <c r="K59" s="11" t="s">
        <v>406</v>
      </c>
      <c r="L59" s="11"/>
      <c r="M59" s="11"/>
      <c r="N59" s="11"/>
      <c r="O59" s="10"/>
      <c r="P59" s="11" t="s">
        <v>516</v>
      </c>
      <c r="Q59" s="11"/>
      <c r="R59" s="20">
        <v>8</v>
      </c>
      <c r="S59" s="11" t="b">
        <v>0</v>
      </c>
      <c r="T59" s="11"/>
      <c r="U59" s="11" t="s">
        <v>392</v>
      </c>
      <c r="V59" s="11" t="s">
        <v>218</v>
      </c>
    </row>
    <row r="60" spans="1:22" ht="15" customHeight="1" x14ac:dyDescent="0.25">
      <c r="A60" s="6" t="s">
        <v>36</v>
      </c>
      <c r="B60" s="7" t="s">
        <v>37</v>
      </c>
      <c r="C60" s="8" t="s">
        <v>517</v>
      </c>
      <c r="D60" s="8" t="s">
        <v>394</v>
      </c>
      <c r="E60" s="8" t="s">
        <v>388</v>
      </c>
      <c r="F60" s="8" t="s">
        <v>40</v>
      </c>
      <c r="G60" s="22">
        <v>46082</v>
      </c>
      <c r="H60" s="22">
        <v>46477</v>
      </c>
      <c r="I60" s="8"/>
      <c r="J60" s="8"/>
      <c r="K60" s="8" t="s">
        <v>406</v>
      </c>
      <c r="L60" s="8"/>
      <c r="M60" s="8"/>
      <c r="N60" s="8"/>
      <c r="O60" s="7"/>
      <c r="P60" s="8" t="s">
        <v>518</v>
      </c>
      <c r="Q60" s="8"/>
      <c r="R60" s="21">
        <v>5</v>
      </c>
      <c r="S60" s="8" t="b">
        <v>0</v>
      </c>
      <c r="T60" s="8"/>
      <c r="U60" s="8" t="s">
        <v>392</v>
      </c>
      <c r="V60" s="8" t="s">
        <v>218</v>
      </c>
    </row>
    <row r="61" spans="1:22" ht="15" customHeight="1" x14ac:dyDescent="0.25">
      <c r="A61" s="6" t="s">
        <v>36</v>
      </c>
      <c r="B61" s="10" t="s">
        <v>37</v>
      </c>
      <c r="C61" s="11" t="s">
        <v>519</v>
      </c>
      <c r="D61" s="11" t="s">
        <v>394</v>
      </c>
      <c r="E61" s="11" t="s">
        <v>388</v>
      </c>
      <c r="F61" s="11" t="s">
        <v>40</v>
      </c>
      <c r="G61" s="23">
        <v>46661</v>
      </c>
      <c r="H61" s="23">
        <v>46752</v>
      </c>
      <c r="I61" s="11"/>
      <c r="J61" s="11"/>
      <c r="K61" s="11" t="s">
        <v>406</v>
      </c>
      <c r="L61" s="11"/>
      <c r="M61" s="11"/>
      <c r="N61" s="11"/>
      <c r="O61" s="10"/>
      <c r="P61" s="11" t="s">
        <v>520</v>
      </c>
      <c r="Q61" s="11"/>
      <c r="R61" s="20">
        <v>10</v>
      </c>
      <c r="S61" s="11" t="b">
        <v>0</v>
      </c>
      <c r="T61" s="11"/>
      <c r="U61" s="11" t="s">
        <v>392</v>
      </c>
      <c r="V61" s="11" t="s">
        <v>218</v>
      </c>
    </row>
    <row r="62" spans="1:22" ht="21.75" customHeight="1" x14ac:dyDescent="0.25">
      <c r="A62" s="6" t="s">
        <v>42</v>
      </c>
      <c r="B62" s="7" t="s">
        <v>655</v>
      </c>
      <c r="C62" s="8" t="s">
        <v>521</v>
      </c>
      <c r="D62" s="8" t="s">
        <v>394</v>
      </c>
      <c r="E62" s="8" t="s">
        <v>388</v>
      </c>
      <c r="F62" s="8" t="s">
        <v>35</v>
      </c>
      <c r="G62" s="22">
        <v>46143</v>
      </c>
      <c r="H62" s="22">
        <v>46173</v>
      </c>
      <c r="I62" s="8"/>
      <c r="J62" s="8"/>
      <c r="K62" s="8" t="s">
        <v>403</v>
      </c>
      <c r="L62" s="8"/>
      <c r="M62" s="8"/>
      <c r="N62" s="8"/>
      <c r="O62" s="7"/>
      <c r="P62" s="8" t="s">
        <v>522</v>
      </c>
      <c r="Q62" s="8"/>
      <c r="R62" s="21">
        <v>0</v>
      </c>
      <c r="S62" s="8" t="b">
        <v>0</v>
      </c>
      <c r="T62" s="8"/>
      <c r="U62" s="8" t="s">
        <v>392</v>
      </c>
      <c r="V62" s="8" t="s">
        <v>218</v>
      </c>
    </row>
    <row r="63" spans="1:22" ht="21.75" customHeight="1" x14ac:dyDescent="0.25">
      <c r="A63" s="6" t="s">
        <v>42</v>
      </c>
      <c r="B63" s="10" t="s">
        <v>655</v>
      </c>
      <c r="C63" s="11" t="s">
        <v>523</v>
      </c>
      <c r="D63" s="11" t="s">
        <v>394</v>
      </c>
      <c r="E63" s="11" t="s">
        <v>388</v>
      </c>
      <c r="F63" s="11" t="s">
        <v>35</v>
      </c>
      <c r="G63" s="23">
        <v>46174</v>
      </c>
      <c r="H63" s="23">
        <v>46203</v>
      </c>
      <c r="I63" s="11"/>
      <c r="J63" s="11"/>
      <c r="K63" s="11" t="s">
        <v>406</v>
      </c>
      <c r="L63" s="11"/>
      <c r="M63" s="11"/>
      <c r="N63" s="11"/>
      <c r="O63" s="10"/>
      <c r="P63" s="11" t="s">
        <v>524</v>
      </c>
      <c r="Q63" s="11"/>
      <c r="R63" s="20">
        <v>1</v>
      </c>
      <c r="S63" s="11" t="b">
        <v>0</v>
      </c>
      <c r="T63" s="11"/>
      <c r="U63" s="11" t="s">
        <v>392</v>
      </c>
      <c r="V63" s="11" t="s">
        <v>218</v>
      </c>
    </row>
    <row r="64" spans="1:22" ht="21.75" customHeight="1" x14ac:dyDescent="0.25">
      <c r="A64" s="6" t="s">
        <v>42</v>
      </c>
      <c r="B64" s="7" t="s">
        <v>655</v>
      </c>
      <c r="C64" s="8" t="s">
        <v>662</v>
      </c>
      <c r="D64" s="8" t="s">
        <v>394</v>
      </c>
      <c r="E64" s="8" t="s">
        <v>388</v>
      </c>
      <c r="F64" s="8" t="s">
        <v>35</v>
      </c>
      <c r="G64" s="22">
        <v>46204</v>
      </c>
      <c r="H64" s="22">
        <v>46234</v>
      </c>
      <c r="I64" s="8"/>
      <c r="J64" s="8"/>
      <c r="K64" s="8" t="s">
        <v>406</v>
      </c>
      <c r="L64" s="8"/>
      <c r="M64" s="8"/>
      <c r="N64" s="8"/>
      <c r="O64" s="7"/>
      <c r="P64" s="8" t="s">
        <v>525</v>
      </c>
      <c r="Q64" s="8"/>
      <c r="R64" s="21">
        <v>2</v>
      </c>
      <c r="S64" s="8" t="b">
        <v>0</v>
      </c>
      <c r="T64" s="8"/>
      <c r="U64" s="8" t="s">
        <v>392</v>
      </c>
      <c r="V64" s="8" t="s">
        <v>218</v>
      </c>
    </row>
    <row r="65" spans="1:22" ht="21.75" customHeight="1" x14ac:dyDescent="0.25">
      <c r="A65" s="6" t="s">
        <v>42</v>
      </c>
      <c r="B65" s="10" t="s">
        <v>655</v>
      </c>
      <c r="C65" s="11" t="s">
        <v>526</v>
      </c>
      <c r="D65" s="11" t="s">
        <v>394</v>
      </c>
      <c r="E65" s="11" t="s">
        <v>388</v>
      </c>
      <c r="F65" s="11" t="s">
        <v>35</v>
      </c>
      <c r="G65" s="23">
        <v>46204</v>
      </c>
      <c r="H65" s="23">
        <v>46234</v>
      </c>
      <c r="I65" s="11"/>
      <c r="J65" s="11"/>
      <c r="K65" s="11" t="s">
        <v>406</v>
      </c>
      <c r="L65" s="11"/>
      <c r="M65" s="11"/>
      <c r="N65" s="11"/>
      <c r="O65" s="10"/>
      <c r="P65" s="11" t="s">
        <v>527</v>
      </c>
      <c r="Q65" s="11"/>
      <c r="R65" s="20">
        <v>3</v>
      </c>
      <c r="S65" s="11" t="b">
        <v>0</v>
      </c>
      <c r="T65" s="11"/>
      <c r="U65" s="11" t="s">
        <v>392</v>
      </c>
      <c r="V65" s="11" t="s">
        <v>218</v>
      </c>
    </row>
    <row r="66" spans="1:22" ht="21.75" customHeight="1" x14ac:dyDescent="0.25">
      <c r="A66" s="6" t="s">
        <v>42</v>
      </c>
      <c r="B66" s="7" t="s">
        <v>655</v>
      </c>
      <c r="C66" s="8" t="s">
        <v>528</v>
      </c>
      <c r="D66" s="8" t="s">
        <v>394</v>
      </c>
      <c r="E66" s="8" t="s">
        <v>388</v>
      </c>
      <c r="F66" s="8" t="s">
        <v>35</v>
      </c>
      <c r="G66" s="22">
        <v>46235</v>
      </c>
      <c r="H66" s="22">
        <v>46265</v>
      </c>
      <c r="I66" s="8"/>
      <c r="J66" s="8"/>
      <c r="K66" s="8" t="s">
        <v>406</v>
      </c>
      <c r="L66" s="8"/>
      <c r="M66" s="8"/>
      <c r="N66" s="8"/>
      <c r="O66" s="7"/>
      <c r="P66" s="8" t="s">
        <v>529</v>
      </c>
      <c r="Q66" s="8"/>
      <c r="R66" s="21">
        <v>4</v>
      </c>
      <c r="S66" s="8" t="b">
        <v>0</v>
      </c>
      <c r="T66" s="8"/>
      <c r="U66" s="8" t="s">
        <v>392</v>
      </c>
      <c r="V66" s="8" t="s">
        <v>218</v>
      </c>
    </row>
    <row r="67" spans="1:22" ht="21.75" customHeight="1" x14ac:dyDescent="0.25">
      <c r="A67" s="6" t="s">
        <v>42</v>
      </c>
      <c r="B67" s="10" t="s">
        <v>655</v>
      </c>
      <c r="C67" s="11" t="s">
        <v>530</v>
      </c>
      <c r="D67" s="11" t="s">
        <v>394</v>
      </c>
      <c r="E67" s="11" t="s">
        <v>388</v>
      </c>
      <c r="F67" s="11" t="s">
        <v>35</v>
      </c>
      <c r="G67" s="23">
        <v>46266</v>
      </c>
      <c r="H67" s="23">
        <v>46326</v>
      </c>
      <c r="I67" s="11"/>
      <c r="J67" s="11"/>
      <c r="K67" s="11" t="s">
        <v>406</v>
      </c>
      <c r="L67" s="11"/>
      <c r="M67" s="11"/>
      <c r="N67" s="11"/>
      <c r="O67" s="10"/>
      <c r="P67" s="11" t="s">
        <v>531</v>
      </c>
      <c r="Q67" s="11"/>
      <c r="R67" s="20">
        <v>5</v>
      </c>
      <c r="S67" s="11" t="b">
        <v>0</v>
      </c>
      <c r="T67" s="11"/>
      <c r="U67" s="11" t="s">
        <v>392</v>
      </c>
      <c r="V67" s="11" t="s">
        <v>218</v>
      </c>
    </row>
    <row r="68" spans="1:22" ht="21.75" customHeight="1" x14ac:dyDescent="0.25">
      <c r="A68" s="6" t="s">
        <v>42</v>
      </c>
      <c r="B68" s="7" t="s">
        <v>655</v>
      </c>
      <c r="C68" s="8" t="s">
        <v>532</v>
      </c>
      <c r="D68" s="8" t="s">
        <v>394</v>
      </c>
      <c r="E68" s="8" t="s">
        <v>388</v>
      </c>
      <c r="F68" s="8" t="s">
        <v>35</v>
      </c>
      <c r="G68" s="22">
        <v>46327</v>
      </c>
      <c r="H68" s="22">
        <v>46387</v>
      </c>
      <c r="I68" s="8"/>
      <c r="J68" s="8"/>
      <c r="K68" s="8" t="s">
        <v>406</v>
      </c>
      <c r="L68" s="8"/>
      <c r="M68" s="8"/>
      <c r="N68" s="8"/>
      <c r="O68" s="7"/>
      <c r="P68" s="8" t="s">
        <v>533</v>
      </c>
      <c r="Q68" s="8"/>
      <c r="R68" s="21">
        <v>6</v>
      </c>
      <c r="S68" s="8" t="b">
        <v>0</v>
      </c>
      <c r="T68" s="8"/>
      <c r="U68" s="8" t="s">
        <v>392</v>
      </c>
      <c r="V68" s="8" t="s">
        <v>218</v>
      </c>
    </row>
    <row r="69" spans="1:22" ht="21.75" customHeight="1" x14ac:dyDescent="0.25">
      <c r="A69" s="6" t="s">
        <v>42</v>
      </c>
      <c r="B69" s="10" t="s">
        <v>655</v>
      </c>
      <c r="C69" s="11" t="s">
        <v>534</v>
      </c>
      <c r="D69" s="11" t="s">
        <v>394</v>
      </c>
      <c r="E69" s="11" t="s">
        <v>388</v>
      </c>
      <c r="F69" s="11" t="s">
        <v>35</v>
      </c>
      <c r="G69" s="23">
        <v>46388</v>
      </c>
      <c r="H69" s="11"/>
      <c r="I69" s="11"/>
      <c r="J69" s="11"/>
      <c r="K69" s="11" t="s">
        <v>406</v>
      </c>
      <c r="L69" s="11"/>
      <c r="M69" s="11"/>
      <c r="N69" s="11"/>
      <c r="O69" s="10"/>
      <c r="P69" s="11" t="s">
        <v>535</v>
      </c>
      <c r="Q69" s="11"/>
      <c r="R69" s="20">
        <v>8</v>
      </c>
      <c r="S69" s="11" t="b">
        <v>0</v>
      </c>
      <c r="T69" s="11"/>
      <c r="U69" s="11" t="s">
        <v>392</v>
      </c>
      <c r="V69" s="11" t="s">
        <v>218</v>
      </c>
    </row>
    <row r="70" spans="1:22" ht="21.75" customHeight="1" x14ac:dyDescent="0.25">
      <c r="A70" s="6" t="s">
        <v>42</v>
      </c>
      <c r="B70" s="7" t="s">
        <v>655</v>
      </c>
      <c r="C70" s="8" t="s">
        <v>536</v>
      </c>
      <c r="D70" s="8" t="s">
        <v>394</v>
      </c>
      <c r="E70" s="8" t="s">
        <v>388</v>
      </c>
      <c r="F70" s="8" t="s">
        <v>35</v>
      </c>
      <c r="G70" s="22">
        <v>46388</v>
      </c>
      <c r="H70" s="8"/>
      <c r="I70" s="8"/>
      <c r="J70" s="8"/>
      <c r="K70" s="8" t="s">
        <v>406</v>
      </c>
      <c r="L70" s="8"/>
      <c r="M70" s="8"/>
      <c r="N70" s="8"/>
      <c r="O70" s="7"/>
      <c r="P70" s="8" t="s">
        <v>537</v>
      </c>
      <c r="Q70" s="8"/>
      <c r="R70" s="21">
        <v>7</v>
      </c>
      <c r="S70" s="8" t="b">
        <v>0</v>
      </c>
      <c r="T70" s="8"/>
      <c r="U70" s="8" t="s">
        <v>392</v>
      </c>
      <c r="V70" s="8" t="s">
        <v>218</v>
      </c>
    </row>
    <row r="71" spans="1:22" ht="21.75" customHeight="1" x14ac:dyDescent="0.25">
      <c r="A71" s="6" t="s">
        <v>42</v>
      </c>
      <c r="B71" s="10" t="s">
        <v>655</v>
      </c>
      <c r="C71" s="11" t="s">
        <v>538</v>
      </c>
      <c r="D71" s="11" t="s">
        <v>394</v>
      </c>
      <c r="E71" s="11" t="s">
        <v>388</v>
      </c>
      <c r="F71" s="11" t="s">
        <v>35</v>
      </c>
      <c r="G71" s="23">
        <v>46388</v>
      </c>
      <c r="H71" s="11"/>
      <c r="I71" s="11"/>
      <c r="J71" s="11"/>
      <c r="K71" s="11" t="s">
        <v>406</v>
      </c>
      <c r="L71" s="11"/>
      <c r="M71" s="11"/>
      <c r="N71" s="11"/>
      <c r="O71" s="10"/>
      <c r="P71" s="11" t="s">
        <v>539</v>
      </c>
      <c r="Q71" s="11"/>
      <c r="R71" s="20">
        <v>9</v>
      </c>
      <c r="S71" s="11" t="b">
        <v>0</v>
      </c>
      <c r="T71" s="11"/>
      <c r="U71" s="11" t="s">
        <v>392</v>
      </c>
      <c r="V71" s="11" t="s">
        <v>218</v>
      </c>
    </row>
    <row r="72" spans="1:22" ht="32.25" customHeight="1" x14ac:dyDescent="0.25">
      <c r="A72" s="6" t="s">
        <v>43</v>
      </c>
      <c r="B72" s="7" t="s">
        <v>44</v>
      </c>
      <c r="C72" s="8" t="s">
        <v>540</v>
      </c>
      <c r="D72" s="8" t="s">
        <v>541</v>
      </c>
      <c r="E72" s="8" t="s">
        <v>388</v>
      </c>
      <c r="F72" s="8"/>
      <c r="G72" s="8"/>
      <c r="H72" s="22">
        <v>46323</v>
      </c>
      <c r="I72" s="8"/>
      <c r="J72" s="8"/>
      <c r="K72" s="8" t="s">
        <v>406</v>
      </c>
      <c r="L72" s="8"/>
      <c r="M72" s="8"/>
      <c r="N72" s="8"/>
      <c r="O72" s="7"/>
      <c r="P72" s="8" t="s">
        <v>542</v>
      </c>
      <c r="Q72" s="8"/>
      <c r="R72" s="21">
        <v>2</v>
      </c>
      <c r="S72" s="8" t="b">
        <v>0</v>
      </c>
      <c r="T72" s="8"/>
      <c r="U72" s="8" t="s">
        <v>392</v>
      </c>
      <c r="V72" s="8" t="s">
        <v>218</v>
      </c>
    </row>
    <row r="73" spans="1:22" ht="32.25" customHeight="1" x14ac:dyDescent="0.25">
      <c r="A73" s="6" t="s">
        <v>43</v>
      </c>
      <c r="B73" s="10" t="s">
        <v>44</v>
      </c>
      <c r="C73" s="11" t="s">
        <v>543</v>
      </c>
      <c r="D73" s="11" t="s">
        <v>394</v>
      </c>
      <c r="E73" s="11" t="s">
        <v>388</v>
      </c>
      <c r="F73" s="11"/>
      <c r="G73" s="11"/>
      <c r="H73" s="11"/>
      <c r="I73" s="11"/>
      <c r="J73" s="11"/>
      <c r="K73" s="11" t="s">
        <v>406</v>
      </c>
      <c r="L73" s="11"/>
      <c r="M73" s="11"/>
      <c r="N73" s="11"/>
      <c r="O73" s="10"/>
      <c r="P73" s="11" t="s">
        <v>544</v>
      </c>
      <c r="Q73" s="11"/>
      <c r="R73" s="20">
        <v>17</v>
      </c>
      <c r="S73" s="11" t="b">
        <v>0</v>
      </c>
      <c r="T73" s="11"/>
      <c r="U73" s="11" t="s">
        <v>392</v>
      </c>
      <c r="V73" s="11" t="s">
        <v>218</v>
      </c>
    </row>
    <row r="74" spans="1:22" ht="32.25" customHeight="1" x14ac:dyDescent="0.25">
      <c r="A74" s="6" t="s">
        <v>43</v>
      </c>
      <c r="B74" s="7" t="s">
        <v>44</v>
      </c>
      <c r="C74" s="8" t="s">
        <v>545</v>
      </c>
      <c r="D74" s="8" t="s">
        <v>394</v>
      </c>
      <c r="E74" s="8" t="s">
        <v>388</v>
      </c>
      <c r="F74" s="8"/>
      <c r="G74" s="8"/>
      <c r="H74" s="8"/>
      <c r="I74" s="8"/>
      <c r="J74" s="8"/>
      <c r="K74" s="8" t="s">
        <v>406</v>
      </c>
      <c r="L74" s="8"/>
      <c r="M74" s="8"/>
      <c r="N74" s="8"/>
      <c r="O74" s="7"/>
      <c r="P74" s="8" t="s">
        <v>546</v>
      </c>
      <c r="Q74" s="8"/>
      <c r="R74" s="21">
        <v>19</v>
      </c>
      <c r="S74" s="8" t="b">
        <v>0</v>
      </c>
      <c r="T74" s="8"/>
      <c r="U74" s="8" t="s">
        <v>392</v>
      </c>
      <c r="V74" s="8" t="s">
        <v>218</v>
      </c>
    </row>
    <row r="75" spans="1:22" ht="32.25" customHeight="1" x14ac:dyDescent="0.25">
      <c r="A75" s="6" t="s">
        <v>43</v>
      </c>
      <c r="B75" s="10" t="s">
        <v>44</v>
      </c>
      <c r="C75" s="11" t="s">
        <v>547</v>
      </c>
      <c r="D75" s="11" t="s">
        <v>394</v>
      </c>
      <c r="E75" s="11" t="s">
        <v>388</v>
      </c>
      <c r="F75" s="11"/>
      <c r="G75" s="11"/>
      <c r="H75" s="11"/>
      <c r="I75" s="11"/>
      <c r="J75" s="11"/>
      <c r="K75" s="11" t="s">
        <v>406</v>
      </c>
      <c r="L75" s="11"/>
      <c r="M75" s="11"/>
      <c r="N75" s="11"/>
      <c r="O75" s="10"/>
      <c r="P75" s="11" t="s">
        <v>548</v>
      </c>
      <c r="Q75" s="11"/>
      <c r="R75" s="20">
        <v>14</v>
      </c>
      <c r="S75" s="11" t="b">
        <v>0</v>
      </c>
      <c r="T75" s="11"/>
      <c r="U75" s="11" t="s">
        <v>392</v>
      </c>
      <c r="V75" s="11" t="s">
        <v>218</v>
      </c>
    </row>
    <row r="76" spans="1:22" ht="32.25" customHeight="1" x14ac:dyDescent="0.25">
      <c r="A76" s="6" t="s">
        <v>43</v>
      </c>
      <c r="B76" s="7" t="s">
        <v>44</v>
      </c>
      <c r="C76" s="8" t="s">
        <v>549</v>
      </c>
      <c r="D76" s="8" t="s">
        <v>394</v>
      </c>
      <c r="E76" s="8" t="s">
        <v>388</v>
      </c>
      <c r="F76" s="8"/>
      <c r="G76" s="8"/>
      <c r="H76" s="8"/>
      <c r="I76" s="8"/>
      <c r="J76" s="8"/>
      <c r="K76" s="8" t="s">
        <v>406</v>
      </c>
      <c r="L76" s="8"/>
      <c r="M76" s="8"/>
      <c r="N76" s="8"/>
      <c r="O76" s="7"/>
      <c r="P76" s="8" t="s">
        <v>550</v>
      </c>
      <c r="Q76" s="8"/>
      <c r="R76" s="21">
        <v>13</v>
      </c>
      <c r="S76" s="8" t="b">
        <v>0</v>
      </c>
      <c r="T76" s="8"/>
      <c r="U76" s="8" t="s">
        <v>392</v>
      </c>
      <c r="V76" s="8" t="s">
        <v>218</v>
      </c>
    </row>
    <row r="77" spans="1:22" ht="32.25" customHeight="1" x14ac:dyDescent="0.25">
      <c r="A77" s="6" t="s">
        <v>43</v>
      </c>
      <c r="B77" s="10" t="s">
        <v>44</v>
      </c>
      <c r="C77" s="11" t="s">
        <v>551</v>
      </c>
      <c r="D77" s="11" t="s">
        <v>394</v>
      </c>
      <c r="E77" s="11" t="s">
        <v>388</v>
      </c>
      <c r="F77" s="11"/>
      <c r="G77" s="11"/>
      <c r="H77" s="11"/>
      <c r="I77" s="11"/>
      <c r="J77" s="11"/>
      <c r="K77" s="11" t="s">
        <v>406</v>
      </c>
      <c r="L77" s="11"/>
      <c r="M77" s="11"/>
      <c r="N77" s="11"/>
      <c r="O77" s="10"/>
      <c r="P77" s="11" t="s">
        <v>552</v>
      </c>
      <c r="Q77" s="11"/>
      <c r="R77" s="20">
        <v>9</v>
      </c>
      <c r="S77" s="11" t="b">
        <v>0</v>
      </c>
      <c r="T77" s="11"/>
      <c r="U77" s="11" t="s">
        <v>392</v>
      </c>
      <c r="V77" s="11" t="s">
        <v>218</v>
      </c>
    </row>
    <row r="78" spans="1:22" ht="32.25" customHeight="1" x14ac:dyDescent="0.25">
      <c r="A78" s="6" t="s">
        <v>43</v>
      </c>
      <c r="B78" s="7" t="s">
        <v>44</v>
      </c>
      <c r="C78" s="8" t="s">
        <v>553</v>
      </c>
      <c r="D78" s="8" t="s">
        <v>394</v>
      </c>
      <c r="E78" s="8" t="s">
        <v>388</v>
      </c>
      <c r="F78" s="8"/>
      <c r="G78" s="8"/>
      <c r="H78" s="8"/>
      <c r="I78" s="8"/>
      <c r="J78" s="8"/>
      <c r="K78" s="8" t="s">
        <v>406</v>
      </c>
      <c r="L78" s="8"/>
      <c r="M78" s="8"/>
      <c r="N78" s="8"/>
      <c r="O78" s="7"/>
      <c r="P78" s="8" t="s">
        <v>554</v>
      </c>
      <c r="Q78" s="8"/>
      <c r="R78" s="21">
        <v>7</v>
      </c>
      <c r="S78" s="8" t="b">
        <v>0</v>
      </c>
      <c r="T78" s="8"/>
      <c r="U78" s="8" t="s">
        <v>392</v>
      </c>
      <c r="V78" s="8" t="s">
        <v>218</v>
      </c>
    </row>
    <row r="79" spans="1:22" ht="32.25" customHeight="1" x14ac:dyDescent="0.25">
      <c r="A79" s="6" t="s">
        <v>43</v>
      </c>
      <c r="B79" s="10" t="s">
        <v>44</v>
      </c>
      <c r="C79" s="11" t="s">
        <v>555</v>
      </c>
      <c r="D79" s="11" t="s">
        <v>394</v>
      </c>
      <c r="E79" s="11" t="s">
        <v>388</v>
      </c>
      <c r="F79" s="11"/>
      <c r="G79" s="11"/>
      <c r="H79" s="11"/>
      <c r="I79" s="11"/>
      <c r="J79" s="11"/>
      <c r="K79" s="11" t="s">
        <v>406</v>
      </c>
      <c r="L79" s="11"/>
      <c r="M79" s="11"/>
      <c r="N79" s="11"/>
      <c r="O79" s="10"/>
      <c r="P79" s="11" t="s">
        <v>556</v>
      </c>
      <c r="Q79" s="11"/>
      <c r="R79" s="20">
        <v>12</v>
      </c>
      <c r="S79" s="11" t="b">
        <v>0</v>
      </c>
      <c r="T79" s="11"/>
      <c r="U79" s="11" t="s">
        <v>392</v>
      </c>
      <c r="V79" s="11" t="s">
        <v>218</v>
      </c>
    </row>
    <row r="80" spans="1:22" ht="32.25" customHeight="1" x14ac:dyDescent="0.25">
      <c r="A80" s="6" t="s">
        <v>43</v>
      </c>
      <c r="B80" s="7" t="s">
        <v>44</v>
      </c>
      <c r="C80" s="8" t="s">
        <v>551</v>
      </c>
      <c r="D80" s="8" t="s">
        <v>394</v>
      </c>
      <c r="E80" s="8" t="s">
        <v>388</v>
      </c>
      <c r="F80" s="8"/>
      <c r="G80" s="8"/>
      <c r="H80" s="8"/>
      <c r="I80" s="8"/>
      <c r="J80" s="8"/>
      <c r="K80" s="8" t="s">
        <v>406</v>
      </c>
      <c r="L80" s="8"/>
      <c r="M80" s="8"/>
      <c r="N80" s="8"/>
      <c r="O80" s="7"/>
      <c r="P80" s="8" t="s">
        <v>557</v>
      </c>
      <c r="Q80" s="8"/>
      <c r="R80" s="21">
        <v>10</v>
      </c>
      <c r="S80" s="8" t="b">
        <v>0</v>
      </c>
      <c r="T80" s="8"/>
      <c r="U80" s="8" t="s">
        <v>392</v>
      </c>
      <c r="V80" s="8" t="s">
        <v>218</v>
      </c>
    </row>
    <row r="81" spans="1:22" ht="32.25" customHeight="1" x14ac:dyDescent="0.25">
      <c r="A81" s="6" t="s">
        <v>43</v>
      </c>
      <c r="B81" s="10" t="s">
        <v>44</v>
      </c>
      <c r="C81" s="11" t="s">
        <v>558</v>
      </c>
      <c r="D81" s="11" t="s">
        <v>394</v>
      </c>
      <c r="E81" s="11" t="s">
        <v>388</v>
      </c>
      <c r="F81" s="11"/>
      <c r="G81" s="11"/>
      <c r="H81" s="11"/>
      <c r="I81" s="11"/>
      <c r="J81" s="11"/>
      <c r="K81" s="11" t="s">
        <v>406</v>
      </c>
      <c r="L81" s="11"/>
      <c r="M81" s="11"/>
      <c r="N81" s="11"/>
      <c r="O81" s="10"/>
      <c r="P81" s="11" t="s">
        <v>559</v>
      </c>
      <c r="Q81" s="11"/>
      <c r="R81" s="20">
        <v>3</v>
      </c>
      <c r="S81" s="11" t="b">
        <v>0</v>
      </c>
      <c r="T81" s="11"/>
      <c r="U81" s="11" t="s">
        <v>392</v>
      </c>
      <c r="V81" s="11" t="s">
        <v>218</v>
      </c>
    </row>
    <row r="82" spans="1:22" ht="32.25" customHeight="1" x14ac:dyDescent="0.25">
      <c r="A82" s="6" t="s">
        <v>43</v>
      </c>
      <c r="B82" s="7" t="s">
        <v>44</v>
      </c>
      <c r="C82" s="8" t="s">
        <v>560</v>
      </c>
      <c r="D82" s="8" t="s">
        <v>394</v>
      </c>
      <c r="E82" s="8" t="s">
        <v>388</v>
      </c>
      <c r="F82" s="8"/>
      <c r="G82" s="8"/>
      <c r="H82" s="8"/>
      <c r="I82" s="8"/>
      <c r="J82" s="8"/>
      <c r="K82" s="8" t="s">
        <v>406</v>
      </c>
      <c r="L82" s="8"/>
      <c r="M82" s="8"/>
      <c r="N82" s="8"/>
      <c r="O82" s="7"/>
      <c r="P82" s="8" t="s">
        <v>561</v>
      </c>
      <c r="Q82" s="8"/>
      <c r="R82" s="21">
        <v>8</v>
      </c>
      <c r="S82" s="8" t="b">
        <v>0</v>
      </c>
      <c r="T82" s="8"/>
      <c r="U82" s="8" t="s">
        <v>392</v>
      </c>
      <c r="V82" s="8" t="s">
        <v>218</v>
      </c>
    </row>
    <row r="83" spans="1:22" ht="32.25" customHeight="1" x14ac:dyDescent="0.25">
      <c r="A83" s="6" t="s">
        <v>43</v>
      </c>
      <c r="B83" s="10" t="s">
        <v>44</v>
      </c>
      <c r="C83" s="11" t="s">
        <v>562</v>
      </c>
      <c r="D83" s="11" t="s">
        <v>394</v>
      </c>
      <c r="E83" s="11" t="s">
        <v>388</v>
      </c>
      <c r="F83" s="11"/>
      <c r="G83" s="11"/>
      <c r="H83" s="11"/>
      <c r="I83" s="11"/>
      <c r="J83" s="11"/>
      <c r="K83" s="11" t="s">
        <v>406</v>
      </c>
      <c r="L83" s="11"/>
      <c r="M83" s="11"/>
      <c r="N83" s="11"/>
      <c r="O83" s="10"/>
      <c r="P83" s="11" t="s">
        <v>563</v>
      </c>
      <c r="Q83" s="11"/>
      <c r="R83" s="20">
        <v>4</v>
      </c>
      <c r="S83" s="11" t="b">
        <v>0</v>
      </c>
      <c r="T83" s="11"/>
      <c r="U83" s="11" t="s">
        <v>392</v>
      </c>
      <c r="V83" s="11" t="s">
        <v>218</v>
      </c>
    </row>
    <row r="84" spans="1:22" ht="32.25" customHeight="1" x14ac:dyDescent="0.25">
      <c r="A84" s="6" t="s">
        <v>43</v>
      </c>
      <c r="B84" s="7" t="s">
        <v>44</v>
      </c>
      <c r="C84" s="8" t="s">
        <v>564</v>
      </c>
      <c r="D84" s="8" t="s">
        <v>394</v>
      </c>
      <c r="E84" s="8" t="s">
        <v>388</v>
      </c>
      <c r="F84" s="8"/>
      <c r="G84" s="8"/>
      <c r="H84" s="8"/>
      <c r="I84" s="8"/>
      <c r="J84" s="8"/>
      <c r="K84" s="8" t="s">
        <v>406</v>
      </c>
      <c r="L84" s="8"/>
      <c r="M84" s="8"/>
      <c r="N84" s="8"/>
      <c r="O84" s="7"/>
      <c r="P84" s="8" t="s">
        <v>565</v>
      </c>
      <c r="Q84" s="8"/>
      <c r="R84" s="21">
        <v>5</v>
      </c>
      <c r="S84" s="8" t="b">
        <v>0</v>
      </c>
      <c r="T84" s="8"/>
      <c r="U84" s="8" t="s">
        <v>392</v>
      </c>
      <c r="V84" s="8" t="s">
        <v>218</v>
      </c>
    </row>
    <row r="85" spans="1:22" ht="32.25" customHeight="1" x14ac:dyDescent="0.25">
      <c r="A85" s="6" t="s">
        <v>43</v>
      </c>
      <c r="B85" s="10" t="s">
        <v>44</v>
      </c>
      <c r="C85" s="11" t="s">
        <v>566</v>
      </c>
      <c r="D85" s="11" t="s">
        <v>394</v>
      </c>
      <c r="E85" s="11" t="s">
        <v>388</v>
      </c>
      <c r="F85" s="11"/>
      <c r="G85" s="11"/>
      <c r="H85" s="11"/>
      <c r="I85" s="11"/>
      <c r="J85" s="11"/>
      <c r="K85" s="11" t="s">
        <v>406</v>
      </c>
      <c r="L85" s="11"/>
      <c r="M85" s="11"/>
      <c r="N85" s="11"/>
      <c r="O85" s="10"/>
      <c r="P85" s="11" t="s">
        <v>567</v>
      </c>
      <c r="Q85" s="11"/>
      <c r="R85" s="20">
        <v>11</v>
      </c>
      <c r="S85" s="11" t="b">
        <v>0</v>
      </c>
      <c r="T85" s="11"/>
      <c r="U85" s="11" t="s">
        <v>392</v>
      </c>
      <c r="V85" s="11" t="s">
        <v>218</v>
      </c>
    </row>
    <row r="86" spans="1:22" ht="32.25" customHeight="1" x14ac:dyDescent="0.25">
      <c r="A86" s="6" t="s">
        <v>43</v>
      </c>
      <c r="B86" s="7" t="s">
        <v>44</v>
      </c>
      <c r="C86" s="8" t="s">
        <v>568</v>
      </c>
      <c r="D86" s="8" t="s">
        <v>394</v>
      </c>
      <c r="E86" s="8" t="s">
        <v>388</v>
      </c>
      <c r="F86" s="8"/>
      <c r="G86" s="8"/>
      <c r="H86" s="8"/>
      <c r="I86" s="8"/>
      <c r="J86" s="8"/>
      <c r="K86" s="8" t="s">
        <v>406</v>
      </c>
      <c r="L86" s="8"/>
      <c r="M86" s="8"/>
      <c r="N86" s="8"/>
      <c r="O86" s="7"/>
      <c r="P86" s="8" t="s">
        <v>569</v>
      </c>
      <c r="Q86" s="8"/>
      <c r="R86" s="21">
        <v>6</v>
      </c>
      <c r="S86" s="8" t="b">
        <v>0</v>
      </c>
      <c r="T86" s="8"/>
      <c r="U86" s="8" t="s">
        <v>392</v>
      </c>
      <c r="V86" s="8" t="s">
        <v>218</v>
      </c>
    </row>
    <row r="87" spans="1:22" ht="32.25" customHeight="1" x14ac:dyDescent="0.25">
      <c r="A87" s="6" t="s">
        <v>43</v>
      </c>
      <c r="B87" s="10" t="s">
        <v>44</v>
      </c>
      <c r="C87" s="11" t="s">
        <v>570</v>
      </c>
      <c r="D87" s="11" t="s">
        <v>394</v>
      </c>
      <c r="E87" s="11" t="s">
        <v>388</v>
      </c>
      <c r="F87" s="11"/>
      <c r="G87" s="11"/>
      <c r="H87" s="11"/>
      <c r="I87" s="11"/>
      <c r="J87" s="11"/>
      <c r="K87" s="11" t="s">
        <v>406</v>
      </c>
      <c r="L87" s="11"/>
      <c r="M87" s="11"/>
      <c r="N87" s="11"/>
      <c r="O87" s="10"/>
      <c r="P87" s="11" t="s">
        <v>571</v>
      </c>
      <c r="Q87" s="11"/>
      <c r="R87" s="20">
        <v>15</v>
      </c>
      <c r="S87" s="11" t="b">
        <v>0</v>
      </c>
      <c r="T87" s="11"/>
      <c r="U87" s="11" t="s">
        <v>392</v>
      </c>
      <c r="V87" s="11" t="s">
        <v>218</v>
      </c>
    </row>
    <row r="88" spans="1:22" ht="32.25" customHeight="1" x14ac:dyDescent="0.25">
      <c r="A88" s="6" t="s">
        <v>43</v>
      </c>
      <c r="B88" s="7" t="s">
        <v>44</v>
      </c>
      <c r="C88" s="8" t="s">
        <v>572</v>
      </c>
      <c r="D88" s="8" t="s">
        <v>394</v>
      </c>
      <c r="E88" s="8" t="s">
        <v>388</v>
      </c>
      <c r="F88" s="8"/>
      <c r="G88" s="8"/>
      <c r="H88" s="8"/>
      <c r="I88" s="8"/>
      <c r="J88" s="8"/>
      <c r="K88" s="8" t="s">
        <v>406</v>
      </c>
      <c r="L88" s="8"/>
      <c r="M88" s="8"/>
      <c r="N88" s="8"/>
      <c r="O88" s="7"/>
      <c r="P88" s="8" t="s">
        <v>573</v>
      </c>
      <c r="Q88" s="8"/>
      <c r="R88" s="21">
        <v>18</v>
      </c>
      <c r="S88" s="8" t="b">
        <v>0</v>
      </c>
      <c r="T88" s="8"/>
      <c r="U88" s="8" t="s">
        <v>392</v>
      </c>
      <c r="V88" s="8" t="s">
        <v>218</v>
      </c>
    </row>
    <row r="89" spans="1:22" ht="32.25" customHeight="1" x14ac:dyDescent="0.25">
      <c r="A89" s="6" t="s">
        <v>43</v>
      </c>
      <c r="B89" s="10" t="s">
        <v>44</v>
      </c>
      <c r="C89" s="11" t="s">
        <v>574</v>
      </c>
      <c r="D89" s="11" t="s">
        <v>394</v>
      </c>
      <c r="E89" s="11" t="s">
        <v>388</v>
      </c>
      <c r="F89" s="11"/>
      <c r="G89" s="11"/>
      <c r="H89" s="11"/>
      <c r="I89" s="11"/>
      <c r="J89" s="11"/>
      <c r="K89" s="11" t="s">
        <v>406</v>
      </c>
      <c r="L89" s="11"/>
      <c r="M89" s="11"/>
      <c r="N89" s="11"/>
      <c r="O89" s="10"/>
      <c r="P89" s="11" t="s">
        <v>575</v>
      </c>
      <c r="Q89" s="11"/>
      <c r="R89" s="20">
        <v>16</v>
      </c>
      <c r="S89" s="11" t="b">
        <v>0</v>
      </c>
      <c r="T89" s="11"/>
      <c r="U89" s="11" t="s">
        <v>392</v>
      </c>
      <c r="V89" s="11" t="s">
        <v>218</v>
      </c>
    </row>
    <row r="90" spans="1:22" ht="24" x14ac:dyDescent="0.25">
      <c r="A90" s="6" t="s">
        <v>664</v>
      </c>
      <c r="B90" s="10" t="s">
        <v>663</v>
      </c>
      <c r="C90" s="11" t="s">
        <v>386</v>
      </c>
      <c r="D90" s="11" t="s">
        <v>387</v>
      </c>
      <c r="E90" s="11" t="s">
        <v>388</v>
      </c>
      <c r="F90" s="11" t="s">
        <v>477</v>
      </c>
      <c r="G90" s="23">
        <v>46104</v>
      </c>
      <c r="H90" s="23">
        <v>46115</v>
      </c>
      <c r="I90" s="11"/>
      <c r="J90" s="11"/>
      <c r="K90" s="11" t="s">
        <v>390</v>
      </c>
      <c r="L90" s="11"/>
      <c r="M90" s="11"/>
      <c r="N90" s="11"/>
      <c r="O90" s="10"/>
      <c r="P90" s="11" t="s">
        <v>846</v>
      </c>
      <c r="Q90" s="11"/>
      <c r="R90" s="20">
        <v>0</v>
      </c>
      <c r="S90" s="11" t="b">
        <v>0</v>
      </c>
      <c r="T90" s="11"/>
      <c r="U90" s="11" t="s">
        <v>392</v>
      </c>
      <c r="V90" s="11" t="s">
        <v>218</v>
      </c>
    </row>
    <row r="91" spans="1:22" ht="24" x14ac:dyDescent="0.25">
      <c r="A91" s="6" t="s">
        <v>664</v>
      </c>
      <c r="B91" s="7" t="s">
        <v>663</v>
      </c>
      <c r="C91" s="8" t="s">
        <v>393</v>
      </c>
      <c r="D91" s="8" t="s">
        <v>394</v>
      </c>
      <c r="E91" s="8" t="s">
        <v>388</v>
      </c>
      <c r="F91" s="8" t="s">
        <v>477</v>
      </c>
      <c r="G91" s="22">
        <v>46125</v>
      </c>
      <c r="H91" s="22">
        <v>46129</v>
      </c>
      <c r="I91" s="22">
        <v>46125</v>
      </c>
      <c r="J91" s="22">
        <v>46129</v>
      </c>
      <c r="K91" s="8" t="s">
        <v>390</v>
      </c>
      <c r="L91" s="8"/>
      <c r="M91" s="8"/>
      <c r="N91" s="8"/>
      <c r="O91" s="7"/>
      <c r="P91" s="8" t="s">
        <v>847</v>
      </c>
      <c r="Q91" s="8"/>
      <c r="R91" s="21">
        <v>2</v>
      </c>
      <c r="S91" s="8" t="b">
        <v>0</v>
      </c>
      <c r="T91" s="8"/>
      <c r="U91" s="8" t="s">
        <v>392</v>
      </c>
      <c r="V91" s="8" t="s">
        <v>218</v>
      </c>
    </row>
    <row r="92" spans="1:22" ht="24" x14ac:dyDescent="0.25">
      <c r="A92" s="6" t="s">
        <v>664</v>
      </c>
      <c r="B92" s="10" t="s">
        <v>663</v>
      </c>
      <c r="C92" s="11" t="s">
        <v>397</v>
      </c>
      <c r="D92" s="11" t="s">
        <v>394</v>
      </c>
      <c r="E92" s="11" t="s">
        <v>388</v>
      </c>
      <c r="F92" s="11" t="s">
        <v>477</v>
      </c>
      <c r="G92" s="23">
        <v>46132</v>
      </c>
      <c r="H92" s="23">
        <v>46136</v>
      </c>
      <c r="I92" s="23">
        <v>46132</v>
      </c>
      <c r="J92" s="23">
        <v>46136</v>
      </c>
      <c r="K92" s="11" t="s">
        <v>390</v>
      </c>
      <c r="L92" s="11"/>
      <c r="M92" s="11"/>
      <c r="N92" s="11"/>
      <c r="O92" s="10"/>
      <c r="P92" s="11" t="s">
        <v>848</v>
      </c>
      <c r="Q92" s="11"/>
      <c r="R92" s="20">
        <v>1</v>
      </c>
      <c r="S92" s="11" t="b">
        <v>0</v>
      </c>
      <c r="T92" s="11"/>
      <c r="U92" s="11" t="s">
        <v>392</v>
      </c>
      <c r="V92" s="11" t="s">
        <v>218</v>
      </c>
    </row>
    <row r="93" spans="1:22" ht="24" x14ac:dyDescent="0.25">
      <c r="A93" s="6" t="s">
        <v>664</v>
      </c>
      <c r="B93" s="7" t="s">
        <v>663</v>
      </c>
      <c r="C93" s="8" t="s">
        <v>399</v>
      </c>
      <c r="D93" s="8" t="s">
        <v>394</v>
      </c>
      <c r="E93" s="8" t="s">
        <v>388</v>
      </c>
      <c r="F93" s="8" t="s">
        <v>477</v>
      </c>
      <c r="G93" s="22">
        <v>46139</v>
      </c>
      <c r="H93" s="22">
        <v>46142</v>
      </c>
      <c r="I93" s="22">
        <v>46139</v>
      </c>
      <c r="J93" s="8"/>
      <c r="K93" s="8" t="s">
        <v>390</v>
      </c>
      <c r="L93" s="8"/>
      <c r="M93" s="8"/>
      <c r="N93" s="8"/>
      <c r="O93" s="7"/>
      <c r="P93" s="8" t="s">
        <v>849</v>
      </c>
      <c r="Q93" s="8"/>
      <c r="R93" s="21">
        <v>3</v>
      </c>
      <c r="S93" s="8" t="b">
        <v>0</v>
      </c>
      <c r="T93" s="8"/>
      <c r="U93" s="8" t="s">
        <v>392</v>
      </c>
      <c r="V93" s="8" t="s">
        <v>218</v>
      </c>
    </row>
    <row r="94" spans="1:22" ht="24" x14ac:dyDescent="0.25">
      <c r="A94" s="6" t="s">
        <v>664</v>
      </c>
      <c r="B94" s="10" t="s">
        <v>663</v>
      </c>
      <c r="C94" s="11" t="s">
        <v>402</v>
      </c>
      <c r="D94" s="11" t="s">
        <v>387</v>
      </c>
      <c r="E94" s="11" t="s">
        <v>388</v>
      </c>
      <c r="F94" s="11" t="s">
        <v>477</v>
      </c>
      <c r="G94" s="23">
        <v>46118</v>
      </c>
      <c r="H94" s="23">
        <v>46173</v>
      </c>
      <c r="I94" s="11"/>
      <c r="J94" s="11"/>
      <c r="K94" s="11" t="s">
        <v>403</v>
      </c>
      <c r="L94" s="11"/>
      <c r="M94" s="11"/>
      <c r="N94" s="11"/>
      <c r="O94" s="10"/>
      <c r="P94" s="11" t="s">
        <v>850</v>
      </c>
      <c r="Q94" s="11"/>
      <c r="R94" s="20">
        <v>4</v>
      </c>
      <c r="S94" s="11" t="b">
        <v>0</v>
      </c>
      <c r="T94" s="11"/>
      <c r="U94" s="11" t="s">
        <v>392</v>
      </c>
      <c r="V94" s="11" t="s">
        <v>218</v>
      </c>
    </row>
    <row r="95" spans="1:22" ht="24" x14ac:dyDescent="0.25">
      <c r="A95" s="6" t="s">
        <v>664</v>
      </c>
      <c r="B95" s="7" t="s">
        <v>663</v>
      </c>
      <c r="C95" s="8" t="s">
        <v>405</v>
      </c>
      <c r="D95" s="8" t="s">
        <v>387</v>
      </c>
      <c r="E95" s="8" t="s">
        <v>388</v>
      </c>
      <c r="F95" s="8" t="s">
        <v>477</v>
      </c>
      <c r="G95" s="22">
        <v>46143</v>
      </c>
      <c r="H95" s="22">
        <v>46173</v>
      </c>
      <c r="I95" s="8"/>
      <c r="J95" s="8"/>
      <c r="K95" s="8" t="s">
        <v>406</v>
      </c>
      <c r="L95" s="8"/>
      <c r="M95" s="8"/>
      <c r="N95" s="8"/>
      <c r="O95" s="7"/>
      <c r="P95" s="8" t="s">
        <v>851</v>
      </c>
      <c r="Q95" s="8"/>
      <c r="R95" s="21">
        <v>7</v>
      </c>
      <c r="S95" s="8" t="b">
        <v>0</v>
      </c>
      <c r="T95" s="8"/>
      <c r="U95" s="8" t="s">
        <v>392</v>
      </c>
      <c r="V95" s="8" t="s">
        <v>218</v>
      </c>
    </row>
    <row r="96" spans="1:22" ht="24" x14ac:dyDescent="0.25">
      <c r="A96" s="6" t="s">
        <v>664</v>
      </c>
      <c r="B96" s="10" t="s">
        <v>663</v>
      </c>
      <c r="C96" s="11" t="s">
        <v>408</v>
      </c>
      <c r="D96" s="11" t="s">
        <v>387</v>
      </c>
      <c r="E96" s="11" t="s">
        <v>388</v>
      </c>
      <c r="F96" s="11" t="s">
        <v>477</v>
      </c>
      <c r="G96" s="23">
        <v>46174</v>
      </c>
      <c r="H96" s="23">
        <v>46234</v>
      </c>
      <c r="I96" s="11"/>
      <c r="J96" s="11"/>
      <c r="K96" s="11" t="s">
        <v>406</v>
      </c>
      <c r="L96" s="11"/>
      <c r="M96" s="11"/>
      <c r="N96" s="11"/>
      <c r="O96" s="10"/>
      <c r="P96" s="11" t="s">
        <v>852</v>
      </c>
      <c r="Q96" s="11"/>
      <c r="R96" s="20">
        <v>5</v>
      </c>
      <c r="S96" s="11" t="b">
        <v>0</v>
      </c>
      <c r="T96" s="11"/>
      <c r="U96" s="11" t="s">
        <v>392</v>
      </c>
      <c r="V96" s="11" t="s">
        <v>218</v>
      </c>
    </row>
    <row r="97" spans="1:22" ht="24" x14ac:dyDescent="0.25">
      <c r="A97" s="6" t="s">
        <v>664</v>
      </c>
      <c r="B97" s="7" t="s">
        <v>663</v>
      </c>
      <c r="C97" s="8" t="s">
        <v>411</v>
      </c>
      <c r="D97" s="8" t="s">
        <v>387</v>
      </c>
      <c r="E97" s="8" t="s">
        <v>388</v>
      </c>
      <c r="F97" s="8" t="s">
        <v>477</v>
      </c>
      <c r="G97" s="22">
        <v>46235</v>
      </c>
      <c r="H97" s="22">
        <v>46265</v>
      </c>
      <c r="I97" s="8"/>
      <c r="J97" s="8"/>
      <c r="K97" s="8" t="s">
        <v>406</v>
      </c>
      <c r="L97" s="8"/>
      <c r="M97" s="8"/>
      <c r="N97" s="8"/>
      <c r="O97" s="7"/>
      <c r="P97" s="8" t="s">
        <v>853</v>
      </c>
      <c r="Q97" s="8"/>
      <c r="R97" s="21">
        <v>6</v>
      </c>
      <c r="S97" s="8" t="b">
        <v>0</v>
      </c>
      <c r="T97" s="8"/>
      <c r="U97" s="8" t="s">
        <v>392</v>
      </c>
      <c r="V97" s="8" t="s">
        <v>218</v>
      </c>
    </row>
    <row r="98" spans="1:22" ht="24" x14ac:dyDescent="0.25">
      <c r="A98" s="6" t="s">
        <v>664</v>
      </c>
      <c r="B98" s="10" t="s">
        <v>663</v>
      </c>
      <c r="C98" s="11" t="s">
        <v>413</v>
      </c>
      <c r="D98" s="11" t="s">
        <v>387</v>
      </c>
      <c r="E98" s="11" t="s">
        <v>388</v>
      </c>
      <c r="F98" s="11" t="s">
        <v>477</v>
      </c>
      <c r="G98" s="23">
        <v>46174</v>
      </c>
      <c r="H98" s="23">
        <v>46326</v>
      </c>
      <c r="I98" s="11"/>
      <c r="J98" s="11"/>
      <c r="K98" s="11" t="s">
        <v>406</v>
      </c>
      <c r="L98" s="11"/>
      <c r="M98" s="11"/>
      <c r="N98" s="11"/>
      <c r="O98" s="10"/>
      <c r="P98" s="11" t="s">
        <v>854</v>
      </c>
      <c r="Q98" s="11"/>
      <c r="R98" s="20">
        <v>8</v>
      </c>
      <c r="S98" s="11" t="b">
        <v>0</v>
      </c>
      <c r="T98" s="11"/>
      <c r="U98" s="11" t="s">
        <v>392</v>
      </c>
      <c r="V98" s="11" t="s">
        <v>218</v>
      </c>
    </row>
    <row r="99" spans="1:22" ht="24" x14ac:dyDescent="0.25">
      <c r="A99" s="6" t="s">
        <v>664</v>
      </c>
      <c r="B99" s="7" t="s">
        <v>663</v>
      </c>
      <c r="C99" s="8" t="s">
        <v>415</v>
      </c>
      <c r="D99" s="8" t="s">
        <v>387</v>
      </c>
      <c r="E99" s="8" t="s">
        <v>388</v>
      </c>
      <c r="F99" s="8" t="s">
        <v>477</v>
      </c>
      <c r="G99" s="22">
        <v>46296</v>
      </c>
      <c r="H99" s="22">
        <v>46356</v>
      </c>
      <c r="I99" s="8"/>
      <c r="J99" s="8"/>
      <c r="K99" s="8" t="s">
        <v>406</v>
      </c>
      <c r="L99" s="8"/>
      <c r="M99" s="8"/>
      <c r="N99" s="8"/>
      <c r="O99" s="7"/>
      <c r="P99" s="8" t="s">
        <v>855</v>
      </c>
      <c r="Q99" s="8"/>
      <c r="R99" s="21">
        <v>9</v>
      </c>
      <c r="S99" s="8" t="b">
        <v>0</v>
      </c>
      <c r="T99" s="8"/>
      <c r="U99" s="8" t="s">
        <v>392</v>
      </c>
      <c r="V99" s="8" t="s">
        <v>218</v>
      </c>
    </row>
    <row r="100" spans="1:22" ht="24" x14ac:dyDescent="0.25">
      <c r="A100" s="6" t="s">
        <v>664</v>
      </c>
      <c r="B100" s="10" t="s">
        <v>663</v>
      </c>
      <c r="C100" s="11" t="s">
        <v>417</v>
      </c>
      <c r="D100" s="11" t="s">
        <v>387</v>
      </c>
      <c r="E100" s="11" t="s">
        <v>388</v>
      </c>
      <c r="F100" s="11" t="s">
        <v>477</v>
      </c>
      <c r="G100" s="23">
        <v>46357</v>
      </c>
      <c r="H100" s="23">
        <v>46418</v>
      </c>
      <c r="I100" s="11"/>
      <c r="J100" s="11"/>
      <c r="K100" s="11" t="s">
        <v>406</v>
      </c>
      <c r="L100" s="11"/>
      <c r="M100" s="11"/>
      <c r="N100" s="11"/>
      <c r="O100" s="10"/>
      <c r="P100" s="11" t="s">
        <v>856</v>
      </c>
      <c r="Q100" s="11"/>
      <c r="R100" s="20">
        <v>10</v>
      </c>
      <c r="S100" s="11" t="b">
        <v>0</v>
      </c>
      <c r="T100" s="11"/>
      <c r="U100" s="11" t="s">
        <v>392</v>
      </c>
      <c r="V100" s="11" t="s">
        <v>218</v>
      </c>
    </row>
    <row r="101" spans="1:22" ht="24" x14ac:dyDescent="0.25">
      <c r="A101" s="6" t="s">
        <v>664</v>
      </c>
      <c r="B101" s="7" t="s">
        <v>663</v>
      </c>
      <c r="C101" s="8" t="s">
        <v>419</v>
      </c>
      <c r="D101" s="8" t="s">
        <v>387</v>
      </c>
      <c r="E101" s="8" t="s">
        <v>388</v>
      </c>
      <c r="F101" s="8" t="s">
        <v>477</v>
      </c>
      <c r="G101" s="22">
        <v>46419</v>
      </c>
      <c r="H101" s="22">
        <v>46446</v>
      </c>
      <c r="I101" s="8"/>
      <c r="J101" s="8"/>
      <c r="K101" s="8" t="s">
        <v>406</v>
      </c>
      <c r="L101" s="8"/>
      <c r="M101" s="8"/>
      <c r="N101" s="8"/>
      <c r="O101" s="7"/>
      <c r="P101" s="8" t="s">
        <v>857</v>
      </c>
      <c r="Q101" s="8"/>
      <c r="R101" s="21">
        <v>11</v>
      </c>
      <c r="S101" s="8" t="b">
        <v>0</v>
      </c>
      <c r="T101" s="8"/>
      <c r="U101" s="8" t="s">
        <v>392</v>
      </c>
      <c r="V101" s="8" t="s">
        <v>218</v>
      </c>
    </row>
    <row r="102" spans="1:22" ht="24" x14ac:dyDescent="0.25">
      <c r="A102" s="6" t="s">
        <v>664</v>
      </c>
      <c r="B102" s="10" t="s">
        <v>663</v>
      </c>
      <c r="C102" s="11" t="s">
        <v>421</v>
      </c>
      <c r="D102" s="11" t="s">
        <v>59</v>
      </c>
      <c r="E102" s="11" t="s">
        <v>26</v>
      </c>
      <c r="F102" s="11" t="s">
        <v>477</v>
      </c>
      <c r="G102" s="23">
        <v>46388</v>
      </c>
      <c r="H102" s="23">
        <v>46660</v>
      </c>
      <c r="I102" s="11"/>
      <c r="J102" s="11"/>
      <c r="K102" s="11" t="s">
        <v>406</v>
      </c>
      <c r="L102" s="11"/>
      <c r="M102" s="11"/>
      <c r="N102" s="11"/>
      <c r="O102" s="10" t="s">
        <v>422</v>
      </c>
      <c r="P102" s="11" t="s">
        <v>858</v>
      </c>
      <c r="Q102" s="11"/>
      <c r="R102" s="20">
        <v>13</v>
      </c>
      <c r="S102" s="11" t="b">
        <v>0</v>
      </c>
      <c r="T102" s="11"/>
      <c r="U102" s="11" t="s">
        <v>392</v>
      </c>
      <c r="V102" s="11" t="s">
        <v>218</v>
      </c>
    </row>
    <row r="103" spans="1:22" ht="24" x14ac:dyDescent="0.25">
      <c r="A103" s="6" t="s">
        <v>664</v>
      </c>
      <c r="B103" s="7" t="s">
        <v>663</v>
      </c>
      <c r="C103" s="8" t="s">
        <v>424</v>
      </c>
      <c r="D103" s="8" t="s">
        <v>387</v>
      </c>
      <c r="E103" s="8" t="s">
        <v>388</v>
      </c>
      <c r="F103" s="8" t="s">
        <v>477</v>
      </c>
      <c r="G103" s="22">
        <v>46447</v>
      </c>
      <c r="H103" s="22">
        <v>46660</v>
      </c>
      <c r="I103" s="8"/>
      <c r="J103" s="8"/>
      <c r="K103" s="8" t="s">
        <v>406</v>
      </c>
      <c r="L103" s="8"/>
      <c r="M103" s="8"/>
      <c r="N103" s="8"/>
      <c r="O103" s="7"/>
      <c r="P103" s="8" t="s">
        <v>859</v>
      </c>
      <c r="Q103" s="8"/>
      <c r="R103" s="21">
        <v>12</v>
      </c>
      <c r="S103" s="8" t="b">
        <v>0</v>
      </c>
      <c r="T103" s="8"/>
      <c r="U103" s="8" t="s">
        <v>392</v>
      </c>
      <c r="V103" s="8" t="s">
        <v>218</v>
      </c>
    </row>
    <row r="104" spans="1:22" ht="24" x14ac:dyDescent="0.25">
      <c r="A104" s="6" t="s">
        <v>664</v>
      </c>
      <c r="B104" s="10" t="s">
        <v>663</v>
      </c>
      <c r="C104" s="11" t="s">
        <v>426</v>
      </c>
      <c r="D104" s="11" t="s">
        <v>387</v>
      </c>
      <c r="E104" s="11" t="s">
        <v>388</v>
      </c>
      <c r="F104" s="11" t="s">
        <v>477</v>
      </c>
      <c r="G104" s="23">
        <v>46388</v>
      </c>
      <c r="H104" s="11"/>
      <c r="I104" s="11"/>
      <c r="J104" s="11"/>
      <c r="K104" s="11" t="s">
        <v>406</v>
      </c>
      <c r="L104" s="11"/>
      <c r="M104" s="11"/>
      <c r="N104" s="11"/>
      <c r="O104" s="10"/>
      <c r="P104" s="11" t="s">
        <v>860</v>
      </c>
      <c r="Q104" s="11"/>
      <c r="R104" s="20">
        <v>14</v>
      </c>
      <c r="S104" s="11" t="b">
        <v>0</v>
      </c>
      <c r="T104" s="11"/>
      <c r="U104" s="11" t="s">
        <v>392</v>
      </c>
      <c r="V104" s="11" t="s">
        <v>218</v>
      </c>
    </row>
    <row r="105" spans="1:22" ht="24" x14ac:dyDescent="0.25">
      <c r="A105" s="6" t="s">
        <v>668</v>
      </c>
      <c r="B105" s="7" t="s">
        <v>667</v>
      </c>
      <c r="C105" s="8" t="s">
        <v>470</v>
      </c>
      <c r="D105" s="8" t="s">
        <v>394</v>
      </c>
      <c r="E105" s="8" t="s">
        <v>388</v>
      </c>
      <c r="F105" s="8" t="s">
        <v>669</v>
      </c>
      <c r="G105" s="22">
        <v>46162</v>
      </c>
      <c r="H105" s="22">
        <v>46164</v>
      </c>
      <c r="I105" s="8"/>
      <c r="J105" s="8"/>
      <c r="K105" s="8" t="s">
        <v>390</v>
      </c>
      <c r="L105" s="8"/>
      <c r="M105" s="8"/>
      <c r="N105" s="8"/>
      <c r="O105" s="7"/>
      <c r="P105" s="8" t="s">
        <v>861</v>
      </c>
      <c r="Q105" s="8"/>
      <c r="R105" s="21">
        <v>2</v>
      </c>
      <c r="S105" s="8" t="b">
        <v>0</v>
      </c>
      <c r="T105" s="8"/>
      <c r="U105" s="8" t="s">
        <v>392</v>
      </c>
      <c r="V105" s="8" t="s">
        <v>218</v>
      </c>
    </row>
    <row r="106" spans="1:22" ht="24" x14ac:dyDescent="0.25">
      <c r="A106" s="6" t="s">
        <v>668</v>
      </c>
      <c r="B106" s="10" t="s">
        <v>667</v>
      </c>
      <c r="C106" s="11" t="s">
        <v>472</v>
      </c>
      <c r="D106" s="11" t="s">
        <v>394</v>
      </c>
      <c r="E106" s="11" t="s">
        <v>388</v>
      </c>
      <c r="F106" s="11" t="s">
        <v>669</v>
      </c>
      <c r="G106" s="11"/>
      <c r="H106" s="23">
        <v>46173</v>
      </c>
      <c r="I106" s="11"/>
      <c r="J106" s="11"/>
      <c r="K106" s="11" t="s">
        <v>390</v>
      </c>
      <c r="L106" s="11"/>
      <c r="M106" s="11"/>
      <c r="N106" s="11"/>
      <c r="O106" s="10" t="s">
        <v>474</v>
      </c>
      <c r="P106" s="11" t="s">
        <v>862</v>
      </c>
      <c r="Q106" s="11"/>
      <c r="R106" s="20">
        <v>4</v>
      </c>
      <c r="S106" s="11" t="b">
        <v>0</v>
      </c>
      <c r="T106" s="11"/>
      <c r="U106" s="11" t="s">
        <v>392</v>
      </c>
      <c r="V106" s="11" t="s">
        <v>218</v>
      </c>
    </row>
    <row r="107" spans="1:22" ht="24" x14ac:dyDescent="0.25">
      <c r="A107" s="6" t="s">
        <v>668</v>
      </c>
      <c r="B107" s="7" t="s">
        <v>667</v>
      </c>
      <c r="C107" s="8" t="s">
        <v>476</v>
      </c>
      <c r="D107" s="8" t="s">
        <v>387</v>
      </c>
      <c r="E107" s="8" t="s">
        <v>388</v>
      </c>
      <c r="F107" s="8" t="s">
        <v>669</v>
      </c>
      <c r="G107" s="22">
        <v>46174</v>
      </c>
      <c r="H107" s="22">
        <v>46234</v>
      </c>
      <c r="I107" s="8"/>
      <c r="J107" s="8"/>
      <c r="K107" s="8" t="s">
        <v>403</v>
      </c>
      <c r="L107" s="8"/>
      <c r="M107" s="8"/>
      <c r="N107" s="8"/>
      <c r="O107" s="7" t="s">
        <v>478</v>
      </c>
      <c r="P107" s="8" t="s">
        <v>863</v>
      </c>
      <c r="Q107" s="8"/>
      <c r="R107" s="21">
        <v>5</v>
      </c>
      <c r="S107" s="8" t="b">
        <v>0</v>
      </c>
      <c r="T107" s="8"/>
      <c r="U107" s="8" t="s">
        <v>392</v>
      </c>
      <c r="V107" s="8" t="s">
        <v>218</v>
      </c>
    </row>
    <row r="108" spans="1:22" ht="24" x14ac:dyDescent="0.25">
      <c r="A108" s="6" t="s">
        <v>668</v>
      </c>
      <c r="B108" s="10" t="s">
        <v>667</v>
      </c>
      <c r="C108" s="11" t="s">
        <v>480</v>
      </c>
      <c r="D108" s="11" t="s">
        <v>387</v>
      </c>
      <c r="E108" s="11" t="s">
        <v>388</v>
      </c>
      <c r="F108" s="11" t="s">
        <v>669</v>
      </c>
      <c r="G108" s="11"/>
      <c r="H108" s="23">
        <v>46265</v>
      </c>
      <c r="I108" s="11"/>
      <c r="J108" s="11"/>
      <c r="K108" s="11" t="s">
        <v>403</v>
      </c>
      <c r="L108" s="11"/>
      <c r="M108" s="11"/>
      <c r="N108" s="11"/>
      <c r="O108" s="10"/>
      <c r="P108" s="11" t="s">
        <v>864</v>
      </c>
      <c r="Q108" s="11"/>
      <c r="R108" s="20">
        <v>8</v>
      </c>
      <c r="S108" s="11" t="b">
        <v>0</v>
      </c>
      <c r="T108" s="11"/>
      <c r="U108" s="11" t="s">
        <v>392</v>
      </c>
      <c r="V108" s="11" t="s">
        <v>218</v>
      </c>
    </row>
    <row r="109" spans="1:22" ht="24" x14ac:dyDescent="0.25">
      <c r="A109" s="6" t="s">
        <v>668</v>
      </c>
      <c r="B109" s="7" t="s">
        <v>667</v>
      </c>
      <c r="C109" s="8" t="s">
        <v>483</v>
      </c>
      <c r="D109" s="8" t="s">
        <v>387</v>
      </c>
      <c r="E109" s="8" t="s">
        <v>388</v>
      </c>
      <c r="F109" s="8" t="s">
        <v>669</v>
      </c>
      <c r="G109" s="8"/>
      <c r="H109" s="22">
        <v>46265</v>
      </c>
      <c r="I109" s="8"/>
      <c r="J109" s="8"/>
      <c r="K109" s="8" t="s">
        <v>403</v>
      </c>
      <c r="L109" s="8"/>
      <c r="M109" s="8"/>
      <c r="N109" s="8"/>
      <c r="O109" s="7" t="s">
        <v>484</v>
      </c>
      <c r="P109" s="8" t="s">
        <v>865</v>
      </c>
      <c r="Q109" s="8"/>
      <c r="R109" s="21">
        <v>7</v>
      </c>
      <c r="S109" s="8" t="b">
        <v>0</v>
      </c>
      <c r="T109" s="8"/>
      <c r="U109" s="8" t="s">
        <v>392</v>
      </c>
      <c r="V109" s="8" t="s">
        <v>218</v>
      </c>
    </row>
    <row r="110" spans="1:22" ht="24" x14ac:dyDescent="0.25">
      <c r="A110" s="6" t="s">
        <v>668</v>
      </c>
      <c r="B110" s="10" t="s">
        <v>667</v>
      </c>
      <c r="C110" s="11" t="s">
        <v>486</v>
      </c>
      <c r="D110" s="11" t="s">
        <v>387</v>
      </c>
      <c r="E110" s="11" t="s">
        <v>388</v>
      </c>
      <c r="F110" s="11" t="s">
        <v>669</v>
      </c>
      <c r="G110" s="11"/>
      <c r="H110" s="23">
        <v>46265</v>
      </c>
      <c r="I110" s="11"/>
      <c r="J110" s="11"/>
      <c r="K110" s="11" t="s">
        <v>403</v>
      </c>
      <c r="L110" s="11"/>
      <c r="M110" s="11"/>
      <c r="N110" s="11"/>
      <c r="O110" s="10" t="s">
        <v>484</v>
      </c>
      <c r="P110" s="11" t="s">
        <v>866</v>
      </c>
      <c r="Q110" s="11"/>
      <c r="R110" s="20">
        <v>6</v>
      </c>
      <c r="S110" s="11" t="b">
        <v>0</v>
      </c>
      <c r="T110" s="11"/>
      <c r="U110" s="11" t="s">
        <v>392</v>
      </c>
      <c r="V110" s="11" t="s">
        <v>218</v>
      </c>
    </row>
    <row r="111" spans="1:22" ht="24" x14ac:dyDescent="0.25">
      <c r="A111" s="6" t="s">
        <v>668</v>
      </c>
      <c r="B111" s="7" t="s">
        <v>667</v>
      </c>
      <c r="C111" s="8" t="s">
        <v>488</v>
      </c>
      <c r="D111" s="8" t="s">
        <v>387</v>
      </c>
      <c r="E111" s="8" t="s">
        <v>388</v>
      </c>
      <c r="F111" s="8" t="s">
        <v>669</v>
      </c>
      <c r="G111" s="22">
        <v>46266</v>
      </c>
      <c r="H111" s="22">
        <v>46387</v>
      </c>
      <c r="I111" s="8"/>
      <c r="J111" s="8"/>
      <c r="K111" s="8" t="s">
        <v>406</v>
      </c>
      <c r="L111" s="8"/>
      <c r="M111" s="8"/>
      <c r="N111" s="8"/>
      <c r="O111" s="7"/>
      <c r="P111" s="8" t="s">
        <v>867</v>
      </c>
      <c r="Q111" s="8"/>
      <c r="R111" s="21">
        <v>9</v>
      </c>
      <c r="S111" s="8" t="b">
        <v>0</v>
      </c>
      <c r="T111" s="8"/>
      <c r="U111" s="8" t="s">
        <v>392</v>
      </c>
      <c r="V111" s="8" t="s">
        <v>218</v>
      </c>
    </row>
    <row r="112" spans="1:22" ht="24" x14ac:dyDescent="0.25">
      <c r="A112" s="6" t="s">
        <v>668</v>
      </c>
      <c r="B112" s="10" t="s">
        <v>667</v>
      </c>
      <c r="C112" s="11" t="s">
        <v>490</v>
      </c>
      <c r="D112" s="11" t="s">
        <v>394</v>
      </c>
      <c r="E112" s="11" t="s">
        <v>388</v>
      </c>
      <c r="F112" s="11" t="s">
        <v>669</v>
      </c>
      <c r="G112" s="23">
        <v>46266</v>
      </c>
      <c r="H112" s="23">
        <v>46387</v>
      </c>
      <c r="I112" s="11"/>
      <c r="J112" s="11"/>
      <c r="K112" s="11" t="s">
        <v>406</v>
      </c>
      <c r="L112" s="11"/>
      <c r="M112" s="11"/>
      <c r="N112" s="11"/>
      <c r="O112" s="10"/>
      <c r="P112" s="26" t="s">
        <v>868</v>
      </c>
      <c r="Q112" s="11"/>
      <c r="R112" s="20">
        <v>10</v>
      </c>
      <c r="S112" s="11" t="b">
        <v>0</v>
      </c>
      <c r="T112" s="11"/>
      <c r="U112" s="11" t="s">
        <v>392</v>
      </c>
      <c r="V112" s="11" t="s">
        <v>218</v>
      </c>
    </row>
    <row r="113" spans="1:22" ht="24" x14ac:dyDescent="0.25">
      <c r="A113" s="6" t="s">
        <v>668</v>
      </c>
      <c r="B113" s="7" t="s">
        <v>667</v>
      </c>
      <c r="C113" s="8" t="s">
        <v>421</v>
      </c>
      <c r="D113" s="8" t="s">
        <v>59</v>
      </c>
      <c r="E113" s="8" t="s">
        <v>26</v>
      </c>
      <c r="F113" s="8" t="s">
        <v>669</v>
      </c>
      <c r="G113" s="22">
        <v>46388</v>
      </c>
      <c r="H113" s="22">
        <v>46660</v>
      </c>
      <c r="I113" s="8"/>
      <c r="J113" s="8"/>
      <c r="K113" s="8" t="s">
        <v>406</v>
      </c>
      <c r="L113" s="8"/>
      <c r="M113" s="8"/>
      <c r="N113" s="8"/>
      <c r="O113" s="7" t="s">
        <v>422</v>
      </c>
      <c r="P113" s="8" t="s">
        <v>869</v>
      </c>
      <c r="Q113" s="8"/>
      <c r="R113" s="21">
        <v>13</v>
      </c>
      <c r="S113" s="8" t="b">
        <v>0</v>
      </c>
      <c r="T113" s="8"/>
      <c r="U113" s="8" t="s">
        <v>392</v>
      </c>
      <c r="V113" s="8" t="s">
        <v>218</v>
      </c>
    </row>
    <row r="114" spans="1:22" ht="24" x14ac:dyDescent="0.25">
      <c r="A114" s="6" t="s">
        <v>668</v>
      </c>
      <c r="B114" s="10" t="s">
        <v>667</v>
      </c>
      <c r="C114" s="11" t="s">
        <v>493</v>
      </c>
      <c r="D114" s="11" t="s">
        <v>387</v>
      </c>
      <c r="E114" s="11" t="s">
        <v>388</v>
      </c>
      <c r="F114" s="11" t="s">
        <v>669</v>
      </c>
      <c r="G114" s="23">
        <v>46388</v>
      </c>
      <c r="H114" s="23">
        <v>46660</v>
      </c>
      <c r="I114" s="11"/>
      <c r="J114" s="11"/>
      <c r="K114" s="11" t="s">
        <v>406</v>
      </c>
      <c r="L114" s="11"/>
      <c r="M114" s="11"/>
      <c r="N114" s="11"/>
      <c r="O114" s="10" t="s">
        <v>484</v>
      </c>
      <c r="P114" s="11" t="s">
        <v>870</v>
      </c>
      <c r="Q114" s="11"/>
      <c r="R114" s="20">
        <v>11</v>
      </c>
      <c r="S114" s="11" t="b">
        <v>0</v>
      </c>
      <c r="T114" s="11"/>
      <c r="U114" s="11" t="s">
        <v>392</v>
      </c>
      <c r="V114" s="11" t="s">
        <v>218</v>
      </c>
    </row>
    <row r="115" spans="1:22" ht="24" x14ac:dyDescent="0.25">
      <c r="A115" s="6" t="s">
        <v>668</v>
      </c>
      <c r="B115" s="7" t="s">
        <v>667</v>
      </c>
      <c r="C115" s="8" t="s">
        <v>495</v>
      </c>
      <c r="D115" s="8" t="s">
        <v>387</v>
      </c>
      <c r="E115" s="8" t="s">
        <v>388</v>
      </c>
      <c r="F115" s="8" t="s">
        <v>669</v>
      </c>
      <c r="G115" s="22">
        <v>46388</v>
      </c>
      <c r="H115" s="8"/>
      <c r="I115" s="8"/>
      <c r="J115" s="8"/>
      <c r="K115" s="8" t="s">
        <v>406</v>
      </c>
      <c r="L115" s="8"/>
      <c r="M115" s="8"/>
      <c r="N115" s="8"/>
      <c r="O115" s="7" t="s">
        <v>484</v>
      </c>
      <c r="P115" s="8" t="s">
        <v>871</v>
      </c>
      <c r="Q115" s="8"/>
      <c r="R115" s="21">
        <v>12</v>
      </c>
      <c r="S115" s="8" t="b">
        <v>0</v>
      </c>
      <c r="T115" s="8"/>
      <c r="U115" s="8" t="s">
        <v>392</v>
      </c>
      <c r="V115" s="8" t="s">
        <v>218</v>
      </c>
    </row>
    <row r="116" spans="1:22" ht="24" x14ac:dyDescent="0.25">
      <c r="A116" s="6" t="s">
        <v>668</v>
      </c>
      <c r="B116" s="10" t="s">
        <v>667</v>
      </c>
      <c r="C116" s="11" t="s">
        <v>661</v>
      </c>
      <c r="D116" s="11" t="s">
        <v>387</v>
      </c>
      <c r="E116" s="11" t="s">
        <v>388</v>
      </c>
      <c r="F116" s="11" t="s">
        <v>669</v>
      </c>
      <c r="G116" s="11"/>
      <c r="H116" s="11"/>
      <c r="I116" s="11"/>
      <c r="J116" s="11"/>
      <c r="K116" s="11" t="s">
        <v>390</v>
      </c>
      <c r="L116" s="11"/>
      <c r="M116" s="11"/>
      <c r="N116" s="11"/>
      <c r="O116" s="10"/>
      <c r="P116" s="11" t="s">
        <v>872</v>
      </c>
      <c r="Q116" s="11"/>
      <c r="R116" s="20">
        <v>0</v>
      </c>
      <c r="S116" s="11" t="b">
        <v>0</v>
      </c>
      <c r="T116" s="11"/>
      <c r="U116" s="11" t="s">
        <v>392</v>
      </c>
      <c r="V116" s="11" t="s">
        <v>218</v>
      </c>
    </row>
    <row r="117" spans="1:22" ht="24" x14ac:dyDescent="0.25">
      <c r="A117" s="6" t="s">
        <v>668</v>
      </c>
      <c r="B117" s="7" t="s">
        <v>667</v>
      </c>
      <c r="C117" s="8" t="s">
        <v>498</v>
      </c>
      <c r="D117" s="8" t="s">
        <v>387</v>
      </c>
      <c r="E117" s="8" t="s">
        <v>388</v>
      </c>
      <c r="F117" s="8" t="s">
        <v>669</v>
      </c>
      <c r="G117" s="8"/>
      <c r="H117" s="8"/>
      <c r="I117" s="8"/>
      <c r="J117" s="8"/>
      <c r="K117" s="8" t="s">
        <v>390</v>
      </c>
      <c r="L117" s="8"/>
      <c r="M117" s="8"/>
      <c r="N117" s="8"/>
      <c r="O117" s="7"/>
      <c r="P117" s="8" t="s">
        <v>873</v>
      </c>
      <c r="Q117" s="8"/>
      <c r="R117" s="21">
        <v>1</v>
      </c>
      <c r="S117" s="8" t="b">
        <v>0</v>
      </c>
      <c r="T117" s="8"/>
      <c r="U117" s="8" t="s">
        <v>392</v>
      </c>
      <c r="V117" s="8" t="s">
        <v>218</v>
      </c>
    </row>
    <row r="118" spans="1:22" ht="24" x14ac:dyDescent="0.25">
      <c r="A118" s="6" t="s">
        <v>668</v>
      </c>
      <c r="B118" s="10" t="s">
        <v>667</v>
      </c>
      <c r="C118" s="11" t="s">
        <v>446</v>
      </c>
      <c r="D118" s="11" t="s">
        <v>394</v>
      </c>
      <c r="E118" s="11" t="s">
        <v>388</v>
      </c>
      <c r="F118" s="11" t="s">
        <v>669</v>
      </c>
      <c r="G118" s="11"/>
      <c r="H118" s="11"/>
      <c r="I118" s="11"/>
      <c r="J118" s="11"/>
      <c r="K118" s="11" t="s">
        <v>390</v>
      </c>
      <c r="L118" s="11"/>
      <c r="M118" s="11"/>
      <c r="N118" s="11"/>
      <c r="O118" s="10"/>
      <c r="P118" s="11" t="s">
        <v>874</v>
      </c>
      <c r="Q118" s="11"/>
      <c r="R118" s="20">
        <v>3</v>
      </c>
      <c r="S118" s="11" t="b">
        <v>0</v>
      </c>
      <c r="T118" s="11"/>
      <c r="U118" s="11" t="s">
        <v>392</v>
      </c>
      <c r="V118" s="11" t="s">
        <v>218</v>
      </c>
    </row>
    <row r="119" spans="1:22" ht="24" x14ac:dyDescent="0.25">
      <c r="A119" s="6" t="s">
        <v>671</v>
      </c>
      <c r="B119" s="7" t="s">
        <v>670</v>
      </c>
      <c r="C119" s="8" t="s">
        <v>521</v>
      </c>
      <c r="D119" s="8" t="s">
        <v>394</v>
      </c>
      <c r="E119" s="8" t="s">
        <v>388</v>
      </c>
      <c r="F119" s="8" t="s">
        <v>672</v>
      </c>
      <c r="G119" s="22">
        <v>46143</v>
      </c>
      <c r="H119" s="22">
        <v>46173</v>
      </c>
      <c r="I119" s="8"/>
      <c r="J119" s="8"/>
      <c r="K119" s="8" t="s">
        <v>403</v>
      </c>
      <c r="L119" s="8"/>
      <c r="M119" s="8"/>
      <c r="N119" s="8"/>
      <c r="O119" s="7"/>
      <c r="P119" s="8" t="s">
        <v>875</v>
      </c>
      <c r="Q119" s="8"/>
      <c r="R119" s="21">
        <v>0</v>
      </c>
      <c r="S119" s="8" t="b">
        <v>0</v>
      </c>
      <c r="T119" s="8"/>
      <c r="U119" s="8" t="s">
        <v>392</v>
      </c>
      <c r="V119" s="8" t="s">
        <v>218</v>
      </c>
    </row>
    <row r="120" spans="1:22" ht="24" x14ac:dyDescent="0.25">
      <c r="A120" s="6" t="s">
        <v>671</v>
      </c>
      <c r="B120" s="10" t="s">
        <v>670</v>
      </c>
      <c r="C120" s="11" t="s">
        <v>523</v>
      </c>
      <c r="D120" s="11" t="s">
        <v>394</v>
      </c>
      <c r="E120" s="11" t="s">
        <v>388</v>
      </c>
      <c r="F120" s="11" t="s">
        <v>672</v>
      </c>
      <c r="G120" s="23">
        <v>46174</v>
      </c>
      <c r="H120" s="23">
        <v>46203</v>
      </c>
      <c r="I120" s="11"/>
      <c r="J120" s="11"/>
      <c r="K120" s="11" t="s">
        <v>406</v>
      </c>
      <c r="L120" s="11"/>
      <c r="M120" s="11"/>
      <c r="N120" s="11"/>
      <c r="O120" s="10"/>
      <c r="P120" s="11" t="s">
        <v>876</v>
      </c>
      <c r="Q120" s="11"/>
      <c r="R120" s="20">
        <v>1</v>
      </c>
      <c r="S120" s="11" t="b">
        <v>0</v>
      </c>
      <c r="T120" s="11"/>
      <c r="U120" s="11" t="s">
        <v>392</v>
      </c>
      <c r="V120" s="11" t="s">
        <v>218</v>
      </c>
    </row>
    <row r="121" spans="1:22" ht="24" x14ac:dyDescent="0.25">
      <c r="A121" s="6" t="s">
        <v>671</v>
      </c>
      <c r="B121" s="7" t="s">
        <v>670</v>
      </c>
      <c r="C121" s="8" t="s">
        <v>662</v>
      </c>
      <c r="D121" s="8" t="s">
        <v>394</v>
      </c>
      <c r="E121" s="8" t="s">
        <v>388</v>
      </c>
      <c r="F121" s="8" t="s">
        <v>672</v>
      </c>
      <c r="G121" s="22">
        <v>46204</v>
      </c>
      <c r="H121" s="22">
        <v>46234</v>
      </c>
      <c r="I121" s="8"/>
      <c r="J121" s="8"/>
      <c r="K121" s="8" t="s">
        <v>406</v>
      </c>
      <c r="L121" s="8"/>
      <c r="M121" s="8"/>
      <c r="N121" s="8"/>
      <c r="O121" s="7"/>
      <c r="P121" s="8" t="s">
        <v>877</v>
      </c>
      <c r="Q121" s="8"/>
      <c r="R121" s="21">
        <v>2</v>
      </c>
      <c r="S121" s="8" t="b">
        <v>0</v>
      </c>
      <c r="T121" s="8"/>
      <c r="U121" s="8" t="s">
        <v>392</v>
      </c>
      <c r="V121" s="8" t="s">
        <v>218</v>
      </c>
    </row>
    <row r="122" spans="1:22" ht="24" x14ac:dyDescent="0.25">
      <c r="A122" s="6" t="s">
        <v>671</v>
      </c>
      <c r="B122" s="10" t="s">
        <v>670</v>
      </c>
      <c r="C122" s="11" t="s">
        <v>526</v>
      </c>
      <c r="D122" s="11" t="s">
        <v>394</v>
      </c>
      <c r="E122" s="11" t="s">
        <v>388</v>
      </c>
      <c r="F122" s="11" t="s">
        <v>672</v>
      </c>
      <c r="G122" s="23">
        <v>46204</v>
      </c>
      <c r="H122" s="23">
        <v>46234</v>
      </c>
      <c r="I122" s="11"/>
      <c r="J122" s="11"/>
      <c r="K122" s="11" t="s">
        <v>406</v>
      </c>
      <c r="L122" s="11"/>
      <c r="M122" s="11"/>
      <c r="N122" s="11"/>
      <c r="O122" s="10"/>
      <c r="P122" s="11" t="s">
        <v>878</v>
      </c>
      <c r="Q122" s="11"/>
      <c r="R122" s="20">
        <v>3</v>
      </c>
      <c r="S122" s="11" t="b">
        <v>0</v>
      </c>
      <c r="T122" s="11"/>
      <c r="U122" s="11" t="s">
        <v>392</v>
      </c>
      <c r="V122" s="11" t="s">
        <v>218</v>
      </c>
    </row>
    <row r="123" spans="1:22" ht="24" x14ac:dyDescent="0.25">
      <c r="A123" s="6" t="s">
        <v>671</v>
      </c>
      <c r="B123" s="7" t="s">
        <v>670</v>
      </c>
      <c r="C123" s="8" t="s">
        <v>528</v>
      </c>
      <c r="D123" s="8" t="s">
        <v>394</v>
      </c>
      <c r="E123" s="8" t="s">
        <v>388</v>
      </c>
      <c r="F123" s="8" t="s">
        <v>672</v>
      </c>
      <c r="G123" s="22">
        <v>46235</v>
      </c>
      <c r="H123" s="22">
        <v>46265</v>
      </c>
      <c r="I123" s="8"/>
      <c r="J123" s="8"/>
      <c r="K123" s="8" t="s">
        <v>406</v>
      </c>
      <c r="L123" s="8"/>
      <c r="M123" s="8"/>
      <c r="N123" s="8"/>
      <c r="O123" s="7"/>
      <c r="P123" s="8" t="s">
        <v>879</v>
      </c>
      <c r="Q123" s="8"/>
      <c r="R123" s="21">
        <v>4</v>
      </c>
      <c r="S123" s="8" t="b">
        <v>0</v>
      </c>
      <c r="T123" s="8"/>
      <c r="U123" s="8" t="s">
        <v>392</v>
      </c>
      <c r="V123" s="8" t="s">
        <v>218</v>
      </c>
    </row>
    <row r="124" spans="1:22" ht="24" x14ac:dyDescent="0.25">
      <c r="A124" s="6" t="s">
        <v>671</v>
      </c>
      <c r="B124" s="10" t="s">
        <v>670</v>
      </c>
      <c r="C124" s="11" t="s">
        <v>530</v>
      </c>
      <c r="D124" s="11" t="s">
        <v>394</v>
      </c>
      <c r="E124" s="11" t="s">
        <v>388</v>
      </c>
      <c r="F124" s="11" t="s">
        <v>672</v>
      </c>
      <c r="G124" s="23">
        <v>46266</v>
      </c>
      <c r="H124" s="23">
        <v>46326</v>
      </c>
      <c r="I124" s="11"/>
      <c r="J124" s="11"/>
      <c r="K124" s="11" t="s">
        <v>406</v>
      </c>
      <c r="L124" s="11"/>
      <c r="M124" s="11"/>
      <c r="N124" s="11"/>
      <c r="O124" s="10"/>
      <c r="P124" s="11" t="s">
        <v>880</v>
      </c>
      <c r="Q124" s="11"/>
      <c r="R124" s="20">
        <v>5</v>
      </c>
      <c r="S124" s="11" t="b">
        <v>0</v>
      </c>
      <c r="T124" s="11"/>
      <c r="U124" s="11" t="s">
        <v>392</v>
      </c>
      <c r="V124" s="11" t="s">
        <v>218</v>
      </c>
    </row>
    <row r="125" spans="1:22" ht="24" x14ac:dyDescent="0.25">
      <c r="A125" s="6" t="s">
        <v>671</v>
      </c>
      <c r="B125" s="7" t="s">
        <v>670</v>
      </c>
      <c r="C125" s="8" t="s">
        <v>532</v>
      </c>
      <c r="D125" s="8" t="s">
        <v>394</v>
      </c>
      <c r="E125" s="8" t="s">
        <v>388</v>
      </c>
      <c r="F125" s="8" t="s">
        <v>672</v>
      </c>
      <c r="G125" s="22">
        <v>46327</v>
      </c>
      <c r="H125" s="22">
        <v>46387</v>
      </c>
      <c r="I125" s="8"/>
      <c r="J125" s="8"/>
      <c r="K125" s="8" t="s">
        <v>406</v>
      </c>
      <c r="L125" s="8"/>
      <c r="M125" s="8"/>
      <c r="N125" s="8"/>
      <c r="O125" s="7"/>
      <c r="P125" s="8" t="s">
        <v>881</v>
      </c>
      <c r="Q125" s="8"/>
      <c r="R125" s="21">
        <v>6</v>
      </c>
      <c r="S125" s="8" t="b">
        <v>0</v>
      </c>
      <c r="T125" s="8"/>
      <c r="U125" s="8" t="s">
        <v>392</v>
      </c>
      <c r="V125" s="8" t="s">
        <v>218</v>
      </c>
    </row>
    <row r="126" spans="1:22" ht="24" x14ac:dyDescent="0.25">
      <c r="A126" s="6" t="s">
        <v>671</v>
      </c>
      <c r="B126" s="10" t="s">
        <v>670</v>
      </c>
      <c r="C126" s="11" t="s">
        <v>534</v>
      </c>
      <c r="D126" s="11" t="s">
        <v>394</v>
      </c>
      <c r="E126" s="11" t="s">
        <v>388</v>
      </c>
      <c r="F126" s="11" t="s">
        <v>672</v>
      </c>
      <c r="G126" s="23">
        <v>46388</v>
      </c>
      <c r="H126" s="11"/>
      <c r="I126" s="11"/>
      <c r="J126" s="11"/>
      <c r="K126" s="11" t="s">
        <v>406</v>
      </c>
      <c r="L126" s="11"/>
      <c r="M126" s="11"/>
      <c r="N126" s="11"/>
      <c r="O126" s="10"/>
      <c r="P126" s="11" t="s">
        <v>882</v>
      </c>
      <c r="Q126" s="11"/>
      <c r="R126" s="20">
        <v>8</v>
      </c>
      <c r="S126" s="11" t="b">
        <v>0</v>
      </c>
      <c r="T126" s="11"/>
      <c r="U126" s="11" t="s">
        <v>392</v>
      </c>
      <c r="V126" s="11" t="s">
        <v>218</v>
      </c>
    </row>
    <row r="127" spans="1:22" ht="24" x14ac:dyDescent="0.25">
      <c r="A127" s="6" t="s">
        <v>671</v>
      </c>
      <c r="B127" s="7" t="s">
        <v>670</v>
      </c>
      <c r="C127" s="8" t="s">
        <v>536</v>
      </c>
      <c r="D127" s="8" t="s">
        <v>394</v>
      </c>
      <c r="E127" s="8" t="s">
        <v>388</v>
      </c>
      <c r="F127" s="8" t="s">
        <v>672</v>
      </c>
      <c r="G127" s="22">
        <v>46388</v>
      </c>
      <c r="H127" s="8"/>
      <c r="I127" s="8"/>
      <c r="J127" s="8"/>
      <c r="K127" s="8" t="s">
        <v>406</v>
      </c>
      <c r="L127" s="8"/>
      <c r="M127" s="8"/>
      <c r="N127" s="8"/>
      <c r="O127" s="7"/>
      <c r="P127" s="8" t="s">
        <v>883</v>
      </c>
      <c r="Q127" s="8"/>
      <c r="R127" s="21">
        <v>7</v>
      </c>
      <c r="S127" s="8" t="b">
        <v>0</v>
      </c>
      <c r="T127" s="8"/>
      <c r="U127" s="8" t="s">
        <v>392</v>
      </c>
      <c r="V127" s="8" t="s">
        <v>218</v>
      </c>
    </row>
    <row r="128" spans="1:22" ht="24" x14ac:dyDescent="0.25">
      <c r="A128" s="6" t="s">
        <v>671</v>
      </c>
      <c r="B128" s="10" t="s">
        <v>670</v>
      </c>
      <c r="C128" s="11" t="s">
        <v>538</v>
      </c>
      <c r="D128" s="11" t="s">
        <v>394</v>
      </c>
      <c r="E128" s="11" t="s">
        <v>388</v>
      </c>
      <c r="F128" s="11" t="s">
        <v>672</v>
      </c>
      <c r="G128" s="23">
        <v>46388</v>
      </c>
      <c r="H128" s="11"/>
      <c r="I128" s="11"/>
      <c r="J128" s="11"/>
      <c r="K128" s="11" t="s">
        <v>406</v>
      </c>
      <c r="L128" s="11"/>
      <c r="M128" s="11"/>
      <c r="N128" s="11"/>
      <c r="O128" s="10"/>
      <c r="P128" s="11" t="s">
        <v>884</v>
      </c>
      <c r="Q128" s="11"/>
      <c r="R128" s="20">
        <v>9</v>
      </c>
      <c r="S128" s="11" t="b">
        <v>0</v>
      </c>
      <c r="T128" s="11"/>
      <c r="U128" s="11" t="s">
        <v>392</v>
      </c>
      <c r="V128" s="11" t="s">
        <v>218</v>
      </c>
    </row>
    <row r="129" spans="1:22" ht="24" x14ac:dyDescent="0.25">
      <c r="A129" s="6" t="s">
        <v>674</v>
      </c>
      <c r="B129" s="7" t="s">
        <v>673</v>
      </c>
      <c r="C129" s="8" t="s">
        <v>501</v>
      </c>
      <c r="D129" s="8" t="s">
        <v>394</v>
      </c>
      <c r="E129" s="8" t="s">
        <v>388</v>
      </c>
      <c r="F129" s="8" t="s">
        <v>676</v>
      </c>
      <c r="G129" s="22">
        <v>46158</v>
      </c>
      <c r="H129" s="22">
        <v>46173</v>
      </c>
      <c r="I129" s="8"/>
      <c r="J129" s="8"/>
      <c r="K129" s="8" t="s">
        <v>403</v>
      </c>
      <c r="L129" s="8"/>
      <c r="M129" s="8"/>
      <c r="N129" s="8"/>
      <c r="O129" s="7"/>
      <c r="P129" s="8" t="s">
        <v>885</v>
      </c>
      <c r="Q129" s="8"/>
      <c r="R129" s="21">
        <v>1</v>
      </c>
      <c r="S129" s="8" t="b">
        <v>0</v>
      </c>
      <c r="T129" s="8"/>
      <c r="U129" s="8" t="s">
        <v>392</v>
      </c>
      <c r="V129" s="8" t="s">
        <v>218</v>
      </c>
    </row>
    <row r="130" spans="1:22" ht="24" x14ac:dyDescent="0.25">
      <c r="A130" s="6" t="s">
        <v>674</v>
      </c>
      <c r="B130" s="10" t="s">
        <v>673</v>
      </c>
      <c r="C130" s="11" t="s">
        <v>503</v>
      </c>
      <c r="D130" s="11" t="s">
        <v>394</v>
      </c>
      <c r="E130" s="11" t="s">
        <v>388</v>
      </c>
      <c r="F130" s="11" t="s">
        <v>676</v>
      </c>
      <c r="G130" s="23">
        <v>46143</v>
      </c>
      <c r="H130" s="23">
        <v>46178</v>
      </c>
      <c r="I130" s="11"/>
      <c r="J130" s="11"/>
      <c r="K130" s="11" t="s">
        <v>403</v>
      </c>
      <c r="L130" s="11"/>
      <c r="M130" s="11" t="s">
        <v>501</v>
      </c>
      <c r="N130" s="11"/>
      <c r="O130" s="10"/>
      <c r="P130" s="11" t="s">
        <v>886</v>
      </c>
      <c r="Q130" s="11"/>
      <c r="R130" s="20">
        <v>0</v>
      </c>
      <c r="S130" s="11" t="b">
        <v>0</v>
      </c>
      <c r="T130" s="11"/>
      <c r="U130" s="11" t="s">
        <v>392</v>
      </c>
      <c r="V130" s="11" t="s">
        <v>218</v>
      </c>
    </row>
    <row r="131" spans="1:22" ht="24" x14ac:dyDescent="0.25">
      <c r="A131" s="6" t="s">
        <v>674</v>
      </c>
      <c r="B131" s="7" t="s">
        <v>673</v>
      </c>
      <c r="C131" s="8" t="s">
        <v>505</v>
      </c>
      <c r="D131" s="8" t="s">
        <v>394</v>
      </c>
      <c r="E131" s="8" t="s">
        <v>388</v>
      </c>
      <c r="F131" s="8" t="s">
        <v>676</v>
      </c>
      <c r="G131" s="8"/>
      <c r="H131" s="22">
        <v>46203</v>
      </c>
      <c r="I131" s="8"/>
      <c r="J131" s="8"/>
      <c r="K131" s="8" t="s">
        <v>406</v>
      </c>
      <c r="L131" s="8"/>
      <c r="M131" s="8"/>
      <c r="N131" s="8"/>
      <c r="O131" s="7"/>
      <c r="P131" s="8" t="s">
        <v>887</v>
      </c>
      <c r="Q131" s="8"/>
      <c r="R131" s="21">
        <v>9</v>
      </c>
      <c r="S131" s="8" t="b">
        <v>0</v>
      </c>
      <c r="T131" s="8"/>
      <c r="U131" s="8" t="s">
        <v>392</v>
      </c>
      <c r="V131" s="8" t="s">
        <v>218</v>
      </c>
    </row>
    <row r="132" spans="1:22" ht="24" x14ac:dyDescent="0.25">
      <c r="A132" s="6" t="s">
        <v>674</v>
      </c>
      <c r="B132" s="10" t="s">
        <v>673</v>
      </c>
      <c r="C132" s="11" t="s">
        <v>507</v>
      </c>
      <c r="D132" s="11" t="s">
        <v>394</v>
      </c>
      <c r="E132" s="11" t="s">
        <v>388</v>
      </c>
      <c r="F132" s="11" t="s">
        <v>676</v>
      </c>
      <c r="G132" s="23">
        <v>46174</v>
      </c>
      <c r="H132" s="23">
        <v>46295</v>
      </c>
      <c r="I132" s="11"/>
      <c r="J132" s="11"/>
      <c r="K132" s="11" t="s">
        <v>406</v>
      </c>
      <c r="L132" s="11"/>
      <c r="M132" s="11"/>
      <c r="N132" s="11"/>
      <c r="O132" s="10"/>
      <c r="P132" s="11" t="s">
        <v>888</v>
      </c>
      <c r="Q132" s="11"/>
      <c r="R132" s="20">
        <v>2</v>
      </c>
      <c r="S132" s="11" t="b">
        <v>0</v>
      </c>
      <c r="T132" s="11"/>
      <c r="U132" s="11" t="s">
        <v>392</v>
      </c>
      <c r="V132" s="11" t="s">
        <v>218</v>
      </c>
    </row>
    <row r="133" spans="1:22" ht="24" x14ac:dyDescent="0.25">
      <c r="A133" s="6" t="s">
        <v>674</v>
      </c>
      <c r="B133" s="7" t="s">
        <v>673</v>
      </c>
      <c r="C133" s="8" t="s">
        <v>509</v>
      </c>
      <c r="D133" s="8" t="s">
        <v>394</v>
      </c>
      <c r="E133" s="8" t="s">
        <v>388</v>
      </c>
      <c r="F133" s="8" t="s">
        <v>676</v>
      </c>
      <c r="G133" s="22">
        <v>46327</v>
      </c>
      <c r="H133" s="22">
        <v>46371</v>
      </c>
      <c r="I133" s="8"/>
      <c r="J133" s="8"/>
      <c r="K133" s="8" t="s">
        <v>406</v>
      </c>
      <c r="L133" s="8"/>
      <c r="M133" s="8"/>
      <c r="N133" s="8"/>
      <c r="O133" s="7"/>
      <c r="P133" s="8" t="s">
        <v>889</v>
      </c>
      <c r="Q133" s="8"/>
      <c r="R133" s="21">
        <v>6</v>
      </c>
      <c r="S133" s="8" t="b">
        <v>0</v>
      </c>
      <c r="T133" s="8"/>
      <c r="U133" s="8" t="s">
        <v>392</v>
      </c>
      <c r="V133" s="8" t="s">
        <v>218</v>
      </c>
    </row>
    <row r="134" spans="1:22" ht="24" x14ac:dyDescent="0.25">
      <c r="A134" s="6" t="s">
        <v>674</v>
      </c>
      <c r="B134" s="10" t="s">
        <v>673</v>
      </c>
      <c r="C134" s="11" t="s">
        <v>511</v>
      </c>
      <c r="D134" s="11" t="s">
        <v>394</v>
      </c>
      <c r="E134" s="11" t="s">
        <v>388</v>
      </c>
      <c r="F134" s="11" t="s">
        <v>676</v>
      </c>
      <c r="G134" s="23">
        <v>46189</v>
      </c>
      <c r="H134" s="23">
        <v>46387</v>
      </c>
      <c r="I134" s="11"/>
      <c r="J134" s="11"/>
      <c r="K134" s="11" t="s">
        <v>406</v>
      </c>
      <c r="L134" s="11"/>
      <c r="M134" s="11"/>
      <c r="N134" s="11"/>
      <c r="O134" s="10"/>
      <c r="P134" s="11" t="s">
        <v>890</v>
      </c>
      <c r="Q134" s="11"/>
      <c r="R134" s="20">
        <v>3</v>
      </c>
      <c r="S134" s="11" t="b">
        <v>0</v>
      </c>
      <c r="T134" s="11"/>
      <c r="U134" s="11" t="s">
        <v>392</v>
      </c>
      <c r="V134" s="11" t="s">
        <v>218</v>
      </c>
    </row>
    <row r="135" spans="1:22" ht="24" x14ac:dyDescent="0.25">
      <c r="A135" s="6" t="s">
        <v>674</v>
      </c>
      <c r="B135" s="7" t="s">
        <v>673</v>
      </c>
      <c r="C135" s="8" t="s">
        <v>513</v>
      </c>
      <c r="D135" s="8" t="s">
        <v>394</v>
      </c>
      <c r="E135" s="8" t="s">
        <v>388</v>
      </c>
      <c r="F135" s="8" t="s">
        <v>676</v>
      </c>
      <c r="G135" s="22">
        <v>46372</v>
      </c>
      <c r="H135" s="22">
        <v>46418</v>
      </c>
      <c r="I135" s="8"/>
      <c r="J135" s="8"/>
      <c r="K135" s="8" t="s">
        <v>406</v>
      </c>
      <c r="L135" s="8"/>
      <c r="M135" s="8"/>
      <c r="N135" s="8"/>
      <c r="O135" s="7"/>
      <c r="P135" s="8" t="s">
        <v>891</v>
      </c>
      <c r="Q135" s="8"/>
      <c r="R135" s="21">
        <v>7</v>
      </c>
      <c r="S135" s="8" t="b">
        <v>0</v>
      </c>
      <c r="T135" s="8"/>
      <c r="U135" s="8" t="s">
        <v>392</v>
      </c>
      <c r="V135" s="8" t="s">
        <v>218</v>
      </c>
    </row>
    <row r="136" spans="1:22" ht="24" x14ac:dyDescent="0.25">
      <c r="A136" s="6" t="s">
        <v>674</v>
      </c>
      <c r="B136" s="10" t="s">
        <v>673</v>
      </c>
      <c r="C136" s="11" t="s">
        <v>515</v>
      </c>
      <c r="D136" s="11" t="s">
        <v>394</v>
      </c>
      <c r="E136" s="11" t="s">
        <v>388</v>
      </c>
      <c r="F136" s="11" t="s">
        <v>676</v>
      </c>
      <c r="G136" s="23">
        <v>46388</v>
      </c>
      <c r="H136" s="23">
        <v>46477</v>
      </c>
      <c r="I136" s="11"/>
      <c r="J136" s="11"/>
      <c r="K136" s="11" t="s">
        <v>406</v>
      </c>
      <c r="L136" s="11"/>
      <c r="M136" s="11"/>
      <c r="N136" s="11"/>
      <c r="O136" s="10"/>
      <c r="P136" s="11" t="s">
        <v>892</v>
      </c>
      <c r="Q136" s="11"/>
      <c r="R136" s="20">
        <v>8</v>
      </c>
      <c r="S136" s="11" t="b">
        <v>0</v>
      </c>
      <c r="T136" s="11"/>
      <c r="U136" s="11" t="s">
        <v>392</v>
      </c>
      <c r="V136" s="11" t="s">
        <v>218</v>
      </c>
    </row>
    <row r="137" spans="1:22" ht="24" x14ac:dyDescent="0.25">
      <c r="A137" s="6" t="s">
        <v>674</v>
      </c>
      <c r="B137" s="7" t="s">
        <v>673</v>
      </c>
      <c r="C137" s="8" t="s">
        <v>517</v>
      </c>
      <c r="D137" s="8" t="s">
        <v>394</v>
      </c>
      <c r="E137" s="8" t="s">
        <v>388</v>
      </c>
      <c r="F137" s="8" t="s">
        <v>676</v>
      </c>
      <c r="G137" s="22">
        <v>46082</v>
      </c>
      <c r="H137" s="22">
        <v>46477</v>
      </c>
      <c r="I137" s="8"/>
      <c r="J137" s="8"/>
      <c r="K137" s="8" t="s">
        <v>406</v>
      </c>
      <c r="L137" s="8"/>
      <c r="M137" s="8"/>
      <c r="N137" s="8"/>
      <c r="O137" s="7"/>
      <c r="P137" s="8" t="s">
        <v>893</v>
      </c>
      <c r="Q137" s="8"/>
      <c r="R137" s="21">
        <v>5</v>
      </c>
      <c r="S137" s="8" t="b">
        <v>0</v>
      </c>
      <c r="T137" s="8"/>
      <c r="U137" s="8" t="s">
        <v>392</v>
      </c>
      <c r="V137" s="8" t="s">
        <v>218</v>
      </c>
    </row>
    <row r="138" spans="1:22" ht="24" x14ac:dyDescent="0.25">
      <c r="A138" s="6" t="s">
        <v>674</v>
      </c>
      <c r="B138" s="10" t="s">
        <v>673</v>
      </c>
      <c r="C138" s="11" t="s">
        <v>519</v>
      </c>
      <c r="D138" s="11" t="s">
        <v>394</v>
      </c>
      <c r="E138" s="11" t="s">
        <v>388</v>
      </c>
      <c r="F138" s="11" t="s">
        <v>676</v>
      </c>
      <c r="G138" s="23">
        <v>46661</v>
      </c>
      <c r="H138" s="23">
        <v>46752</v>
      </c>
      <c r="I138" s="11"/>
      <c r="J138" s="11"/>
      <c r="K138" s="11" t="s">
        <v>406</v>
      </c>
      <c r="L138" s="11"/>
      <c r="M138" s="11"/>
      <c r="N138" s="11"/>
      <c r="O138" s="10"/>
      <c r="P138" s="11" t="s">
        <v>894</v>
      </c>
      <c r="Q138" s="11"/>
      <c r="R138" s="20">
        <v>10</v>
      </c>
      <c r="S138" s="11" t="b">
        <v>0</v>
      </c>
      <c r="T138" s="11"/>
      <c r="U138" s="11" t="s">
        <v>392</v>
      </c>
      <c r="V138" s="11" t="s">
        <v>218</v>
      </c>
    </row>
    <row r="139" spans="1:22" ht="24" x14ac:dyDescent="0.25">
      <c r="A139" s="6" t="s">
        <v>678</v>
      </c>
      <c r="B139" s="7" t="s">
        <v>677</v>
      </c>
      <c r="C139" s="8" t="s">
        <v>386</v>
      </c>
      <c r="D139" s="8" t="s">
        <v>387</v>
      </c>
      <c r="E139" s="8" t="s">
        <v>388</v>
      </c>
      <c r="F139" s="8" t="s">
        <v>679</v>
      </c>
      <c r="G139" s="22">
        <v>46104</v>
      </c>
      <c r="H139" s="22">
        <v>46115</v>
      </c>
      <c r="I139" s="8"/>
      <c r="J139" s="8"/>
      <c r="K139" s="8" t="s">
        <v>390</v>
      </c>
      <c r="L139" s="8"/>
      <c r="M139" s="8"/>
      <c r="N139" s="8"/>
      <c r="O139" s="7" t="s">
        <v>428</v>
      </c>
      <c r="P139" s="8" t="s">
        <v>895</v>
      </c>
      <c r="Q139" s="8"/>
      <c r="R139" s="21">
        <v>0</v>
      </c>
      <c r="S139" s="8" t="b">
        <v>0</v>
      </c>
      <c r="T139" s="8"/>
      <c r="U139" s="8" t="s">
        <v>392</v>
      </c>
      <c r="V139" s="8" t="s">
        <v>218</v>
      </c>
    </row>
    <row r="140" spans="1:22" ht="24" x14ac:dyDescent="0.25">
      <c r="A140" s="6" t="s">
        <v>678</v>
      </c>
      <c r="B140" s="10" t="s">
        <v>677</v>
      </c>
      <c r="C140" s="11" t="s">
        <v>430</v>
      </c>
      <c r="D140" s="11" t="s">
        <v>387</v>
      </c>
      <c r="E140" s="11" t="s">
        <v>388</v>
      </c>
      <c r="F140" s="11" t="s">
        <v>679</v>
      </c>
      <c r="G140" s="23">
        <v>46118</v>
      </c>
      <c r="H140" s="23">
        <v>46129</v>
      </c>
      <c r="I140" s="11"/>
      <c r="J140" s="11"/>
      <c r="K140" s="11" t="s">
        <v>390</v>
      </c>
      <c r="L140" s="11"/>
      <c r="M140" s="11"/>
      <c r="N140" s="11"/>
      <c r="O140" s="10" t="s">
        <v>428</v>
      </c>
      <c r="P140" s="26" t="s">
        <v>896</v>
      </c>
      <c r="Q140" s="11"/>
      <c r="R140" s="20">
        <v>2</v>
      </c>
      <c r="S140" s="11" t="b">
        <v>0</v>
      </c>
      <c r="T140" s="11"/>
      <c r="U140" s="11" t="s">
        <v>392</v>
      </c>
      <c r="V140" s="11" t="s">
        <v>218</v>
      </c>
    </row>
    <row r="141" spans="1:22" ht="24" x14ac:dyDescent="0.25">
      <c r="A141" s="6" t="s">
        <v>678</v>
      </c>
      <c r="B141" s="7" t="s">
        <v>677</v>
      </c>
      <c r="C141" s="8" t="s">
        <v>432</v>
      </c>
      <c r="D141" s="8" t="s">
        <v>394</v>
      </c>
      <c r="E141" s="8" t="s">
        <v>388</v>
      </c>
      <c r="F141" s="8" t="s">
        <v>679</v>
      </c>
      <c r="G141" s="22">
        <v>46118</v>
      </c>
      <c r="H141" s="22">
        <v>46129</v>
      </c>
      <c r="I141" s="22">
        <v>46118</v>
      </c>
      <c r="J141" s="22">
        <v>46129</v>
      </c>
      <c r="K141" s="8" t="s">
        <v>390</v>
      </c>
      <c r="L141" s="8"/>
      <c r="M141" s="8"/>
      <c r="N141" s="8"/>
      <c r="O141" s="7"/>
      <c r="P141" s="8" t="s">
        <v>897</v>
      </c>
      <c r="Q141" s="8"/>
      <c r="R141" s="21">
        <v>1</v>
      </c>
      <c r="S141" s="8" t="b">
        <v>0</v>
      </c>
      <c r="T141" s="8"/>
      <c r="U141" s="8" t="s">
        <v>392</v>
      </c>
      <c r="V141" s="8" t="s">
        <v>218</v>
      </c>
    </row>
    <row r="142" spans="1:22" ht="24" x14ac:dyDescent="0.25">
      <c r="A142" s="6" t="s">
        <v>678</v>
      </c>
      <c r="B142" s="10" t="s">
        <v>677</v>
      </c>
      <c r="C142" s="11" t="s">
        <v>434</v>
      </c>
      <c r="D142" s="11" t="s">
        <v>394</v>
      </c>
      <c r="E142" s="11" t="s">
        <v>388</v>
      </c>
      <c r="F142" s="11" t="s">
        <v>679</v>
      </c>
      <c r="G142" s="23">
        <v>46118</v>
      </c>
      <c r="H142" s="23">
        <v>46142</v>
      </c>
      <c r="I142" s="23">
        <v>46118</v>
      </c>
      <c r="J142" s="11"/>
      <c r="K142" s="11" t="s">
        <v>390</v>
      </c>
      <c r="L142" s="11"/>
      <c r="M142" s="11"/>
      <c r="N142" s="11"/>
      <c r="O142" s="10"/>
      <c r="P142" s="11" t="s">
        <v>898</v>
      </c>
      <c r="Q142" s="11"/>
      <c r="R142" s="20">
        <v>3</v>
      </c>
      <c r="S142" s="11" t="b">
        <v>0</v>
      </c>
      <c r="T142" s="11"/>
      <c r="U142" s="11" t="s">
        <v>392</v>
      </c>
      <c r="V142" s="11" t="s">
        <v>218</v>
      </c>
    </row>
    <row r="143" spans="1:22" ht="24" x14ac:dyDescent="0.25">
      <c r="A143" s="6" t="s">
        <v>678</v>
      </c>
      <c r="B143" s="7" t="s">
        <v>677</v>
      </c>
      <c r="C143" s="8" t="s">
        <v>399</v>
      </c>
      <c r="D143" s="8" t="s">
        <v>394</v>
      </c>
      <c r="E143" s="8" t="s">
        <v>388</v>
      </c>
      <c r="F143" s="8" t="s">
        <v>679</v>
      </c>
      <c r="G143" s="22">
        <v>46139</v>
      </c>
      <c r="H143" s="22">
        <v>46142</v>
      </c>
      <c r="I143" s="22">
        <v>46139</v>
      </c>
      <c r="J143" s="8"/>
      <c r="K143" s="8" t="s">
        <v>390</v>
      </c>
      <c r="L143" s="8"/>
      <c r="M143" s="8"/>
      <c r="N143" s="8"/>
      <c r="O143" s="7"/>
      <c r="P143" s="8" t="s">
        <v>899</v>
      </c>
      <c r="Q143" s="8"/>
      <c r="R143" s="21">
        <v>4</v>
      </c>
      <c r="S143" s="8" t="b">
        <v>0</v>
      </c>
      <c r="T143" s="8"/>
      <c r="U143" s="8" t="s">
        <v>392</v>
      </c>
      <c r="V143" s="8" t="s">
        <v>218</v>
      </c>
    </row>
    <row r="144" spans="1:22" ht="24" x14ac:dyDescent="0.25">
      <c r="A144" s="6" t="s">
        <v>678</v>
      </c>
      <c r="B144" s="10" t="s">
        <v>677</v>
      </c>
      <c r="C144" s="11" t="s">
        <v>437</v>
      </c>
      <c r="D144" s="11" t="s">
        <v>387</v>
      </c>
      <c r="E144" s="11" t="s">
        <v>388</v>
      </c>
      <c r="F144" s="11" t="s">
        <v>679</v>
      </c>
      <c r="G144" s="23">
        <v>46146</v>
      </c>
      <c r="H144" s="23">
        <v>46173</v>
      </c>
      <c r="I144" s="11"/>
      <c r="J144" s="11"/>
      <c r="K144" s="11" t="s">
        <v>406</v>
      </c>
      <c r="L144" s="11"/>
      <c r="M144" s="11" t="s">
        <v>440</v>
      </c>
      <c r="N144" s="11"/>
      <c r="O144" s="10" t="s">
        <v>441</v>
      </c>
      <c r="P144" s="11" t="s">
        <v>900</v>
      </c>
      <c r="Q144" s="11"/>
      <c r="R144" s="20">
        <v>6</v>
      </c>
      <c r="S144" s="11" t="b">
        <v>0</v>
      </c>
      <c r="T144" s="11"/>
      <c r="U144" s="11" t="s">
        <v>392</v>
      </c>
      <c r="V144" s="11" t="s">
        <v>218</v>
      </c>
    </row>
    <row r="145" spans="1:22" ht="24" x14ac:dyDescent="0.25">
      <c r="A145" s="6" t="s">
        <v>678</v>
      </c>
      <c r="B145" s="7" t="s">
        <v>677</v>
      </c>
      <c r="C145" s="8" t="s">
        <v>444</v>
      </c>
      <c r="D145" s="8" t="s">
        <v>387</v>
      </c>
      <c r="E145" s="8" t="s">
        <v>388</v>
      </c>
      <c r="F145" s="8" t="s">
        <v>679</v>
      </c>
      <c r="G145" s="22">
        <v>46174</v>
      </c>
      <c r="H145" s="22">
        <v>46234</v>
      </c>
      <c r="I145" s="8"/>
      <c r="J145" s="8"/>
      <c r="K145" s="8" t="s">
        <v>406</v>
      </c>
      <c r="L145" s="8"/>
      <c r="M145" s="8" t="s">
        <v>440</v>
      </c>
      <c r="N145" s="8"/>
      <c r="O145" s="7" t="s">
        <v>441</v>
      </c>
      <c r="P145" s="8" t="s">
        <v>901</v>
      </c>
      <c r="Q145" s="8"/>
      <c r="R145" s="21">
        <v>7</v>
      </c>
      <c r="S145" s="8" t="b">
        <v>0</v>
      </c>
      <c r="T145" s="8"/>
      <c r="U145" s="8" t="s">
        <v>392</v>
      </c>
      <c r="V145" s="8" t="s">
        <v>218</v>
      </c>
    </row>
    <row r="146" spans="1:22" ht="24" x14ac:dyDescent="0.25">
      <c r="A146" s="6" t="s">
        <v>678</v>
      </c>
      <c r="B146" s="10" t="s">
        <v>677</v>
      </c>
      <c r="C146" s="11" t="s">
        <v>446</v>
      </c>
      <c r="D146" s="11" t="s">
        <v>387</v>
      </c>
      <c r="E146" s="11" t="s">
        <v>388</v>
      </c>
      <c r="F146" s="11" t="s">
        <v>679</v>
      </c>
      <c r="G146" s="23">
        <v>46235</v>
      </c>
      <c r="H146" s="23">
        <v>46265</v>
      </c>
      <c r="I146" s="11"/>
      <c r="J146" s="11"/>
      <c r="K146" s="11" t="s">
        <v>406</v>
      </c>
      <c r="L146" s="11"/>
      <c r="M146" s="11" t="s">
        <v>440</v>
      </c>
      <c r="N146" s="11"/>
      <c r="O146" s="10" t="s">
        <v>447</v>
      </c>
      <c r="P146" s="11" t="s">
        <v>902</v>
      </c>
      <c r="Q146" s="11"/>
      <c r="R146" s="20">
        <v>9</v>
      </c>
      <c r="S146" s="11" t="b">
        <v>0</v>
      </c>
      <c r="T146" s="11"/>
      <c r="U146" s="11" t="s">
        <v>392</v>
      </c>
      <c r="V146" s="11" t="s">
        <v>218</v>
      </c>
    </row>
    <row r="147" spans="1:22" ht="24" x14ac:dyDescent="0.25">
      <c r="A147" s="6" t="s">
        <v>678</v>
      </c>
      <c r="B147" s="7" t="s">
        <v>677</v>
      </c>
      <c r="C147" s="8" t="s">
        <v>449</v>
      </c>
      <c r="D147" s="8" t="s">
        <v>387</v>
      </c>
      <c r="E147" s="8" t="s">
        <v>388</v>
      </c>
      <c r="F147" s="8" t="s">
        <v>679</v>
      </c>
      <c r="G147" s="22">
        <v>46266</v>
      </c>
      <c r="H147" s="22">
        <v>46295</v>
      </c>
      <c r="I147" s="8"/>
      <c r="J147" s="8"/>
      <c r="K147" s="8" t="s">
        <v>406</v>
      </c>
      <c r="L147" s="8"/>
      <c r="M147" s="8" t="s">
        <v>440</v>
      </c>
      <c r="N147" s="8"/>
      <c r="O147" s="7" t="s">
        <v>450</v>
      </c>
      <c r="P147" s="8" t="s">
        <v>903</v>
      </c>
      <c r="Q147" s="8"/>
      <c r="R147" s="21">
        <v>10</v>
      </c>
      <c r="S147" s="8" t="b">
        <v>0</v>
      </c>
      <c r="T147" s="8"/>
      <c r="U147" s="8" t="s">
        <v>392</v>
      </c>
      <c r="V147" s="8" t="s">
        <v>218</v>
      </c>
    </row>
    <row r="148" spans="1:22" ht="24" x14ac:dyDescent="0.25">
      <c r="A148" s="6" t="s">
        <v>678</v>
      </c>
      <c r="B148" s="10" t="s">
        <v>677</v>
      </c>
      <c r="C148" s="11" t="s">
        <v>452</v>
      </c>
      <c r="D148" s="11" t="s">
        <v>387</v>
      </c>
      <c r="E148" s="11" t="s">
        <v>388</v>
      </c>
      <c r="F148" s="11" t="s">
        <v>679</v>
      </c>
      <c r="G148" s="23">
        <v>46235</v>
      </c>
      <c r="H148" s="23">
        <v>46295</v>
      </c>
      <c r="I148" s="11"/>
      <c r="J148" s="11"/>
      <c r="K148" s="11" t="s">
        <v>406</v>
      </c>
      <c r="L148" s="11"/>
      <c r="M148" s="11" t="s">
        <v>440</v>
      </c>
      <c r="N148" s="11"/>
      <c r="O148" s="10" t="s">
        <v>441</v>
      </c>
      <c r="P148" s="11" t="s">
        <v>904</v>
      </c>
      <c r="Q148" s="11"/>
      <c r="R148" s="20">
        <v>8</v>
      </c>
      <c r="S148" s="11" t="b">
        <v>0</v>
      </c>
      <c r="T148" s="11"/>
      <c r="U148" s="11" t="s">
        <v>392</v>
      </c>
      <c r="V148" s="11" t="s">
        <v>218</v>
      </c>
    </row>
    <row r="149" spans="1:22" ht="24" x14ac:dyDescent="0.25">
      <c r="A149" s="6" t="s">
        <v>678</v>
      </c>
      <c r="B149" s="7" t="s">
        <v>677</v>
      </c>
      <c r="C149" s="8" t="s">
        <v>440</v>
      </c>
      <c r="D149" s="8" t="s">
        <v>387</v>
      </c>
      <c r="E149" s="8" t="s">
        <v>388</v>
      </c>
      <c r="F149" s="8" t="s">
        <v>679</v>
      </c>
      <c r="G149" s="22">
        <v>46132</v>
      </c>
      <c r="H149" s="22">
        <v>46295</v>
      </c>
      <c r="I149" s="8"/>
      <c r="J149" s="8"/>
      <c r="K149" s="8" t="s">
        <v>406</v>
      </c>
      <c r="L149" s="8"/>
      <c r="M149" s="8"/>
      <c r="N149" s="8"/>
      <c r="O149" s="7" t="s">
        <v>441</v>
      </c>
      <c r="P149" s="8" t="s">
        <v>905</v>
      </c>
      <c r="Q149" s="8"/>
      <c r="R149" s="21">
        <v>5</v>
      </c>
      <c r="S149" s="8" t="b">
        <v>0</v>
      </c>
      <c r="T149" s="8"/>
      <c r="U149" s="8" t="s">
        <v>392</v>
      </c>
      <c r="V149" s="8" t="s">
        <v>218</v>
      </c>
    </row>
    <row r="150" spans="1:22" ht="24" x14ac:dyDescent="0.25">
      <c r="A150" s="6" t="s">
        <v>678</v>
      </c>
      <c r="B150" s="10" t="s">
        <v>677</v>
      </c>
      <c r="C150" s="11" t="s">
        <v>454</v>
      </c>
      <c r="D150" s="11" t="s">
        <v>387</v>
      </c>
      <c r="E150" s="11" t="s">
        <v>388</v>
      </c>
      <c r="F150" s="11" t="s">
        <v>679</v>
      </c>
      <c r="G150" s="23">
        <v>46296</v>
      </c>
      <c r="H150" s="23">
        <v>46326</v>
      </c>
      <c r="I150" s="11"/>
      <c r="J150" s="11"/>
      <c r="K150" s="11" t="s">
        <v>406</v>
      </c>
      <c r="L150" s="11"/>
      <c r="M150" s="11" t="s">
        <v>440</v>
      </c>
      <c r="N150" s="11"/>
      <c r="O150" s="10" t="s">
        <v>447</v>
      </c>
      <c r="P150" s="11" t="s">
        <v>906</v>
      </c>
      <c r="Q150" s="11"/>
      <c r="R150" s="20">
        <v>11</v>
      </c>
      <c r="S150" s="11" t="b">
        <v>0</v>
      </c>
      <c r="T150" s="11"/>
      <c r="U150" s="11" t="s">
        <v>392</v>
      </c>
      <c r="V150" s="11" t="s">
        <v>218</v>
      </c>
    </row>
    <row r="151" spans="1:22" ht="24" x14ac:dyDescent="0.25">
      <c r="A151" s="6" t="s">
        <v>678</v>
      </c>
      <c r="B151" s="7" t="s">
        <v>677</v>
      </c>
      <c r="C151" s="8" t="s">
        <v>411</v>
      </c>
      <c r="D151" s="8" t="s">
        <v>387</v>
      </c>
      <c r="E151" s="8" t="s">
        <v>388</v>
      </c>
      <c r="F151" s="8" t="s">
        <v>679</v>
      </c>
      <c r="G151" s="22">
        <v>46327</v>
      </c>
      <c r="H151" s="22">
        <v>46356</v>
      </c>
      <c r="I151" s="8"/>
      <c r="J151" s="8"/>
      <c r="K151" s="8" t="s">
        <v>406</v>
      </c>
      <c r="L151" s="8"/>
      <c r="M151" s="8" t="s">
        <v>440</v>
      </c>
      <c r="N151" s="8"/>
      <c r="O151" s="7" t="s">
        <v>450</v>
      </c>
      <c r="P151" s="8" t="s">
        <v>907</v>
      </c>
      <c r="Q151" s="8"/>
      <c r="R151" s="21">
        <v>12</v>
      </c>
      <c r="S151" s="8" t="b">
        <v>0</v>
      </c>
      <c r="T151" s="8"/>
      <c r="U151" s="8" t="s">
        <v>392</v>
      </c>
      <c r="V151" s="8" t="s">
        <v>218</v>
      </c>
    </row>
    <row r="152" spans="1:22" ht="24" x14ac:dyDescent="0.25">
      <c r="A152" s="6" t="s">
        <v>678</v>
      </c>
      <c r="B152" s="10" t="s">
        <v>677</v>
      </c>
      <c r="C152" s="11" t="s">
        <v>457</v>
      </c>
      <c r="D152" s="11" t="s">
        <v>387</v>
      </c>
      <c r="E152" s="11" t="s">
        <v>388</v>
      </c>
      <c r="F152" s="11" t="s">
        <v>679</v>
      </c>
      <c r="G152" s="23">
        <v>46357</v>
      </c>
      <c r="H152" s="23">
        <v>46477</v>
      </c>
      <c r="I152" s="11"/>
      <c r="J152" s="11"/>
      <c r="K152" s="11" t="s">
        <v>406</v>
      </c>
      <c r="L152" s="11"/>
      <c r="M152" s="11" t="s">
        <v>440</v>
      </c>
      <c r="N152" s="11"/>
      <c r="O152" s="10" t="s">
        <v>450</v>
      </c>
      <c r="P152" s="11" t="s">
        <v>908</v>
      </c>
      <c r="Q152" s="11"/>
      <c r="R152" s="20">
        <v>13</v>
      </c>
      <c r="S152" s="11" t="b">
        <v>0</v>
      </c>
      <c r="T152" s="11"/>
      <c r="U152" s="11" t="s">
        <v>392</v>
      </c>
      <c r="V152" s="11" t="s">
        <v>218</v>
      </c>
    </row>
    <row r="153" spans="1:22" ht="24" x14ac:dyDescent="0.25">
      <c r="A153" s="6" t="s">
        <v>678</v>
      </c>
      <c r="B153" s="7" t="s">
        <v>677</v>
      </c>
      <c r="C153" s="8" t="s">
        <v>459</v>
      </c>
      <c r="D153" s="8" t="s">
        <v>387</v>
      </c>
      <c r="E153" s="8" t="s">
        <v>388</v>
      </c>
      <c r="F153" s="8" t="s">
        <v>679</v>
      </c>
      <c r="G153" s="22">
        <v>46478</v>
      </c>
      <c r="H153" s="22">
        <v>46507</v>
      </c>
      <c r="I153" s="8"/>
      <c r="J153" s="8"/>
      <c r="K153" s="8" t="s">
        <v>406</v>
      </c>
      <c r="L153" s="8"/>
      <c r="M153" s="8" t="s">
        <v>440</v>
      </c>
      <c r="N153" s="8"/>
      <c r="O153" s="7" t="s">
        <v>447</v>
      </c>
      <c r="P153" s="8" t="s">
        <v>909</v>
      </c>
      <c r="Q153" s="8"/>
      <c r="R153" s="21">
        <v>14</v>
      </c>
      <c r="S153" s="8" t="b">
        <v>0</v>
      </c>
      <c r="T153" s="8"/>
      <c r="U153" s="8" t="s">
        <v>392</v>
      </c>
      <c r="V153" s="8" t="s">
        <v>218</v>
      </c>
    </row>
    <row r="154" spans="1:22" ht="24" x14ac:dyDescent="0.25">
      <c r="A154" s="6" t="s">
        <v>678</v>
      </c>
      <c r="B154" s="10" t="s">
        <v>677</v>
      </c>
      <c r="C154" s="11" t="s">
        <v>461</v>
      </c>
      <c r="D154" s="11" t="s">
        <v>387</v>
      </c>
      <c r="E154" s="11" t="s">
        <v>388</v>
      </c>
      <c r="F154" s="11" t="s">
        <v>679</v>
      </c>
      <c r="G154" s="23">
        <v>46508</v>
      </c>
      <c r="H154" s="23">
        <v>46538</v>
      </c>
      <c r="I154" s="11"/>
      <c r="J154" s="11"/>
      <c r="K154" s="11" t="s">
        <v>406</v>
      </c>
      <c r="L154" s="11"/>
      <c r="M154" s="11" t="s">
        <v>440</v>
      </c>
      <c r="N154" s="11"/>
      <c r="O154" s="10" t="s">
        <v>447</v>
      </c>
      <c r="P154" s="11" t="s">
        <v>910</v>
      </c>
      <c r="Q154" s="11"/>
      <c r="R154" s="20">
        <v>15</v>
      </c>
      <c r="S154" s="11" t="b">
        <v>0</v>
      </c>
      <c r="T154" s="11"/>
      <c r="U154" s="11" t="s">
        <v>392</v>
      </c>
      <c r="V154" s="11" t="s">
        <v>218</v>
      </c>
    </row>
    <row r="155" spans="1:22" ht="24" x14ac:dyDescent="0.25">
      <c r="A155" s="6" t="s">
        <v>678</v>
      </c>
      <c r="B155" s="7" t="s">
        <v>677</v>
      </c>
      <c r="C155" s="8" t="s">
        <v>463</v>
      </c>
      <c r="D155" s="8" t="s">
        <v>387</v>
      </c>
      <c r="E155" s="8" t="s">
        <v>388</v>
      </c>
      <c r="F155" s="8" t="s">
        <v>679</v>
      </c>
      <c r="G155" s="22">
        <v>46539</v>
      </c>
      <c r="H155" s="22">
        <v>46568</v>
      </c>
      <c r="I155" s="8"/>
      <c r="J155" s="8"/>
      <c r="K155" s="8" t="s">
        <v>406</v>
      </c>
      <c r="L155" s="8"/>
      <c r="M155" s="8" t="s">
        <v>440</v>
      </c>
      <c r="N155" s="8"/>
      <c r="O155" s="7" t="s">
        <v>447</v>
      </c>
      <c r="P155" s="8" t="s">
        <v>911</v>
      </c>
      <c r="Q155" s="8"/>
      <c r="R155" s="21">
        <v>16</v>
      </c>
      <c r="S155" s="8" t="b">
        <v>0</v>
      </c>
      <c r="T155" s="8"/>
      <c r="U155" s="8" t="s">
        <v>392</v>
      </c>
      <c r="V155" s="8" t="s">
        <v>218</v>
      </c>
    </row>
    <row r="156" spans="1:22" ht="24" x14ac:dyDescent="0.25">
      <c r="A156" s="6" t="s">
        <v>678</v>
      </c>
      <c r="B156" s="10" t="s">
        <v>677</v>
      </c>
      <c r="C156" s="11" t="s">
        <v>421</v>
      </c>
      <c r="D156" s="11" t="s">
        <v>59</v>
      </c>
      <c r="E156" s="11" t="s">
        <v>26</v>
      </c>
      <c r="F156" s="11" t="s">
        <v>679</v>
      </c>
      <c r="G156" s="23">
        <v>46388</v>
      </c>
      <c r="H156" s="23">
        <v>46752</v>
      </c>
      <c r="I156" s="11"/>
      <c r="J156" s="11"/>
      <c r="K156" s="11" t="s">
        <v>406</v>
      </c>
      <c r="L156" s="11"/>
      <c r="M156" s="11"/>
      <c r="N156" s="11"/>
      <c r="O156" s="10" t="s">
        <v>422</v>
      </c>
      <c r="P156" s="11" t="s">
        <v>912</v>
      </c>
      <c r="Q156" s="11"/>
      <c r="R156" s="20">
        <v>18</v>
      </c>
      <c r="S156" s="11" t="b">
        <v>0</v>
      </c>
      <c r="T156" s="11"/>
      <c r="U156" s="11" t="s">
        <v>392</v>
      </c>
      <c r="V156" s="11" t="s">
        <v>218</v>
      </c>
    </row>
    <row r="157" spans="1:22" ht="24" x14ac:dyDescent="0.25">
      <c r="A157" s="6" t="s">
        <v>678</v>
      </c>
      <c r="B157" s="7" t="s">
        <v>677</v>
      </c>
      <c r="C157" s="8" t="s">
        <v>466</v>
      </c>
      <c r="D157" s="8" t="s">
        <v>387</v>
      </c>
      <c r="E157" s="8" t="s">
        <v>388</v>
      </c>
      <c r="F157" s="8" t="s">
        <v>679</v>
      </c>
      <c r="G157" s="22">
        <v>46569</v>
      </c>
      <c r="H157" s="22">
        <v>46752</v>
      </c>
      <c r="I157" s="8"/>
      <c r="J157" s="8"/>
      <c r="K157" s="8" t="s">
        <v>406</v>
      </c>
      <c r="L157" s="8"/>
      <c r="M157" s="8" t="s">
        <v>440</v>
      </c>
      <c r="N157" s="8"/>
      <c r="O157" s="7" t="s">
        <v>447</v>
      </c>
      <c r="P157" s="8" t="s">
        <v>913</v>
      </c>
      <c r="Q157" s="8"/>
      <c r="R157" s="21">
        <v>17</v>
      </c>
      <c r="S157" s="8" t="b">
        <v>0</v>
      </c>
      <c r="T157" s="8"/>
      <c r="U157" s="8" t="s">
        <v>392</v>
      </c>
      <c r="V157" s="8" t="s">
        <v>218</v>
      </c>
    </row>
    <row r="158" spans="1:22" ht="24" x14ac:dyDescent="0.25">
      <c r="A158" s="6" t="s">
        <v>678</v>
      </c>
      <c r="B158" s="10" t="s">
        <v>677</v>
      </c>
      <c r="C158" s="11" t="s">
        <v>468</v>
      </c>
      <c r="D158" s="11" t="s">
        <v>387</v>
      </c>
      <c r="E158" s="11" t="s">
        <v>388</v>
      </c>
      <c r="F158" s="11" t="s">
        <v>679</v>
      </c>
      <c r="G158" s="23">
        <v>46753</v>
      </c>
      <c r="H158" s="11"/>
      <c r="I158" s="11"/>
      <c r="J158" s="11"/>
      <c r="K158" s="11" t="s">
        <v>406</v>
      </c>
      <c r="L158" s="11"/>
      <c r="M158" s="11" t="s">
        <v>440</v>
      </c>
      <c r="N158" s="11"/>
      <c r="O158" s="10" t="s">
        <v>447</v>
      </c>
      <c r="P158" s="11" t="s">
        <v>914</v>
      </c>
      <c r="Q158" s="11"/>
      <c r="R158" s="20">
        <v>19</v>
      </c>
      <c r="S158" s="11" t="b">
        <v>0</v>
      </c>
      <c r="T158" s="11"/>
      <c r="U158" s="11" t="s">
        <v>392</v>
      </c>
      <c r="V158" s="11" t="s">
        <v>218</v>
      </c>
    </row>
    <row r="159" spans="1:22" ht="24" x14ac:dyDescent="0.25">
      <c r="A159" s="6" t="s">
        <v>681</v>
      </c>
      <c r="B159" s="10" t="s">
        <v>680</v>
      </c>
      <c r="C159" s="11" t="s">
        <v>386</v>
      </c>
      <c r="D159" s="11" t="s">
        <v>387</v>
      </c>
      <c r="E159" s="11" t="s">
        <v>388</v>
      </c>
      <c r="F159" s="11" t="s">
        <v>684</v>
      </c>
      <c r="G159" s="23">
        <v>46104</v>
      </c>
      <c r="H159" s="23">
        <v>46115</v>
      </c>
      <c r="I159" s="11"/>
      <c r="J159" s="11"/>
      <c r="K159" s="11" t="s">
        <v>390</v>
      </c>
      <c r="L159" s="11"/>
      <c r="M159" s="11"/>
      <c r="N159" s="11"/>
      <c r="O159" s="10"/>
      <c r="P159" s="11" t="s">
        <v>915</v>
      </c>
      <c r="Q159" s="11"/>
      <c r="R159" s="20">
        <v>0</v>
      </c>
      <c r="S159" s="11" t="b">
        <v>0</v>
      </c>
      <c r="T159" s="11"/>
      <c r="U159" s="11" t="s">
        <v>392</v>
      </c>
      <c r="V159" s="11" t="s">
        <v>218</v>
      </c>
    </row>
    <row r="160" spans="1:22" ht="24" x14ac:dyDescent="0.25">
      <c r="A160" s="6" t="s">
        <v>681</v>
      </c>
      <c r="B160" s="7" t="s">
        <v>680</v>
      </c>
      <c r="C160" s="8" t="s">
        <v>393</v>
      </c>
      <c r="D160" s="8" t="s">
        <v>394</v>
      </c>
      <c r="E160" s="8" t="s">
        <v>388</v>
      </c>
      <c r="F160" s="8" t="s">
        <v>684</v>
      </c>
      <c r="G160" s="22">
        <v>46125</v>
      </c>
      <c r="H160" s="22">
        <v>46129</v>
      </c>
      <c r="I160" s="22">
        <v>46125</v>
      </c>
      <c r="J160" s="22">
        <v>46129</v>
      </c>
      <c r="K160" s="8" t="s">
        <v>390</v>
      </c>
      <c r="L160" s="8"/>
      <c r="M160" s="8"/>
      <c r="N160" s="8"/>
      <c r="O160" s="7"/>
      <c r="P160" s="8" t="s">
        <v>916</v>
      </c>
      <c r="Q160" s="8"/>
      <c r="R160" s="21">
        <v>2</v>
      </c>
      <c r="S160" s="8" t="b">
        <v>0</v>
      </c>
      <c r="T160" s="8"/>
      <c r="U160" s="8" t="s">
        <v>392</v>
      </c>
      <c r="V160" s="8" t="s">
        <v>218</v>
      </c>
    </row>
    <row r="161" spans="1:22" ht="24" x14ac:dyDescent="0.25">
      <c r="A161" s="6" t="s">
        <v>681</v>
      </c>
      <c r="B161" s="10" t="s">
        <v>680</v>
      </c>
      <c r="C161" s="11" t="s">
        <v>397</v>
      </c>
      <c r="D161" s="11" t="s">
        <v>394</v>
      </c>
      <c r="E161" s="11" t="s">
        <v>388</v>
      </c>
      <c r="F161" s="11" t="s">
        <v>684</v>
      </c>
      <c r="G161" s="23">
        <v>46132</v>
      </c>
      <c r="H161" s="23">
        <v>46136</v>
      </c>
      <c r="I161" s="23">
        <v>46132</v>
      </c>
      <c r="J161" s="23">
        <v>46136</v>
      </c>
      <c r="K161" s="11" t="s">
        <v>390</v>
      </c>
      <c r="L161" s="11"/>
      <c r="M161" s="11"/>
      <c r="N161" s="11"/>
      <c r="O161" s="10"/>
      <c r="P161" s="11" t="s">
        <v>917</v>
      </c>
      <c r="Q161" s="11"/>
      <c r="R161" s="20">
        <v>1</v>
      </c>
      <c r="S161" s="11" t="b">
        <v>0</v>
      </c>
      <c r="T161" s="11"/>
      <c r="U161" s="11" t="s">
        <v>392</v>
      </c>
      <c r="V161" s="11" t="s">
        <v>218</v>
      </c>
    </row>
    <row r="162" spans="1:22" ht="24" x14ac:dyDescent="0.25">
      <c r="A162" s="6" t="s">
        <v>681</v>
      </c>
      <c r="B162" s="7" t="s">
        <v>680</v>
      </c>
      <c r="C162" s="8" t="s">
        <v>399</v>
      </c>
      <c r="D162" s="8" t="s">
        <v>394</v>
      </c>
      <c r="E162" s="8" t="s">
        <v>388</v>
      </c>
      <c r="F162" s="8" t="s">
        <v>684</v>
      </c>
      <c r="G162" s="22">
        <v>46139</v>
      </c>
      <c r="H162" s="22">
        <v>46142</v>
      </c>
      <c r="I162" s="22">
        <v>46139</v>
      </c>
      <c r="J162" s="8"/>
      <c r="K162" s="8" t="s">
        <v>390</v>
      </c>
      <c r="L162" s="8"/>
      <c r="M162" s="8"/>
      <c r="N162" s="8"/>
      <c r="O162" s="7"/>
      <c r="P162" s="8" t="s">
        <v>918</v>
      </c>
      <c r="Q162" s="8"/>
      <c r="R162" s="21">
        <v>3</v>
      </c>
      <c r="S162" s="8" t="b">
        <v>0</v>
      </c>
      <c r="T162" s="8"/>
      <c r="U162" s="8" t="s">
        <v>392</v>
      </c>
      <c r="V162" s="8" t="s">
        <v>218</v>
      </c>
    </row>
    <row r="163" spans="1:22" ht="24" x14ac:dyDescent="0.25">
      <c r="A163" s="6" t="s">
        <v>681</v>
      </c>
      <c r="B163" s="10" t="s">
        <v>680</v>
      </c>
      <c r="C163" s="11" t="s">
        <v>402</v>
      </c>
      <c r="D163" s="11" t="s">
        <v>387</v>
      </c>
      <c r="E163" s="11" t="s">
        <v>388</v>
      </c>
      <c r="F163" s="11" t="s">
        <v>684</v>
      </c>
      <c r="G163" s="23">
        <v>46118</v>
      </c>
      <c r="H163" s="23">
        <v>46173</v>
      </c>
      <c r="I163" s="11"/>
      <c r="J163" s="11"/>
      <c r="K163" s="11" t="s">
        <v>403</v>
      </c>
      <c r="L163" s="11"/>
      <c r="M163" s="11"/>
      <c r="N163" s="11"/>
      <c r="O163" s="10"/>
      <c r="P163" s="11" t="s">
        <v>919</v>
      </c>
      <c r="Q163" s="11"/>
      <c r="R163" s="20">
        <v>4</v>
      </c>
      <c r="S163" s="11" t="b">
        <v>0</v>
      </c>
      <c r="T163" s="11"/>
      <c r="U163" s="11" t="s">
        <v>392</v>
      </c>
      <c r="V163" s="11" t="s">
        <v>218</v>
      </c>
    </row>
    <row r="164" spans="1:22" ht="24" x14ac:dyDescent="0.25">
      <c r="A164" s="6" t="s">
        <v>681</v>
      </c>
      <c r="B164" s="7" t="s">
        <v>680</v>
      </c>
      <c r="C164" s="8" t="s">
        <v>405</v>
      </c>
      <c r="D164" s="8" t="s">
        <v>387</v>
      </c>
      <c r="E164" s="8" t="s">
        <v>388</v>
      </c>
      <c r="F164" s="8" t="s">
        <v>684</v>
      </c>
      <c r="G164" s="22">
        <v>46143</v>
      </c>
      <c r="H164" s="22">
        <v>46173</v>
      </c>
      <c r="I164" s="8"/>
      <c r="J164" s="8"/>
      <c r="K164" s="8" t="s">
        <v>406</v>
      </c>
      <c r="L164" s="8"/>
      <c r="M164" s="8"/>
      <c r="N164" s="8"/>
      <c r="O164" s="7"/>
      <c r="P164" s="8" t="s">
        <v>920</v>
      </c>
      <c r="Q164" s="8"/>
      <c r="R164" s="21">
        <v>7</v>
      </c>
      <c r="S164" s="8" t="b">
        <v>0</v>
      </c>
      <c r="T164" s="8"/>
      <c r="U164" s="8" t="s">
        <v>392</v>
      </c>
      <c r="V164" s="8" t="s">
        <v>218</v>
      </c>
    </row>
    <row r="165" spans="1:22" ht="24" x14ac:dyDescent="0.25">
      <c r="A165" s="6" t="s">
        <v>681</v>
      </c>
      <c r="B165" s="10" t="s">
        <v>680</v>
      </c>
      <c r="C165" s="11" t="s">
        <v>408</v>
      </c>
      <c r="D165" s="11" t="s">
        <v>387</v>
      </c>
      <c r="E165" s="11" t="s">
        <v>388</v>
      </c>
      <c r="F165" s="11" t="s">
        <v>684</v>
      </c>
      <c r="G165" s="23">
        <v>46174</v>
      </c>
      <c r="H165" s="23">
        <v>46234</v>
      </c>
      <c r="I165" s="11"/>
      <c r="J165" s="11"/>
      <c r="K165" s="11" t="s">
        <v>406</v>
      </c>
      <c r="L165" s="11"/>
      <c r="M165" s="11"/>
      <c r="N165" s="11"/>
      <c r="O165" s="10"/>
      <c r="P165" s="11" t="s">
        <v>921</v>
      </c>
      <c r="Q165" s="11"/>
      <c r="R165" s="20">
        <v>5</v>
      </c>
      <c r="S165" s="11" t="b">
        <v>0</v>
      </c>
      <c r="T165" s="11"/>
      <c r="U165" s="11" t="s">
        <v>392</v>
      </c>
      <c r="V165" s="11" t="s">
        <v>218</v>
      </c>
    </row>
    <row r="166" spans="1:22" ht="24" x14ac:dyDescent="0.25">
      <c r="A166" s="6" t="s">
        <v>681</v>
      </c>
      <c r="B166" s="7" t="s">
        <v>680</v>
      </c>
      <c r="C166" s="8" t="s">
        <v>411</v>
      </c>
      <c r="D166" s="8" t="s">
        <v>387</v>
      </c>
      <c r="E166" s="8" t="s">
        <v>388</v>
      </c>
      <c r="F166" s="8" t="s">
        <v>684</v>
      </c>
      <c r="G166" s="22">
        <v>46235</v>
      </c>
      <c r="H166" s="22">
        <v>46265</v>
      </c>
      <c r="I166" s="8"/>
      <c r="J166" s="8"/>
      <c r="K166" s="8" t="s">
        <v>406</v>
      </c>
      <c r="L166" s="8"/>
      <c r="M166" s="8"/>
      <c r="N166" s="8"/>
      <c r="O166" s="7"/>
      <c r="P166" s="8" t="s">
        <v>922</v>
      </c>
      <c r="Q166" s="8"/>
      <c r="R166" s="21">
        <v>6</v>
      </c>
      <c r="S166" s="8" t="b">
        <v>0</v>
      </c>
      <c r="T166" s="8"/>
      <c r="U166" s="8" t="s">
        <v>392</v>
      </c>
      <c r="V166" s="8" t="s">
        <v>218</v>
      </c>
    </row>
    <row r="167" spans="1:22" ht="24" x14ac:dyDescent="0.25">
      <c r="A167" s="6" t="s">
        <v>681</v>
      </c>
      <c r="B167" s="10" t="s">
        <v>680</v>
      </c>
      <c r="C167" s="11" t="s">
        <v>413</v>
      </c>
      <c r="D167" s="11" t="s">
        <v>387</v>
      </c>
      <c r="E167" s="11" t="s">
        <v>388</v>
      </c>
      <c r="F167" s="11" t="s">
        <v>684</v>
      </c>
      <c r="G167" s="23">
        <v>46174</v>
      </c>
      <c r="H167" s="23">
        <v>46326</v>
      </c>
      <c r="I167" s="11"/>
      <c r="J167" s="11"/>
      <c r="K167" s="11" t="s">
        <v>406</v>
      </c>
      <c r="L167" s="11"/>
      <c r="M167" s="11"/>
      <c r="N167" s="11"/>
      <c r="O167" s="10"/>
      <c r="P167" s="11" t="s">
        <v>923</v>
      </c>
      <c r="Q167" s="11"/>
      <c r="R167" s="20">
        <v>8</v>
      </c>
      <c r="S167" s="11" t="b">
        <v>0</v>
      </c>
      <c r="T167" s="11"/>
      <c r="U167" s="11" t="s">
        <v>392</v>
      </c>
      <c r="V167" s="11" t="s">
        <v>218</v>
      </c>
    </row>
    <row r="168" spans="1:22" ht="24" x14ac:dyDescent="0.25">
      <c r="A168" s="6" t="s">
        <v>681</v>
      </c>
      <c r="B168" s="7" t="s">
        <v>680</v>
      </c>
      <c r="C168" s="8" t="s">
        <v>415</v>
      </c>
      <c r="D168" s="8" t="s">
        <v>387</v>
      </c>
      <c r="E168" s="8" t="s">
        <v>388</v>
      </c>
      <c r="F168" s="8" t="s">
        <v>684</v>
      </c>
      <c r="G168" s="22">
        <v>46296</v>
      </c>
      <c r="H168" s="22">
        <v>46356</v>
      </c>
      <c r="I168" s="8"/>
      <c r="J168" s="8"/>
      <c r="K168" s="8" t="s">
        <v>406</v>
      </c>
      <c r="L168" s="8"/>
      <c r="M168" s="8"/>
      <c r="N168" s="8"/>
      <c r="O168" s="7"/>
      <c r="P168" s="8" t="s">
        <v>924</v>
      </c>
      <c r="Q168" s="8"/>
      <c r="R168" s="21">
        <v>9</v>
      </c>
      <c r="S168" s="8" t="b">
        <v>0</v>
      </c>
      <c r="T168" s="8"/>
      <c r="U168" s="8" t="s">
        <v>392</v>
      </c>
      <c r="V168" s="8" t="s">
        <v>218</v>
      </c>
    </row>
    <row r="169" spans="1:22" ht="24" x14ac:dyDescent="0.25">
      <c r="A169" s="6" t="s">
        <v>681</v>
      </c>
      <c r="B169" s="10" t="s">
        <v>680</v>
      </c>
      <c r="C169" s="11" t="s">
        <v>417</v>
      </c>
      <c r="D169" s="11" t="s">
        <v>387</v>
      </c>
      <c r="E169" s="11" t="s">
        <v>388</v>
      </c>
      <c r="F169" s="11" t="s">
        <v>684</v>
      </c>
      <c r="G169" s="23">
        <v>46357</v>
      </c>
      <c r="H169" s="23">
        <v>46418</v>
      </c>
      <c r="I169" s="11"/>
      <c r="J169" s="11"/>
      <c r="K169" s="11" t="s">
        <v>406</v>
      </c>
      <c r="L169" s="11"/>
      <c r="M169" s="11"/>
      <c r="N169" s="11"/>
      <c r="O169" s="10"/>
      <c r="P169" s="11" t="s">
        <v>925</v>
      </c>
      <c r="Q169" s="11"/>
      <c r="R169" s="20">
        <v>10</v>
      </c>
      <c r="S169" s="11" t="b">
        <v>0</v>
      </c>
      <c r="T169" s="11"/>
      <c r="U169" s="11" t="s">
        <v>392</v>
      </c>
      <c r="V169" s="11" t="s">
        <v>218</v>
      </c>
    </row>
    <row r="170" spans="1:22" ht="24" x14ac:dyDescent="0.25">
      <c r="A170" s="6" t="s">
        <v>681</v>
      </c>
      <c r="B170" s="7" t="s">
        <v>680</v>
      </c>
      <c r="C170" s="8" t="s">
        <v>419</v>
      </c>
      <c r="D170" s="8" t="s">
        <v>387</v>
      </c>
      <c r="E170" s="8" t="s">
        <v>388</v>
      </c>
      <c r="F170" s="8" t="s">
        <v>684</v>
      </c>
      <c r="G170" s="22">
        <v>46419</v>
      </c>
      <c r="H170" s="22">
        <v>46446</v>
      </c>
      <c r="I170" s="8"/>
      <c r="J170" s="8"/>
      <c r="K170" s="8" t="s">
        <v>406</v>
      </c>
      <c r="L170" s="8"/>
      <c r="M170" s="8"/>
      <c r="N170" s="8"/>
      <c r="O170" s="7"/>
      <c r="P170" s="8" t="s">
        <v>926</v>
      </c>
      <c r="Q170" s="8"/>
      <c r="R170" s="21">
        <v>11</v>
      </c>
      <c r="S170" s="8" t="b">
        <v>0</v>
      </c>
      <c r="T170" s="8"/>
      <c r="U170" s="8" t="s">
        <v>392</v>
      </c>
      <c r="V170" s="8" t="s">
        <v>218</v>
      </c>
    </row>
    <row r="171" spans="1:22" ht="24" x14ac:dyDescent="0.25">
      <c r="A171" s="6" t="s">
        <v>681</v>
      </c>
      <c r="B171" s="10" t="s">
        <v>680</v>
      </c>
      <c r="C171" s="11" t="s">
        <v>421</v>
      </c>
      <c r="D171" s="11" t="s">
        <v>59</v>
      </c>
      <c r="E171" s="11" t="s">
        <v>26</v>
      </c>
      <c r="F171" s="11" t="s">
        <v>684</v>
      </c>
      <c r="G171" s="23">
        <v>46388</v>
      </c>
      <c r="H171" s="23">
        <v>46660</v>
      </c>
      <c r="I171" s="11"/>
      <c r="J171" s="11"/>
      <c r="K171" s="11" t="s">
        <v>406</v>
      </c>
      <c r="L171" s="11"/>
      <c r="M171" s="11"/>
      <c r="N171" s="11"/>
      <c r="O171" s="10" t="s">
        <v>422</v>
      </c>
      <c r="P171" s="11" t="s">
        <v>927</v>
      </c>
      <c r="Q171" s="11"/>
      <c r="R171" s="20">
        <v>13</v>
      </c>
      <c r="S171" s="11" t="b">
        <v>0</v>
      </c>
      <c r="T171" s="11"/>
      <c r="U171" s="11" t="s">
        <v>392</v>
      </c>
      <c r="V171" s="11" t="s">
        <v>218</v>
      </c>
    </row>
    <row r="172" spans="1:22" ht="24" x14ac:dyDescent="0.25">
      <c r="A172" s="6" t="s">
        <v>681</v>
      </c>
      <c r="B172" s="7" t="s">
        <v>680</v>
      </c>
      <c r="C172" s="8" t="s">
        <v>424</v>
      </c>
      <c r="D172" s="8" t="s">
        <v>387</v>
      </c>
      <c r="E172" s="8" t="s">
        <v>388</v>
      </c>
      <c r="F172" s="8" t="s">
        <v>684</v>
      </c>
      <c r="G172" s="22">
        <v>46447</v>
      </c>
      <c r="H172" s="22">
        <v>46660</v>
      </c>
      <c r="I172" s="8"/>
      <c r="J172" s="8"/>
      <c r="K172" s="8" t="s">
        <v>406</v>
      </c>
      <c r="L172" s="8"/>
      <c r="M172" s="8"/>
      <c r="N172" s="8"/>
      <c r="O172" s="7"/>
      <c r="P172" s="8" t="s">
        <v>928</v>
      </c>
      <c r="Q172" s="8"/>
      <c r="R172" s="21">
        <v>12</v>
      </c>
      <c r="S172" s="8" t="b">
        <v>0</v>
      </c>
      <c r="T172" s="8"/>
      <c r="U172" s="8" t="s">
        <v>392</v>
      </c>
      <c r="V172" s="8" t="s">
        <v>218</v>
      </c>
    </row>
    <row r="173" spans="1:22" ht="24" x14ac:dyDescent="0.25">
      <c r="A173" s="6" t="s">
        <v>681</v>
      </c>
      <c r="B173" s="10" t="s">
        <v>680</v>
      </c>
      <c r="C173" s="11" t="s">
        <v>426</v>
      </c>
      <c r="D173" s="11" t="s">
        <v>387</v>
      </c>
      <c r="E173" s="11" t="s">
        <v>388</v>
      </c>
      <c r="F173" s="11" t="s">
        <v>684</v>
      </c>
      <c r="G173" s="23">
        <v>46388</v>
      </c>
      <c r="H173" s="11"/>
      <c r="I173" s="11"/>
      <c r="J173" s="11"/>
      <c r="K173" s="11" t="s">
        <v>406</v>
      </c>
      <c r="L173" s="11"/>
      <c r="M173" s="11"/>
      <c r="N173" s="11"/>
      <c r="O173" s="10"/>
      <c r="P173" s="11" t="s">
        <v>929</v>
      </c>
      <c r="Q173" s="11"/>
      <c r="R173" s="20">
        <v>14</v>
      </c>
      <c r="S173" s="11" t="b">
        <v>0</v>
      </c>
      <c r="T173" s="11"/>
      <c r="U173" s="11" t="s">
        <v>392</v>
      </c>
      <c r="V173" s="11" t="s">
        <v>218</v>
      </c>
    </row>
    <row r="174" spans="1:22" ht="24" x14ac:dyDescent="0.25">
      <c r="A174" s="6" t="s">
        <v>686</v>
      </c>
      <c r="B174" s="7" t="s">
        <v>685</v>
      </c>
      <c r="C174" s="8" t="s">
        <v>470</v>
      </c>
      <c r="D174" s="8" t="s">
        <v>394</v>
      </c>
      <c r="E174" s="8" t="s">
        <v>388</v>
      </c>
      <c r="F174" s="8" t="s">
        <v>687</v>
      </c>
      <c r="G174" s="22">
        <v>46162</v>
      </c>
      <c r="H174" s="22">
        <v>46164</v>
      </c>
      <c r="I174" s="8"/>
      <c r="J174" s="8"/>
      <c r="K174" s="8" t="s">
        <v>390</v>
      </c>
      <c r="L174" s="8"/>
      <c r="M174" s="8"/>
      <c r="N174" s="8"/>
      <c r="O174" s="7"/>
      <c r="P174" s="8" t="s">
        <v>930</v>
      </c>
      <c r="Q174" s="8"/>
      <c r="R174" s="21">
        <v>2</v>
      </c>
      <c r="S174" s="8" t="b">
        <v>0</v>
      </c>
      <c r="T174" s="8"/>
      <c r="U174" s="8" t="s">
        <v>392</v>
      </c>
      <c r="V174" s="8" t="s">
        <v>218</v>
      </c>
    </row>
    <row r="175" spans="1:22" ht="24" x14ac:dyDescent="0.25">
      <c r="A175" s="6" t="s">
        <v>686</v>
      </c>
      <c r="B175" s="10" t="s">
        <v>685</v>
      </c>
      <c r="C175" s="11" t="s">
        <v>472</v>
      </c>
      <c r="D175" s="11" t="s">
        <v>394</v>
      </c>
      <c r="E175" s="11" t="s">
        <v>388</v>
      </c>
      <c r="F175" s="11" t="s">
        <v>687</v>
      </c>
      <c r="G175" s="11"/>
      <c r="H175" s="23">
        <v>46173</v>
      </c>
      <c r="I175" s="11"/>
      <c r="J175" s="11"/>
      <c r="K175" s="11" t="s">
        <v>390</v>
      </c>
      <c r="L175" s="11"/>
      <c r="M175" s="11"/>
      <c r="N175" s="11"/>
      <c r="O175" s="10" t="s">
        <v>474</v>
      </c>
      <c r="P175" s="11" t="s">
        <v>931</v>
      </c>
      <c r="Q175" s="11"/>
      <c r="R175" s="20">
        <v>4</v>
      </c>
      <c r="S175" s="11" t="b">
        <v>0</v>
      </c>
      <c r="T175" s="11"/>
      <c r="U175" s="11" t="s">
        <v>392</v>
      </c>
      <c r="V175" s="11" t="s">
        <v>218</v>
      </c>
    </row>
    <row r="176" spans="1:22" ht="24" x14ac:dyDescent="0.25">
      <c r="A176" s="6" t="s">
        <v>686</v>
      </c>
      <c r="B176" s="7" t="s">
        <v>685</v>
      </c>
      <c r="C176" s="8" t="s">
        <v>476</v>
      </c>
      <c r="D176" s="8" t="s">
        <v>387</v>
      </c>
      <c r="E176" s="8" t="s">
        <v>388</v>
      </c>
      <c r="F176" s="8" t="s">
        <v>687</v>
      </c>
      <c r="G176" s="22">
        <v>46174</v>
      </c>
      <c r="H176" s="22">
        <v>46234</v>
      </c>
      <c r="I176" s="8"/>
      <c r="J176" s="8"/>
      <c r="K176" s="8" t="s">
        <v>403</v>
      </c>
      <c r="L176" s="8"/>
      <c r="M176" s="8"/>
      <c r="N176" s="8"/>
      <c r="O176" s="7" t="s">
        <v>478</v>
      </c>
      <c r="P176" s="8" t="s">
        <v>932</v>
      </c>
      <c r="Q176" s="8"/>
      <c r="R176" s="21">
        <v>5</v>
      </c>
      <c r="S176" s="8" t="b">
        <v>0</v>
      </c>
      <c r="T176" s="8"/>
      <c r="U176" s="8" t="s">
        <v>392</v>
      </c>
      <c r="V176" s="8" t="s">
        <v>218</v>
      </c>
    </row>
    <row r="177" spans="1:22" ht="24" x14ac:dyDescent="0.25">
      <c r="A177" s="6" t="s">
        <v>686</v>
      </c>
      <c r="B177" s="10" t="s">
        <v>685</v>
      </c>
      <c r="C177" s="11" t="s">
        <v>480</v>
      </c>
      <c r="D177" s="11" t="s">
        <v>387</v>
      </c>
      <c r="E177" s="11" t="s">
        <v>388</v>
      </c>
      <c r="F177" s="11" t="s">
        <v>687</v>
      </c>
      <c r="G177" s="11"/>
      <c r="H177" s="23">
        <v>46265</v>
      </c>
      <c r="I177" s="11"/>
      <c r="J177" s="11"/>
      <c r="K177" s="11" t="s">
        <v>403</v>
      </c>
      <c r="L177" s="11"/>
      <c r="M177" s="11"/>
      <c r="N177" s="11"/>
      <c r="O177" s="10"/>
      <c r="P177" s="11" t="s">
        <v>933</v>
      </c>
      <c r="Q177" s="11"/>
      <c r="R177" s="20">
        <v>8</v>
      </c>
      <c r="S177" s="11" t="b">
        <v>0</v>
      </c>
      <c r="T177" s="11"/>
      <c r="U177" s="11" t="s">
        <v>392</v>
      </c>
      <c r="V177" s="11" t="s">
        <v>218</v>
      </c>
    </row>
    <row r="178" spans="1:22" ht="24" x14ac:dyDescent="0.25">
      <c r="A178" s="6" t="s">
        <v>686</v>
      </c>
      <c r="B178" s="7" t="s">
        <v>685</v>
      </c>
      <c r="C178" s="8" t="s">
        <v>483</v>
      </c>
      <c r="D178" s="8" t="s">
        <v>387</v>
      </c>
      <c r="E178" s="8" t="s">
        <v>388</v>
      </c>
      <c r="F178" s="8" t="s">
        <v>687</v>
      </c>
      <c r="G178" s="8"/>
      <c r="H178" s="22">
        <v>46265</v>
      </c>
      <c r="I178" s="8"/>
      <c r="J178" s="8"/>
      <c r="K178" s="8" t="s">
        <v>403</v>
      </c>
      <c r="L178" s="8"/>
      <c r="M178" s="8"/>
      <c r="N178" s="8"/>
      <c r="O178" s="7" t="s">
        <v>484</v>
      </c>
      <c r="P178" s="8" t="s">
        <v>934</v>
      </c>
      <c r="Q178" s="8"/>
      <c r="R178" s="21">
        <v>7</v>
      </c>
      <c r="S178" s="8" t="b">
        <v>0</v>
      </c>
      <c r="T178" s="8"/>
      <c r="U178" s="8" t="s">
        <v>392</v>
      </c>
      <c r="V178" s="8" t="s">
        <v>218</v>
      </c>
    </row>
    <row r="179" spans="1:22" ht="24" x14ac:dyDescent="0.25">
      <c r="A179" s="6" t="s">
        <v>686</v>
      </c>
      <c r="B179" s="10" t="s">
        <v>685</v>
      </c>
      <c r="C179" s="11" t="s">
        <v>486</v>
      </c>
      <c r="D179" s="11" t="s">
        <v>387</v>
      </c>
      <c r="E179" s="11" t="s">
        <v>388</v>
      </c>
      <c r="F179" s="11" t="s">
        <v>687</v>
      </c>
      <c r="G179" s="11"/>
      <c r="H179" s="23">
        <v>46265</v>
      </c>
      <c r="I179" s="11"/>
      <c r="J179" s="11"/>
      <c r="K179" s="11" t="s">
        <v>403</v>
      </c>
      <c r="L179" s="11"/>
      <c r="M179" s="11"/>
      <c r="N179" s="11"/>
      <c r="O179" s="10" t="s">
        <v>484</v>
      </c>
      <c r="P179" s="11" t="s">
        <v>935</v>
      </c>
      <c r="Q179" s="11"/>
      <c r="R179" s="20">
        <v>6</v>
      </c>
      <c r="S179" s="11" t="b">
        <v>0</v>
      </c>
      <c r="T179" s="11"/>
      <c r="U179" s="11" t="s">
        <v>392</v>
      </c>
      <c r="V179" s="11" t="s">
        <v>218</v>
      </c>
    </row>
    <row r="180" spans="1:22" ht="24" x14ac:dyDescent="0.25">
      <c r="A180" s="6" t="s">
        <v>686</v>
      </c>
      <c r="B180" s="7" t="s">
        <v>685</v>
      </c>
      <c r="C180" s="8" t="s">
        <v>488</v>
      </c>
      <c r="D180" s="8" t="s">
        <v>387</v>
      </c>
      <c r="E180" s="8" t="s">
        <v>388</v>
      </c>
      <c r="F180" s="8" t="s">
        <v>687</v>
      </c>
      <c r="G180" s="22">
        <v>46266</v>
      </c>
      <c r="H180" s="22">
        <v>46387</v>
      </c>
      <c r="I180" s="8"/>
      <c r="J180" s="8"/>
      <c r="K180" s="8" t="s">
        <v>406</v>
      </c>
      <c r="L180" s="8"/>
      <c r="M180" s="8"/>
      <c r="N180" s="8"/>
      <c r="O180" s="7"/>
      <c r="P180" s="8" t="s">
        <v>936</v>
      </c>
      <c r="Q180" s="8"/>
      <c r="R180" s="21">
        <v>9</v>
      </c>
      <c r="S180" s="8" t="b">
        <v>0</v>
      </c>
      <c r="T180" s="8"/>
      <c r="U180" s="8" t="s">
        <v>392</v>
      </c>
      <c r="V180" s="8" t="s">
        <v>218</v>
      </c>
    </row>
    <row r="181" spans="1:22" ht="24" x14ac:dyDescent="0.25">
      <c r="A181" s="6" t="s">
        <v>686</v>
      </c>
      <c r="B181" s="10" t="s">
        <v>685</v>
      </c>
      <c r="C181" s="11" t="s">
        <v>490</v>
      </c>
      <c r="D181" s="11" t="s">
        <v>394</v>
      </c>
      <c r="E181" s="11" t="s">
        <v>388</v>
      </c>
      <c r="F181" s="11" t="s">
        <v>687</v>
      </c>
      <c r="G181" s="23">
        <v>46266</v>
      </c>
      <c r="H181" s="23">
        <v>46387</v>
      </c>
      <c r="I181" s="11"/>
      <c r="J181" s="11"/>
      <c r="K181" s="11" t="s">
        <v>406</v>
      </c>
      <c r="L181" s="11"/>
      <c r="M181" s="11"/>
      <c r="N181" s="11"/>
      <c r="O181" s="10"/>
      <c r="P181" s="26" t="s">
        <v>937</v>
      </c>
      <c r="Q181" s="11"/>
      <c r="R181" s="20">
        <v>10</v>
      </c>
      <c r="S181" s="11" t="b">
        <v>0</v>
      </c>
      <c r="T181" s="11"/>
      <c r="U181" s="11" t="s">
        <v>392</v>
      </c>
      <c r="V181" s="11" t="s">
        <v>218</v>
      </c>
    </row>
    <row r="182" spans="1:22" ht="24" x14ac:dyDescent="0.25">
      <c r="A182" s="6" t="s">
        <v>686</v>
      </c>
      <c r="B182" s="7" t="s">
        <v>685</v>
      </c>
      <c r="C182" s="8" t="s">
        <v>421</v>
      </c>
      <c r="D182" s="8" t="s">
        <v>59</v>
      </c>
      <c r="E182" s="8" t="s">
        <v>26</v>
      </c>
      <c r="F182" s="8" t="s">
        <v>687</v>
      </c>
      <c r="G182" s="22">
        <v>46388</v>
      </c>
      <c r="H182" s="22">
        <v>46660</v>
      </c>
      <c r="I182" s="8"/>
      <c r="J182" s="8"/>
      <c r="K182" s="8" t="s">
        <v>406</v>
      </c>
      <c r="L182" s="8"/>
      <c r="M182" s="8"/>
      <c r="N182" s="8"/>
      <c r="O182" s="7" t="s">
        <v>422</v>
      </c>
      <c r="P182" s="8" t="s">
        <v>938</v>
      </c>
      <c r="Q182" s="8"/>
      <c r="R182" s="21">
        <v>13</v>
      </c>
      <c r="S182" s="8" t="b">
        <v>0</v>
      </c>
      <c r="T182" s="8"/>
      <c r="U182" s="8" t="s">
        <v>392</v>
      </c>
      <c r="V182" s="8" t="s">
        <v>218</v>
      </c>
    </row>
    <row r="183" spans="1:22" ht="24" x14ac:dyDescent="0.25">
      <c r="A183" s="6" t="s">
        <v>686</v>
      </c>
      <c r="B183" s="10" t="s">
        <v>685</v>
      </c>
      <c r="C183" s="11" t="s">
        <v>493</v>
      </c>
      <c r="D183" s="11" t="s">
        <v>387</v>
      </c>
      <c r="E183" s="11" t="s">
        <v>388</v>
      </c>
      <c r="F183" s="11" t="s">
        <v>687</v>
      </c>
      <c r="G183" s="23">
        <v>46388</v>
      </c>
      <c r="H183" s="23">
        <v>46660</v>
      </c>
      <c r="I183" s="11"/>
      <c r="J183" s="11"/>
      <c r="K183" s="11" t="s">
        <v>406</v>
      </c>
      <c r="L183" s="11"/>
      <c r="M183" s="11"/>
      <c r="N183" s="11"/>
      <c r="O183" s="10" t="s">
        <v>484</v>
      </c>
      <c r="P183" s="11" t="s">
        <v>939</v>
      </c>
      <c r="Q183" s="11"/>
      <c r="R183" s="20">
        <v>11</v>
      </c>
      <c r="S183" s="11" t="b">
        <v>0</v>
      </c>
      <c r="T183" s="11"/>
      <c r="U183" s="11" t="s">
        <v>392</v>
      </c>
      <c r="V183" s="11" t="s">
        <v>218</v>
      </c>
    </row>
    <row r="184" spans="1:22" ht="24" x14ac:dyDescent="0.25">
      <c r="A184" s="6" t="s">
        <v>686</v>
      </c>
      <c r="B184" s="7" t="s">
        <v>685</v>
      </c>
      <c r="C184" s="8" t="s">
        <v>495</v>
      </c>
      <c r="D184" s="8" t="s">
        <v>387</v>
      </c>
      <c r="E184" s="8" t="s">
        <v>388</v>
      </c>
      <c r="F184" s="8" t="s">
        <v>687</v>
      </c>
      <c r="G184" s="22">
        <v>46388</v>
      </c>
      <c r="H184" s="8"/>
      <c r="I184" s="8"/>
      <c r="J184" s="8"/>
      <c r="K184" s="8" t="s">
        <v>406</v>
      </c>
      <c r="L184" s="8"/>
      <c r="M184" s="8"/>
      <c r="N184" s="8"/>
      <c r="O184" s="7" t="s">
        <v>484</v>
      </c>
      <c r="P184" s="8" t="s">
        <v>940</v>
      </c>
      <c r="Q184" s="8"/>
      <c r="R184" s="21">
        <v>12</v>
      </c>
      <c r="S184" s="8" t="b">
        <v>0</v>
      </c>
      <c r="T184" s="8"/>
      <c r="U184" s="8" t="s">
        <v>392</v>
      </c>
      <c r="V184" s="8" t="s">
        <v>218</v>
      </c>
    </row>
    <row r="185" spans="1:22" ht="24" x14ac:dyDescent="0.25">
      <c r="A185" s="6" t="s">
        <v>686</v>
      </c>
      <c r="B185" s="10" t="s">
        <v>685</v>
      </c>
      <c r="C185" s="11" t="s">
        <v>661</v>
      </c>
      <c r="D185" s="11" t="s">
        <v>387</v>
      </c>
      <c r="E185" s="11" t="s">
        <v>388</v>
      </c>
      <c r="F185" s="11" t="s">
        <v>687</v>
      </c>
      <c r="G185" s="11"/>
      <c r="H185" s="11"/>
      <c r="I185" s="11"/>
      <c r="J185" s="11"/>
      <c r="K185" s="11" t="s">
        <v>390</v>
      </c>
      <c r="L185" s="11"/>
      <c r="M185" s="11"/>
      <c r="N185" s="11"/>
      <c r="O185" s="10"/>
      <c r="P185" s="11" t="s">
        <v>941</v>
      </c>
      <c r="Q185" s="11"/>
      <c r="R185" s="20">
        <v>0</v>
      </c>
      <c r="S185" s="11" t="b">
        <v>0</v>
      </c>
      <c r="T185" s="11"/>
      <c r="U185" s="11" t="s">
        <v>392</v>
      </c>
      <c r="V185" s="11" t="s">
        <v>218</v>
      </c>
    </row>
    <row r="186" spans="1:22" ht="24" x14ac:dyDescent="0.25">
      <c r="A186" s="6" t="s">
        <v>686</v>
      </c>
      <c r="B186" s="7" t="s">
        <v>685</v>
      </c>
      <c r="C186" s="8" t="s">
        <v>498</v>
      </c>
      <c r="D186" s="8" t="s">
        <v>387</v>
      </c>
      <c r="E186" s="8" t="s">
        <v>388</v>
      </c>
      <c r="F186" s="8" t="s">
        <v>687</v>
      </c>
      <c r="G186" s="8"/>
      <c r="H186" s="8"/>
      <c r="I186" s="8"/>
      <c r="J186" s="8"/>
      <c r="K186" s="8" t="s">
        <v>390</v>
      </c>
      <c r="L186" s="8"/>
      <c r="M186" s="8"/>
      <c r="N186" s="8"/>
      <c r="O186" s="7"/>
      <c r="P186" s="8" t="s">
        <v>942</v>
      </c>
      <c r="Q186" s="8"/>
      <c r="R186" s="21">
        <v>1</v>
      </c>
      <c r="S186" s="8" t="b">
        <v>0</v>
      </c>
      <c r="T186" s="8"/>
      <c r="U186" s="8" t="s">
        <v>392</v>
      </c>
      <c r="V186" s="8" t="s">
        <v>218</v>
      </c>
    </row>
    <row r="187" spans="1:22" ht="24" x14ac:dyDescent="0.25">
      <c r="A187" s="6" t="s">
        <v>686</v>
      </c>
      <c r="B187" s="10" t="s">
        <v>685</v>
      </c>
      <c r="C187" s="11" t="s">
        <v>446</v>
      </c>
      <c r="D187" s="11" t="s">
        <v>394</v>
      </c>
      <c r="E187" s="11" t="s">
        <v>388</v>
      </c>
      <c r="F187" s="11" t="s">
        <v>687</v>
      </c>
      <c r="G187" s="11"/>
      <c r="H187" s="11"/>
      <c r="I187" s="11"/>
      <c r="J187" s="11"/>
      <c r="K187" s="11" t="s">
        <v>390</v>
      </c>
      <c r="L187" s="11"/>
      <c r="M187" s="11"/>
      <c r="N187" s="11"/>
      <c r="O187" s="10"/>
      <c r="P187" s="11" t="s">
        <v>943</v>
      </c>
      <c r="Q187" s="11"/>
      <c r="R187" s="20">
        <v>3</v>
      </c>
      <c r="S187" s="11" t="b">
        <v>0</v>
      </c>
      <c r="T187" s="11"/>
      <c r="U187" s="11" t="s">
        <v>392</v>
      </c>
      <c r="V187" s="11" t="s">
        <v>218</v>
      </c>
    </row>
    <row r="188" spans="1:22" x14ac:dyDescent="0.25">
      <c r="A188" s="6" t="s">
        <v>689</v>
      </c>
      <c r="B188" s="7" t="s">
        <v>688</v>
      </c>
      <c r="C188" s="8" t="s">
        <v>521</v>
      </c>
      <c r="D188" s="8" t="s">
        <v>394</v>
      </c>
      <c r="E188" s="8" t="s">
        <v>388</v>
      </c>
      <c r="F188" s="8" t="s">
        <v>691</v>
      </c>
      <c r="G188" s="22">
        <v>46143</v>
      </c>
      <c r="H188" s="22">
        <v>46173</v>
      </c>
      <c r="I188" s="8"/>
      <c r="J188" s="8"/>
      <c r="K188" s="8" t="s">
        <v>403</v>
      </c>
      <c r="L188" s="8"/>
      <c r="M188" s="8"/>
      <c r="N188" s="8"/>
      <c r="O188" s="7"/>
      <c r="P188" s="8" t="s">
        <v>944</v>
      </c>
      <c r="Q188" s="8"/>
      <c r="R188" s="21">
        <v>0</v>
      </c>
      <c r="S188" s="8" t="b">
        <v>0</v>
      </c>
      <c r="T188" s="8"/>
      <c r="U188" s="8" t="s">
        <v>392</v>
      </c>
      <c r="V188" s="8" t="s">
        <v>218</v>
      </c>
    </row>
    <row r="189" spans="1:22" x14ac:dyDescent="0.25">
      <c r="A189" s="6" t="s">
        <v>689</v>
      </c>
      <c r="B189" s="10" t="s">
        <v>688</v>
      </c>
      <c r="C189" s="11" t="s">
        <v>523</v>
      </c>
      <c r="D189" s="11" t="s">
        <v>394</v>
      </c>
      <c r="E189" s="11" t="s">
        <v>388</v>
      </c>
      <c r="F189" s="11" t="s">
        <v>691</v>
      </c>
      <c r="G189" s="23">
        <v>46174</v>
      </c>
      <c r="H189" s="23">
        <v>46203</v>
      </c>
      <c r="I189" s="11"/>
      <c r="J189" s="11"/>
      <c r="K189" s="11" t="s">
        <v>406</v>
      </c>
      <c r="L189" s="11"/>
      <c r="M189" s="11"/>
      <c r="N189" s="11"/>
      <c r="O189" s="10"/>
      <c r="P189" s="11" t="s">
        <v>945</v>
      </c>
      <c r="Q189" s="11"/>
      <c r="R189" s="20">
        <v>1</v>
      </c>
      <c r="S189" s="11" t="b">
        <v>0</v>
      </c>
      <c r="T189" s="11"/>
      <c r="U189" s="11" t="s">
        <v>392</v>
      </c>
      <c r="V189" s="11" t="s">
        <v>218</v>
      </c>
    </row>
    <row r="190" spans="1:22" x14ac:dyDescent="0.25">
      <c r="A190" s="6" t="s">
        <v>689</v>
      </c>
      <c r="B190" s="7" t="s">
        <v>688</v>
      </c>
      <c r="C190" s="8" t="s">
        <v>662</v>
      </c>
      <c r="D190" s="8" t="s">
        <v>394</v>
      </c>
      <c r="E190" s="8" t="s">
        <v>388</v>
      </c>
      <c r="F190" s="8" t="s">
        <v>691</v>
      </c>
      <c r="G190" s="22">
        <v>46204</v>
      </c>
      <c r="H190" s="22">
        <v>46234</v>
      </c>
      <c r="I190" s="8"/>
      <c r="J190" s="8"/>
      <c r="K190" s="8" t="s">
        <v>406</v>
      </c>
      <c r="L190" s="8"/>
      <c r="M190" s="8"/>
      <c r="N190" s="8"/>
      <c r="O190" s="7"/>
      <c r="P190" s="8" t="s">
        <v>946</v>
      </c>
      <c r="Q190" s="8"/>
      <c r="R190" s="21">
        <v>2</v>
      </c>
      <c r="S190" s="8" t="b">
        <v>0</v>
      </c>
      <c r="T190" s="8"/>
      <c r="U190" s="8" t="s">
        <v>392</v>
      </c>
      <c r="V190" s="8" t="s">
        <v>218</v>
      </c>
    </row>
    <row r="191" spans="1:22" x14ac:dyDescent="0.25">
      <c r="A191" s="6" t="s">
        <v>689</v>
      </c>
      <c r="B191" s="10" t="s">
        <v>688</v>
      </c>
      <c r="C191" s="11" t="s">
        <v>526</v>
      </c>
      <c r="D191" s="11" t="s">
        <v>394</v>
      </c>
      <c r="E191" s="11" t="s">
        <v>388</v>
      </c>
      <c r="F191" s="11" t="s">
        <v>691</v>
      </c>
      <c r="G191" s="23">
        <v>46204</v>
      </c>
      <c r="H191" s="23">
        <v>46234</v>
      </c>
      <c r="I191" s="11"/>
      <c r="J191" s="11"/>
      <c r="K191" s="11" t="s">
        <v>406</v>
      </c>
      <c r="L191" s="11"/>
      <c r="M191" s="11"/>
      <c r="N191" s="11"/>
      <c r="O191" s="10"/>
      <c r="P191" s="26" t="s">
        <v>947</v>
      </c>
      <c r="Q191" s="11"/>
      <c r="R191" s="20">
        <v>3</v>
      </c>
      <c r="S191" s="11" t="b">
        <v>0</v>
      </c>
      <c r="T191" s="11"/>
      <c r="U191" s="11" t="s">
        <v>392</v>
      </c>
      <c r="V191" s="11" t="s">
        <v>218</v>
      </c>
    </row>
    <row r="192" spans="1:22" x14ac:dyDescent="0.25">
      <c r="A192" s="6" t="s">
        <v>689</v>
      </c>
      <c r="B192" s="7" t="s">
        <v>688</v>
      </c>
      <c r="C192" s="8" t="s">
        <v>528</v>
      </c>
      <c r="D192" s="8" t="s">
        <v>394</v>
      </c>
      <c r="E192" s="8" t="s">
        <v>388</v>
      </c>
      <c r="F192" s="8" t="s">
        <v>691</v>
      </c>
      <c r="G192" s="22">
        <v>46235</v>
      </c>
      <c r="H192" s="22">
        <v>46265</v>
      </c>
      <c r="I192" s="8"/>
      <c r="J192" s="8"/>
      <c r="K192" s="8" t="s">
        <v>406</v>
      </c>
      <c r="L192" s="8"/>
      <c r="M192" s="8"/>
      <c r="N192" s="8"/>
      <c r="O192" s="7"/>
      <c r="P192" s="8" t="s">
        <v>948</v>
      </c>
      <c r="Q192" s="8"/>
      <c r="R192" s="21">
        <v>4</v>
      </c>
      <c r="S192" s="8" t="b">
        <v>0</v>
      </c>
      <c r="T192" s="8"/>
      <c r="U192" s="8" t="s">
        <v>392</v>
      </c>
      <c r="V192" s="8" t="s">
        <v>218</v>
      </c>
    </row>
    <row r="193" spans="1:22" x14ac:dyDescent="0.25">
      <c r="A193" s="6" t="s">
        <v>689</v>
      </c>
      <c r="B193" s="10" t="s">
        <v>688</v>
      </c>
      <c r="C193" s="11" t="s">
        <v>530</v>
      </c>
      <c r="D193" s="11" t="s">
        <v>394</v>
      </c>
      <c r="E193" s="11" t="s">
        <v>388</v>
      </c>
      <c r="F193" s="11" t="s">
        <v>691</v>
      </c>
      <c r="G193" s="23">
        <v>46266</v>
      </c>
      <c r="H193" s="23">
        <v>46326</v>
      </c>
      <c r="I193" s="11"/>
      <c r="J193" s="11"/>
      <c r="K193" s="11" t="s">
        <v>406</v>
      </c>
      <c r="L193" s="11"/>
      <c r="M193" s="11"/>
      <c r="N193" s="11"/>
      <c r="O193" s="10"/>
      <c r="P193" s="11" t="s">
        <v>949</v>
      </c>
      <c r="Q193" s="11"/>
      <c r="R193" s="20">
        <v>5</v>
      </c>
      <c r="S193" s="11" t="b">
        <v>0</v>
      </c>
      <c r="T193" s="11"/>
      <c r="U193" s="11" t="s">
        <v>392</v>
      </c>
      <c r="V193" s="11" t="s">
        <v>218</v>
      </c>
    </row>
    <row r="194" spans="1:22" x14ac:dyDescent="0.25">
      <c r="A194" s="6" t="s">
        <v>689</v>
      </c>
      <c r="B194" s="7" t="s">
        <v>688</v>
      </c>
      <c r="C194" s="8" t="s">
        <v>532</v>
      </c>
      <c r="D194" s="8" t="s">
        <v>394</v>
      </c>
      <c r="E194" s="8" t="s">
        <v>388</v>
      </c>
      <c r="F194" s="8" t="s">
        <v>691</v>
      </c>
      <c r="G194" s="22">
        <v>46327</v>
      </c>
      <c r="H194" s="22">
        <v>46387</v>
      </c>
      <c r="I194" s="8"/>
      <c r="J194" s="8"/>
      <c r="K194" s="8" t="s">
        <v>406</v>
      </c>
      <c r="L194" s="8"/>
      <c r="M194" s="8"/>
      <c r="N194" s="8"/>
      <c r="O194" s="7"/>
      <c r="P194" s="8" t="s">
        <v>950</v>
      </c>
      <c r="Q194" s="8"/>
      <c r="R194" s="21">
        <v>6</v>
      </c>
      <c r="S194" s="8" t="b">
        <v>0</v>
      </c>
      <c r="T194" s="8"/>
      <c r="U194" s="8" t="s">
        <v>392</v>
      </c>
      <c r="V194" s="8" t="s">
        <v>218</v>
      </c>
    </row>
    <row r="195" spans="1:22" x14ac:dyDescent="0.25">
      <c r="A195" s="6" t="s">
        <v>689</v>
      </c>
      <c r="B195" s="10" t="s">
        <v>688</v>
      </c>
      <c r="C195" s="11" t="s">
        <v>534</v>
      </c>
      <c r="D195" s="11" t="s">
        <v>394</v>
      </c>
      <c r="E195" s="11" t="s">
        <v>388</v>
      </c>
      <c r="F195" s="11" t="s">
        <v>691</v>
      </c>
      <c r="G195" s="23">
        <v>46388</v>
      </c>
      <c r="H195" s="11"/>
      <c r="I195" s="11"/>
      <c r="J195" s="11"/>
      <c r="K195" s="11" t="s">
        <v>406</v>
      </c>
      <c r="L195" s="11"/>
      <c r="M195" s="11"/>
      <c r="N195" s="11"/>
      <c r="O195" s="10"/>
      <c r="P195" s="11" t="s">
        <v>951</v>
      </c>
      <c r="Q195" s="11"/>
      <c r="R195" s="20">
        <v>8</v>
      </c>
      <c r="S195" s="11" t="b">
        <v>0</v>
      </c>
      <c r="T195" s="11"/>
      <c r="U195" s="11" t="s">
        <v>392</v>
      </c>
      <c r="V195" s="11" t="s">
        <v>218</v>
      </c>
    </row>
    <row r="196" spans="1:22" x14ac:dyDescent="0.25">
      <c r="A196" s="6" t="s">
        <v>689</v>
      </c>
      <c r="B196" s="7" t="s">
        <v>688</v>
      </c>
      <c r="C196" s="8" t="s">
        <v>536</v>
      </c>
      <c r="D196" s="8" t="s">
        <v>394</v>
      </c>
      <c r="E196" s="8" t="s">
        <v>388</v>
      </c>
      <c r="F196" s="8" t="s">
        <v>691</v>
      </c>
      <c r="G196" s="22">
        <v>46388</v>
      </c>
      <c r="H196" s="8"/>
      <c r="I196" s="8"/>
      <c r="J196" s="8"/>
      <c r="K196" s="8" t="s">
        <v>406</v>
      </c>
      <c r="L196" s="8"/>
      <c r="M196" s="8"/>
      <c r="N196" s="8"/>
      <c r="O196" s="7"/>
      <c r="P196" s="8" t="s">
        <v>952</v>
      </c>
      <c r="Q196" s="8"/>
      <c r="R196" s="21">
        <v>7</v>
      </c>
      <c r="S196" s="8" t="b">
        <v>0</v>
      </c>
      <c r="T196" s="8"/>
      <c r="U196" s="8" t="s">
        <v>392</v>
      </c>
      <c r="V196" s="8" t="s">
        <v>218</v>
      </c>
    </row>
    <row r="197" spans="1:22" x14ac:dyDescent="0.25">
      <c r="A197" s="6" t="s">
        <v>689</v>
      </c>
      <c r="B197" s="10" t="s">
        <v>688</v>
      </c>
      <c r="C197" s="11" t="s">
        <v>538</v>
      </c>
      <c r="D197" s="11" t="s">
        <v>394</v>
      </c>
      <c r="E197" s="11" t="s">
        <v>388</v>
      </c>
      <c r="F197" s="11" t="s">
        <v>691</v>
      </c>
      <c r="G197" s="23">
        <v>46388</v>
      </c>
      <c r="H197" s="11"/>
      <c r="I197" s="11"/>
      <c r="J197" s="11"/>
      <c r="K197" s="11" t="s">
        <v>406</v>
      </c>
      <c r="L197" s="11"/>
      <c r="M197" s="11"/>
      <c r="N197" s="11"/>
      <c r="O197" s="10"/>
      <c r="P197" s="11" t="s">
        <v>953</v>
      </c>
      <c r="Q197" s="11"/>
      <c r="R197" s="20">
        <v>9</v>
      </c>
      <c r="S197" s="11" t="b">
        <v>0</v>
      </c>
      <c r="T197" s="11"/>
      <c r="U197" s="11" t="s">
        <v>392</v>
      </c>
      <c r="V197" s="11" t="s">
        <v>218</v>
      </c>
    </row>
    <row r="198" spans="1:22" x14ac:dyDescent="0.25">
      <c r="A198" s="6" t="s">
        <v>693</v>
      </c>
      <c r="B198" s="7" t="s">
        <v>692</v>
      </c>
      <c r="C198" s="8" t="s">
        <v>501</v>
      </c>
      <c r="D198" s="8" t="s">
        <v>394</v>
      </c>
      <c r="E198" s="8" t="s">
        <v>388</v>
      </c>
      <c r="F198" s="8" t="s">
        <v>694</v>
      </c>
      <c r="G198" s="22">
        <v>46158</v>
      </c>
      <c r="H198" s="22">
        <v>46173</v>
      </c>
      <c r="I198" s="8"/>
      <c r="J198" s="8"/>
      <c r="K198" s="8" t="s">
        <v>403</v>
      </c>
      <c r="L198" s="8"/>
      <c r="M198" s="8"/>
      <c r="N198" s="8"/>
      <c r="O198" s="7"/>
      <c r="P198" s="8" t="s">
        <v>954</v>
      </c>
      <c r="Q198" s="8"/>
      <c r="R198" s="21">
        <v>1</v>
      </c>
      <c r="S198" s="8" t="b">
        <v>0</v>
      </c>
      <c r="T198" s="8"/>
      <c r="U198" s="8" t="s">
        <v>392</v>
      </c>
      <c r="V198" s="8" t="s">
        <v>218</v>
      </c>
    </row>
    <row r="199" spans="1:22" x14ac:dyDescent="0.25">
      <c r="A199" s="6" t="s">
        <v>693</v>
      </c>
      <c r="B199" s="10" t="s">
        <v>692</v>
      </c>
      <c r="C199" s="11" t="s">
        <v>503</v>
      </c>
      <c r="D199" s="11" t="s">
        <v>394</v>
      </c>
      <c r="E199" s="11" t="s">
        <v>388</v>
      </c>
      <c r="F199" s="11" t="s">
        <v>694</v>
      </c>
      <c r="G199" s="23">
        <v>46143</v>
      </c>
      <c r="H199" s="23">
        <v>46178</v>
      </c>
      <c r="I199" s="11"/>
      <c r="J199" s="11"/>
      <c r="K199" s="11" t="s">
        <v>403</v>
      </c>
      <c r="L199" s="11"/>
      <c r="M199" s="11" t="s">
        <v>501</v>
      </c>
      <c r="N199" s="11"/>
      <c r="O199" s="10"/>
      <c r="P199" s="11" t="s">
        <v>955</v>
      </c>
      <c r="Q199" s="11"/>
      <c r="R199" s="20">
        <v>0</v>
      </c>
      <c r="S199" s="11" t="b">
        <v>0</v>
      </c>
      <c r="T199" s="11"/>
      <c r="U199" s="11" t="s">
        <v>392</v>
      </c>
      <c r="V199" s="11" t="s">
        <v>218</v>
      </c>
    </row>
    <row r="200" spans="1:22" x14ac:dyDescent="0.25">
      <c r="A200" s="6" t="s">
        <v>693</v>
      </c>
      <c r="B200" s="7" t="s">
        <v>692</v>
      </c>
      <c r="C200" s="8" t="s">
        <v>505</v>
      </c>
      <c r="D200" s="8" t="s">
        <v>394</v>
      </c>
      <c r="E200" s="8" t="s">
        <v>388</v>
      </c>
      <c r="F200" s="8" t="s">
        <v>694</v>
      </c>
      <c r="G200" s="8"/>
      <c r="H200" s="22">
        <v>46203</v>
      </c>
      <c r="I200" s="8"/>
      <c r="J200" s="8"/>
      <c r="K200" s="8" t="s">
        <v>406</v>
      </c>
      <c r="L200" s="8"/>
      <c r="M200" s="8"/>
      <c r="N200" s="8"/>
      <c r="O200" s="7"/>
      <c r="P200" s="8" t="s">
        <v>956</v>
      </c>
      <c r="Q200" s="8"/>
      <c r="R200" s="21">
        <v>9</v>
      </c>
      <c r="S200" s="8" t="b">
        <v>0</v>
      </c>
      <c r="T200" s="8"/>
      <c r="U200" s="8" t="s">
        <v>392</v>
      </c>
      <c r="V200" s="8" t="s">
        <v>218</v>
      </c>
    </row>
    <row r="201" spans="1:22" x14ac:dyDescent="0.25">
      <c r="A201" s="6" t="s">
        <v>693</v>
      </c>
      <c r="B201" s="10" t="s">
        <v>692</v>
      </c>
      <c r="C201" s="11" t="s">
        <v>507</v>
      </c>
      <c r="D201" s="11" t="s">
        <v>394</v>
      </c>
      <c r="E201" s="11" t="s">
        <v>388</v>
      </c>
      <c r="F201" s="11" t="s">
        <v>694</v>
      </c>
      <c r="G201" s="23">
        <v>46174</v>
      </c>
      <c r="H201" s="23">
        <v>46295</v>
      </c>
      <c r="I201" s="11"/>
      <c r="J201" s="11"/>
      <c r="K201" s="11" t="s">
        <v>406</v>
      </c>
      <c r="L201" s="11"/>
      <c r="M201" s="11"/>
      <c r="N201" s="11"/>
      <c r="O201" s="10"/>
      <c r="P201" s="11" t="s">
        <v>957</v>
      </c>
      <c r="Q201" s="11"/>
      <c r="R201" s="20">
        <v>2</v>
      </c>
      <c r="S201" s="11" t="b">
        <v>0</v>
      </c>
      <c r="T201" s="11"/>
      <c r="U201" s="11" t="s">
        <v>392</v>
      </c>
      <c r="V201" s="11" t="s">
        <v>218</v>
      </c>
    </row>
    <row r="202" spans="1:22" x14ac:dyDescent="0.25">
      <c r="A202" s="6" t="s">
        <v>693</v>
      </c>
      <c r="B202" s="7" t="s">
        <v>692</v>
      </c>
      <c r="C202" s="8" t="s">
        <v>509</v>
      </c>
      <c r="D202" s="8" t="s">
        <v>394</v>
      </c>
      <c r="E202" s="8" t="s">
        <v>388</v>
      </c>
      <c r="F202" s="8" t="s">
        <v>694</v>
      </c>
      <c r="G202" s="22">
        <v>46327</v>
      </c>
      <c r="H202" s="22">
        <v>46371</v>
      </c>
      <c r="I202" s="8"/>
      <c r="J202" s="8"/>
      <c r="K202" s="8" t="s">
        <v>406</v>
      </c>
      <c r="L202" s="8"/>
      <c r="M202" s="8"/>
      <c r="N202" s="8"/>
      <c r="O202" s="7"/>
      <c r="P202" s="8" t="s">
        <v>958</v>
      </c>
      <c r="Q202" s="8"/>
      <c r="R202" s="21">
        <v>6</v>
      </c>
      <c r="S202" s="8" t="b">
        <v>0</v>
      </c>
      <c r="T202" s="8"/>
      <c r="U202" s="8" t="s">
        <v>392</v>
      </c>
      <c r="V202" s="8" t="s">
        <v>218</v>
      </c>
    </row>
    <row r="203" spans="1:22" x14ac:dyDescent="0.25">
      <c r="A203" s="6" t="s">
        <v>693</v>
      </c>
      <c r="B203" s="10" t="s">
        <v>692</v>
      </c>
      <c r="C203" s="11" t="s">
        <v>511</v>
      </c>
      <c r="D203" s="11" t="s">
        <v>394</v>
      </c>
      <c r="E203" s="11" t="s">
        <v>388</v>
      </c>
      <c r="F203" s="11" t="s">
        <v>694</v>
      </c>
      <c r="G203" s="23">
        <v>46189</v>
      </c>
      <c r="H203" s="23">
        <v>46387</v>
      </c>
      <c r="I203" s="11"/>
      <c r="J203" s="11"/>
      <c r="K203" s="11" t="s">
        <v>406</v>
      </c>
      <c r="L203" s="11"/>
      <c r="M203" s="11"/>
      <c r="N203" s="11"/>
      <c r="O203" s="10"/>
      <c r="P203" s="11" t="s">
        <v>959</v>
      </c>
      <c r="Q203" s="11"/>
      <c r="R203" s="20">
        <v>3</v>
      </c>
      <c r="S203" s="11" t="b">
        <v>0</v>
      </c>
      <c r="T203" s="11"/>
      <c r="U203" s="11" t="s">
        <v>392</v>
      </c>
      <c r="V203" s="11" t="s">
        <v>218</v>
      </c>
    </row>
    <row r="204" spans="1:22" x14ac:dyDescent="0.25">
      <c r="A204" s="6" t="s">
        <v>693</v>
      </c>
      <c r="B204" s="7" t="s">
        <v>692</v>
      </c>
      <c r="C204" s="8" t="s">
        <v>513</v>
      </c>
      <c r="D204" s="8" t="s">
        <v>394</v>
      </c>
      <c r="E204" s="8" t="s">
        <v>388</v>
      </c>
      <c r="F204" s="8" t="s">
        <v>694</v>
      </c>
      <c r="G204" s="22">
        <v>46372</v>
      </c>
      <c r="H204" s="22">
        <v>46418</v>
      </c>
      <c r="I204" s="8"/>
      <c r="J204" s="8"/>
      <c r="K204" s="8" t="s">
        <v>406</v>
      </c>
      <c r="L204" s="8"/>
      <c r="M204" s="8"/>
      <c r="N204" s="8"/>
      <c r="O204" s="7"/>
      <c r="P204" s="8" t="s">
        <v>960</v>
      </c>
      <c r="Q204" s="8"/>
      <c r="R204" s="21">
        <v>7</v>
      </c>
      <c r="S204" s="8" t="b">
        <v>0</v>
      </c>
      <c r="T204" s="8"/>
      <c r="U204" s="8" t="s">
        <v>392</v>
      </c>
      <c r="V204" s="8" t="s">
        <v>218</v>
      </c>
    </row>
    <row r="205" spans="1:22" x14ac:dyDescent="0.25">
      <c r="A205" s="6" t="s">
        <v>693</v>
      </c>
      <c r="B205" s="10" t="s">
        <v>692</v>
      </c>
      <c r="C205" s="11" t="s">
        <v>515</v>
      </c>
      <c r="D205" s="11" t="s">
        <v>394</v>
      </c>
      <c r="E205" s="11" t="s">
        <v>388</v>
      </c>
      <c r="F205" s="11" t="s">
        <v>694</v>
      </c>
      <c r="G205" s="23">
        <v>46388</v>
      </c>
      <c r="H205" s="23">
        <v>46477</v>
      </c>
      <c r="I205" s="11"/>
      <c r="J205" s="11"/>
      <c r="K205" s="11" t="s">
        <v>406</v>
      </c>
      <c r="L205" s="11"/>
      <c r="M205" s="11"/>
      <c r="N205" s="11"/>
      <c r="O205" s="10"/>
      <c r="P205" s="11" t="s">
        <v>961</v>
      </c>
      <c r="Q205" s="11"/>
      <c r="R205" s="20">
        <v>8</v>
      </c>
      <c r="S205" s="11" t="b">
        <v>0</v>
      </c>
      <c r="T205" s="11"/>
      <c r="U205" s="11" t="s">
        <v>392</v>
      </c>
      <c r="V205" s="11" t="s">
        <v>218</v>
      </c>
    </row>
    <row r="206" spans="1:22" x14ac:dyDescent="0.25">
      <c r="A206" s="6" t="s">
        <v>693</v>
      </c>
      <c r="B206" s="7" t="s">
        <v>692</v>
      </c>
      <c r="C206" s="8" t="s">
        <v>517</v>
      </c>
      <c r="D206" s="8" t="s">
        <v>394</v>
      </c>
      <c r="E206" s="8" t="s">
        <v>388</v>
      </c>
      <c r="F206" s="8" t="s">
        <v>694</v>
      </c>
      <c r="G206" s="22">
        <v>46082</v>
      </c>
      <c r="H206" s="22">
        <v>46477</v>
      </c>
      <c r="I206" s="8"/>
      <c r="J206" s="8"/>
      <c r="K206" s="8" t="s">
        <v>406</v>
      </c>
      <c r="L206" s="8"/>
      <c r="M206" s="8"/>
      <c r="N206" s="8"/>
      <c r="O206" s="7"/>
      <c r="P206" s="8" t="s">
        <v>962</v>
      </c>
      <c r="Q206" s="8"/>
      <c r="R206" s="21">
        <v>5</v>
      </c>
      <c r="S206" s="8" t="b">
        <v>0</v>
      </c>
      <c r="T206" s="8"/>
      <c r="U206" s="8" t="s">
        <v>392</v>
      </c>
      <c r="V206" s="8" t="s">
        <v>218</v>
      </c>
    </row>
    <row r="207" spans="1:22" x14ac:dyDescent="0.25">
      <c r="A207" s="6" t="s">
        <v>693</v>
      </c>
      <c r="B207" s="10" t="s">
        <v>692</v>
      </c>
      <c r="C207" s="11" t="s">
        <v>519</v>
      </c>
      <c r="D207" s="11" t="s">
        <v>394</v>
      </c>
      <c r="E207" s="11" t="s">
        <v>388</v>
      </c>
      <c r="F207" s="11" t="s">
        <v>694</v>
      </c>
      <c r="G207" s="23">
        <v>46661</v>
      </c>
      <c r="H207" s="23">
        <v>46752</v>
      </c>
      <c r="I207" s="11"/>
      <c r="J207" s="11"/>
      <c r="K207" s="11" t="s">
        <v>406</v>
      </c>
      <c r="L207" s="11"/>
      <c r="M207" s="11"/>
      <c r="N207" s="11"/>
      <c r="O207" s="10"/>
      <c r="P207" s="11" t="s">
        <v>963</v>
      </c>
      <c r="Q207" s="11"/>
      <c r="R207" s="20">
        <v>10</v>
      </c>
      <c r="S207" s="11" t="b">
        <v>0</v>
      </c>
      <c r="T207" s="11"/>
      <c r="U207" s="11" t="s">
        <v>392</v>
      </c>
      <c r="V207" s="11" t="s">
        <v>218</v>
      </c>
    </row>
    <row r="208" spans="1:22" x14ac:dyDescent="0.25">
      <c r="A208" s="6" t="s">
        <v>696</v>
      </c>
      <c r="B208" s="7" t="s">
        <v>695</v>
      </c>
      <c r="C208" s="8" t="s">
        <v>386</v>
      </c>
      <c r="D208" s="8" t="s">
        <v>387</v>
      </c>
      <c r="E208" s="8" t="s">
        <v>388</v>
      </c>
      <c r="F208" s="8" t="s">
        <v>697</v>
      </c>
      <c r="G208" s="22">
        <v>46104</v>
      </c>
      <c r="H208" s="22">
        <v>46115</v>
      </c>
      <c r="I208" s="8"/>
      <c r="J208" s="8"/>
      <c r="K208" s="8" t="s">
        <v>390</v>
      </c>
      <c r="L208" s="8"/>
      <c r="M208" s="8"/>
      <c r="N208" s="8"/>
      <c r="O208" s="7" t="s">
        <v>428</v>
      </c>
      <c r="P208" s="25" t="s">
        <v>964</v>
      </c>
      <c r="Q208" s="8"/>
      <c r="R208" s="21">
        <v>0</v>
      </c>
      <c r="S208" s="8" t="b">
        <v>0</v>
      </c>
      <c r="T208" s="8"/>
      <c r="U208" s="8" t="s">
        <v>392</v>
      </c>
      <c r="V208" s="8" t="s">
        <v>218</v>
      </c>
    </row>
    <row r="209" spans="1:22" x14ac:dyDescent="0.25">
      <c r="A209" s="6" t="s">
        <v>696</v>
      </c>
      <c r="B209" s="10" t="s">
        <v>695</v>
      </c>
      <c r="C209" s="11" t="s">
        <v>430</v>
      </c>
      <c r="D209" s="11" t="s">
        <v>387</v>
      </c>
      <c r="E209" s="11" t="s">
        <v>388</v>
      </c>
      <c r="F209" s="11" t="s">
        <v>697</v>
      </c>
      <c r="G209" s="23">
        <v>46118</v>
      </c>
      <c r="H209" s="23">
        <v>46129</v>
      </c>
      <c r="I209" s="11"/>
      <c r="J209" s="11"/>
      <c r="K209" s="11" t="s">
        <v>390</v>
      </c>
      <c r="L209" s="11"/>
      <c r="M209" s="11"/>
      <c r="N209" s="11"/>
      <c r="O209" s="10" t="s">
        <v>428</v>
      </c>
      <c r="P209" s="11" t="s">
        <v>965</v>
      </c>
      <c r="Q209" s="11"/>
      <c r="R209" s="20">
        <v>2</v>
      </c>
      <c r="S209" s="11" t="b">
        <v>0</v>
      </c>
      <c r="T209" s="11"/>
      <c r="U209" s="11" t="s">
        <v>392</v>
      </c>
      <c r="V209" s="11" t="s">
        <v>218</v>
      </c>
    </row>
    <row r="210" spans="1:22" x14ac:dyDescent="0.25">
      <c r="A210" s="6" t="s">
        <v>696</v>
      </c>
      <c r="B210" s="7" t="s">
        <v>695</v>
      </c>
      <c r="C210" s="8" t="s">
        <v>432</v>
      </c>
      <c r="D210" s="8" t="s">
        <v>394</v>
      </c>
      <c r="E210" s="8" t="s">
        <v>388</v>
      </c>
      <c r="F210" s="8" t="s">
        <v>697</v>
      </c>
      <c r="G210" s="22">
        <v>46118</v>
      </c>
      <c r="H210" s="22">
        <v>46129</v>
      </c>
      <c r="I210" s="22">
        <v>46118</v>
      </c>
      <c r="J210" s="22">
        <v>46129</v>
      </c>
      <c r="K210" s="8" t="s">
        <v>390</v>
      </c>
      <c r="L210" s="8"/>
      <c r="M210" s="8"/>
      <c r="N210" s="8"/>
      <c r="O210" s="7"/>
      <c r="P210" s="25" t="s">
        <v>966</v>
      </c>
      <c r="Q210" s="8"/>
      <c r="R210" s="21">
        <v>1</v>
      </c>
      <c r="S210" s="8" t="b">
        <v>0</v>
      </c>
      <c r="T210" s="8"/>
      <c r="U210" s="8" t="s">
        <v>392</v>
      </c>
      <c r="V210" s="8" t="s">
        <v>218</v>
      </c>
    </row>
    <row r="211" spans="1:22" x14ac:dyDescent="0.25">
      <c r="A211" s="6" t="s">
        <v>696</v>
      </c>
      <c r="B211" s="10" t="s">
        <v>695</v>
      </c>
      <c r="C211" s="11" t="s">
        <v>434</v>
      </c>
      <c r="D211" s="11" t="s">
        <v>394</v>
      </c>
      <c r="E211" s="11" t="s">
        <v>388</v>
      </c>
      <c r="F211" s="11" t="s">
        <v>697</v>
      </c>
      <c r="G211" s="23">
        <v>46118</v>
      </c>
      <c r="H211" s="23">
        <v>46142</v>
      </c>
      <c r="I211" s="23">
        <v>46118</v>
      </c>
      <c r="J211" s="11"/>
      <c r="K211" s="11" t="s">
        <v>390</v>
      </c>
      <c r="L211" s="11"/>
      <c r="M211" s="11"/>
      <c r="N211" s="11"/>
      <c r="O211" s="10"/>
      <c r="P211" s="11" t="s">
        <v>967</v>
      </c>
      <c r="Q211" s="11"/>
      <c r="R211" s="20">
        <v>3</v>
      </c>
      <c r="S211" s="11" t="b">
        <v>0</v>
      </c>
      <c r="T211" s="11"/>
      <c r="U211" s="11" t="s">
        <v>392</v>
      </c>
      <c r="V211" s="11" t="s">
        <v>218</v>
      </c>
    </row>
    <row r="212" spans="1:22" x14ac:dyDescent="0.25">
      <c r="A212" s="6" t="s">
        <v>696</v>
      </c>
      <c r="B212" s="7" t="s">
        <v>695</v>
      </c>
      <c r="C212" s="8" t="s">
        <v>399</v>
      </c>
      <c r="D212" s="8" t="s">
        <v>394</v>
      </c>
      <c r="E212" s="8" t="s">
        <v>388</v>
      </c>
      <c r="F212" s="8" t="s">
        <v>697</v>
      </c>
      <c r="G212" s="22">
        <v>46139</v>
      </c>
      <c r="H212" s="22">
        <v>46142</v>
      </c>
      <c r="I212" s="22">
        <v>46139</v>
      </c>
      <c r="J212" s="8"/>
      <c r="K212" s="8" t="s">
        <v>390</v>
      </c>
      <c r="L212" s="8"/>
      <c r="M212" s="8"/>
      <c r="N212" s="8"/>
      <c r="O212" s="7"/>
      <c r="P212" s="8" t="s">
        <v>968</v>
      </c>
      <c r="Q212" s="8"/>
      <c r="R212" s="21">
        <v>4</v>
      </c>
      <c r="S212" s="8" t="b">
        <v>0</v>
      </c>
      <c r="T212" s="8"/>
      <c r="U212" s="8" t="s">
        <v>392</v>
      </c>
      <c r="V212" s="8" t="s">
        <v>218</v>
      </c>
    </row>
    <row r="213" spans="1:22" x14ac:dyDescent="0.25">
      <c r="A213" s="6" t="s">
        <v>696</v>
      </c>
      <c r="B213" s="10" t="s">
        <v>695</v>
      </c>
      <c r="C213" s="11" t="s">
        <v>437</v>
      </c>
      <c r="D213" s="11" t="s">
        <v>387</v>
      </c>
      <c r="E213" s="11" t="s">
        <v>388</v>
      </c>
      <c r="F213" s="11" t="s">
        <v>697</v>
      </c>
      <c r="G213" s="23">
        <v>46146</v>
      </c>
      <c r="H213" s="23">
        <v>46173</v>
      </c>
      <c r="I213" s="11"/>
      <c r="J213" s="11"/>
      <c r="K213" s="11" t="s">
        <v>406</v>
      </c>
      <c r="L213" s="11"/>
      <c r="M213" s="11" t="s">
        <v>440</v>
      </c>
      <c r="N213" s="11"/>
      <c r="O213" s="10" t="s">
        <v>441</v>
      </c>
      <c r="P213" s="26" t="s">
        <v>969</v>
      </c>
      <c r="Q213" s="11"/>
      <c r="R213" s="20">
        <v>6</v>
      </c>
      <c r="S213" s="11" t="b">
        <v>0</v>
      </c>
      <c r="T213" s="11"/>
      <c r="U213" s="11" t="s">
        <v>392</v>
      </c>
      <c r="V213" s="11" t="s">
        <v>218</v>
      </c>
    </row>
    <row r="214" spans="1:22" x14ac:dyDescent="0.25">
      <c r="A214" s="6" t="s">
        <v>696</v>
      </c>
      <c r="B214" s="7" t="s">
        <v>695</v>
      </c>
      <c r="C214" s="8" t="s">
        <v>444</v>
      </c>
      <c r="D214" s="8" t="s">
        <v>387</v>
      </c>
      <c r="E214" s="8" t="s">
        <v>388</v>
      </c>
      <c r="F214" s="8" t="s">
        <v>697</v>
      </c>
      <c r="G214" s="22">
        <v>46174</v>
      </c>
      <c r="H214" s="22">
        <v>46234</v>
      </c>
      <c r="I214" s="8"/>
      <c r="J214" s="8"/>
      <c r="K214" s="8" t="s">
        <v>406</v>
      </c>
      <c r="L214" s="8"/>
      <c r="M214" s="8" t="s">
        <v>440</v>
      </c>
      <c r="N214" s="8"/>
      <c r="O214" s="7" t="s">
        <v>441</v>
      </c>
      <c r="P214" s="8" t="s">
        <v>970</v>
      </c>
      <c r="Q214" s="8"/>
      <c r="R214" s="21">
        <v>7</v>
      </c>
      <c r="S214" s="8" t="b">
        <v>0</v>
      </c>
      <c r="T214" s="8"/>
      <c r="U214" s="8" t="s">
        <v>392</v>
      </c>
      <c r="V214" s="8" t="s">
        <v>218</v>
      </c>
    </row>
    <row r="215" spans="1:22" x14ac:dyDescent="0.25">
      <c r="A215" s="6" t="s">
        <v>696</v>
      </c>
      <c r="B215" s="10" t="s">
        <v>695</v>
      </c>
      <c r="C215" s="11" t="s">
        <v>446</v>
      </c>
      <c r="D215" s="11" t="s">
        <v>387</v>
      </c>
      <c r="E215" s="11" t="s">
        <v>388</v>
      </c>
      <c r="F215" s="11" t="s">
        <v>697</v>
      </c>
      <c r="G215" s="23">
        <v>46235</v>
      </c>
      <c r="H215" s="23">
        <v>46265</v>
      </c>
      <c r="I215" s="11"/>
      <c r="J215" s="11"/>
      <c r="K215" s="11" t="s">
        <v>406</v>
      </c>
      <c r="L215" s="11"/>
      <c r="M215" s="11" t="s">
        <v>440</v>
      </c>
      <c r="N215" s="11"/>
      <c r="O215" s="10" t="s">
        <v>447</v>
      </c>
      <c r="P215" s="11" t="s">
        <v>971</v>
      </c>
      <c r="Q215" s="11"/>
      <c r="R215" s="20">
        <v>9</v>
      </c>
      <c r="S215" s="11" t="b">
        <v>0</v>
      </c>
      <c r="T215" s="11"/>
      <c r="U215" s="11" t="s">
        <v>392</v>
      </c>
      <c r="V215" s="11" t="s">
        <v>218</v>
      </c>
    </row>
    <row r="216" spans="1:22" x14ac:dyDescent="0.25">
      <c r="A216" s="6" t="s">
        <v>696</v>
      </c>
      <c r="B216" s="7" t="s">
        <v>695</v>
      </c>
      <c r="C216" s="8" t="s">
        <v>449</v>
      </c>
      <c r="D216" s="8" t="s">
        <v>387</v>
      </c>
      <c r="E216" s="8" t="s">
        <v>388</v>
      </c>
      <c r="F216" s="8" t="s">
        <v>697</v>
      </c>
      <c r="G216" s="22">
        <v>46266</v>
      </c>
      <c r="H216" s="22">
        <v>46295</v>
      </c>
      <c r="I216" s="8"/>
      <c r="J216" s="8"/>
      <c r="K216" s="8" t="s">
        <v>406</v>
      </c>
      <c r="L216" s="8"/>
      <c r="M216" s="8" t="s">
        <v>440</v>
      </c>
      <c r="N216" s="8"/>
      <c r="O216" s="7" t="s">
        <v>450</v>
      </c>
      <c r="P216" s="8" t="s">
        <v>972</v>
      </c>
      <c r="Q216" s="8"/>
      <c r="R216" s="21">
        <v>10</v>
      </c>
      <c r="S216" s="8" t="b">
        <v>0</v>
      </c>
      <c r="T216" s="8"/>
      <c r="U216" s="8" t="s">
        <v>392</v>
      </c>
      <c r="V216" s="8" t="s">
        <v>218</v>
      </c>
    </row>
    <row r="217" spans="1:22" x14ac:dyDescent="0.25">
      <c r="A217" s="6" t="s">
        <v>696</v>
      </c>
      <c r="B217" s="10" t="s">
        <v>695</v>
      </c>
      <c r="C217" s="11" t="s">
        <v>452</v>
      </c>
      <c r="D217" s="11" t="s">
        <v>387</v>
      </c>
      <c r="E217" s="11" t="s">
        <v>388</v>
      </c>
      <c r="F217" s="11" t="s">
        <v>697</v>
      </c>
      <c r="G217" s="23">
        <v>46235</v>
      </c>
      <c r="H217" s="23">
        <v>46295</v>
      </c>
      <c r="I217" s="11"/>
      <c r="J217" s="11"/>
      <c r="K217" s="11" t="s">
        <v>406</v>
      </c>
      <c r="L217" s="11"/>
      <c r="M217" s="11" t="s">
        <v>440</v>
      </c>
      <c r="N217" s="11"/>
      <c r="O217" s="10" t="s">
        <v>441</v>
      </c>
      <c r="P217" s="11" t="s">
        <v>973</v>
      </c>
      <c r="Q217" s="11"/>
      <c r="R217" s="20">
        <v>8</v>
      </c>
      <c r="S217" s="11" t="b">
        <v>0</v>
      </c>
      <c r="T217" s="11"/>
      <c r="U217" s="11" t="s">
        <v>392</v>
      </c>
      <c r="V217" s="11" t="s">
        <v>218</v>
      </c>
    </row>
    <row r="218" spans="1:22" x14ac:dyDescent="0.25">
      <c r="A218" s="6" t="s">
        <v>696</v>
      </c>
      <c r="B218" s="7" t="s">
        <v>695</v>
      </c>
      <c r="C218" s="8" t="s">
        <v>440</v>
      </c>
      <c r="D218" s="8" t="s">
        <v>387</v>
      </c>
      <c r="E218" s="8" t="s">
        <v>388</v>
      </c>
      <c r="F218" s="8" t="s">
        <v>697</v>
      </c>
      <c r="G218" s="22">
        <v>46132</v>
      </c>
      <c r="H218" s="22">
        <v>46295</v>
      </c>
      <c r="I218" s="8"/>
      <c r="J218" s="8"/>
      <c r="K218" s="8" t="s">
        <v>406</v>
      </c>
      <c r="L218" s="8"/>
      <c r="M218" s="8"/>
      <c r="N218" s="8"/>
      <c r="O218" s="7" t="s">
        <v>441</v>
      </c>
      <c r="P218" s="8" t="s">
        <v>974</v>
      </c>
      <c r="Q218" s="8"/>
      <c r="R218" s="21">
        <v>5</v>
      </c>
      <c r="S218" s="8" t="b">
        <v>0</v>
      </c>
      <c r="T218" s="8"/>
      <c r="U218" s="8" t="s">
        <v>392</v>
      </c>
      <c r="V218" s="8" t="s">
        <v>218</v>
      </c>
    </row>
    <row r="219" spans="1:22" x14ac:dyDescent="0.25">
      <c r="A219" s="6" t="s">
        <v>696</v>
      </c>
      <c r="B219" s="10" t="s">
        <v>695</v>
      </c>
      <c r="C219" s="11" t="s">
        <v>454</v>
      </c>
      <c r="D219" s="11" t="s">
        <v>387</v>
      </c>
      <c r="E219" s="11" t="s">
        <v>388</v>
      </c>
      <c r="F219" s="11" t="s">
        <v>697</v>
      </c>
      <c r="G219" s="23">
        <v>46296</v>
      </c>
      <c r="H219" s="23">
        <v>46326</v>
      </c>
      <c r="I219" s="11"/>
      <c r="J219" s="11"/>
      <c r="K219" s="11" t="s">
        <v>406</v>
      </c>
      <c r="L219" s="11"/>
      <c r="M219" s="11" t="s">
        <v>440</v>
      </c>
      <c r="N219" s="11"/>
      <c r="O219" s="10" t="s">
        <v>447</v>
      </c>
      <c r="P219" s="11" t="s">
        <v>975</v>
      </c>
      <c r="Q219" s="11"/>
      <c r="R219" s="20">
        <v>11</v>
      </c>
      <c r="S219" s="11" t="b">
        <v>0</v>
      </c>
      <c r="T219" s="11"/>
      <c r="U219" s="11" t="s">
        <v>392</v>
      </c>
      <c r="V219" s="11" t="s">
        <v>218</v>
      </c>
    </row>
    <row r="220" spans="1:22" x14ac:dyDescent="0.25">
      <c r="A220" s="6" t="s">
        <v>696</v>
      </c>
      <c r="B220" s="7" t="s">
        <v>695</v>
      </c>
      <c r="C220" s="8" t="s">
        <v>411</v>
      </c>
      <c r="D220" s="8" t="s">
        <v>387</v>
      </c>
      <c r="E220" s="8" t="s">
        <v>388</v>
      </c>
      <c r="F220" s="8" t="s">
        <v>697</v>
      </c>
      <c r="G220" s="22">
        <v>46327</v>
      </c>
      <c r="H220" s="22">
        <v>46356</v>
      </c>
      <c r="I220" s="8"/>
      <c r="J220" s="8"/>
      <c r="K220" s="8" t="s">
        <v>406</v>
      </c>
      <c r="L220" s="8"/>
      <c r="M220" s="8" t="s">
        <v>440</v>
      </c>
      <c r="N220" s="8"/>
      <c r="O220" s="7" t="s">
        <v>450</v>
      </c>
      <c r="P220" s="8" t="s">
        <v>976</v>
      </c>
      <c r="Q220" s="8"/>
      <c r="R220" s="21">
        <v>12</v>
      </c>
      <c r="S220" s="8" t="b">
        <v>0</v>
      </c>
      <c r="T220" s="8"/>
      <c r="U220" s="8" t="s">
        <v>392</v>
      </c>
      <c r="V220" s="8" t="s">
        <v>218</v>
      </c>
    </row>
    <row r="221" spans="1:22" x14ac:dyDescent="0.25">
      <c r="A221" s="6" t="s">
        <v>696</v>
      </c>
      <c r="B221" s="10" t="s">
        <v>695</v>
      </c>
      <c r="C221" s="11" t="s">
        <v>457</v>
      </c>
      <c r="D221" s="11" t="s">
        <v>387</v>
      </c>
      <c r="E221" s="11" t="s">
        <v>388</v>
      </c>
      <c r="F221" s="11" t="s">
        <v>697</v>
      </c>
      <c r="G221" s="23">
        <v>46357</v>
      </c>
      <c r="H221" s="23">
        <v>46477</v>
      </c>
      <c r="I221" s="11"/>
      <c r="J221" s="11"/>
      <c r="K221" s="11" t="s">
        <v>406</v>
      </c>
      <c r="L221" s="11"/>
      <c r="M221" s="11" t="s">
        <v>440</v>
      </c>
      <c r="N221" s="11"/>
      <c r="O221" s="10" t="s">
        <v>450</v>
      </c>
      <c r="P221" s="11" t="s">
        <v>977</v>
      </c>
      <c r="Q221" s="11"/>
      <c r="R221" s="20">
        <v>13</v>
      </c>
      <c r="S221" s="11" t="b">
        <v>0</v>
      </c>
      <c r="T221" s="11"/>
      <c r="U221" s="11" t="s">
        <v>392</v>
      </c>
      <c r="V221" s="11" t="s">
        <v>218</v>
      </c>
    </row>
    <row r="222" spans="1:22" x14ac:dyDescent="0.25">
      <c r="A222" s="6" t="s">
        <v>696</v>
      </c>
      <c r="B222" s="7" t="s">
        <v>695</v>
      </c>
      <c r="C222" s="8" t="s">
        <v>459</v>
      </c>
      <c r="D222" s="8" t="s">
        <v>387</v>
      </c>
      <c r="E222" s="8" t="s">
        <v>388</v>
      </c>
      <c r="F222" s="8" t="s">
        <v>697</v>
      </c>
      <c r="G222" s="22">
        <v>46478</v>
      </c>
      <c r="H222" s="22">
        <v>46507</v>
      </c>
      <c r="I222" s="8"/>
      <c r="J222" s="8"/>
      <c r="K222" s="8" t="s">
        <v>406</v>
      </c>
      <c r="L222" s="8"/>
      <c r="M222" s="8" t="s">
        <v>440</v>
      </c>
      <c r="N222" s="8"/>
      <c r="O222" s="7" t="s">
        <v>447</v>
      </c>
      <c r="P222" s="8" t="s">
        <v>978</v>
      </c>
      <c r="Q222" s="8"/>
      <c r="R222" s="21">
        <v>14</v>
      </c>
      <c r="S222" s="8" t="b">
        <v>0</v>
      </c>
      <c r="T222" s="8"/>
      <c r="U222" s="8" t="s">
        <v>392</v>
      </c>
      <c r="V222" s="8" t="s">
        <v>218</v>
      </c>
    </row>
    <row r="223" spans="1:22" x14ac:dyDescent="0.25">
      <c r="A223" s="6" t="s">
        <v>696</v>
      </c>
      <c r="B223" s="10" t="s">
        <v>695</v>
      </c>
      <c r="C223" s="11" t="s">
        <v>461</v>
      </c>
      <c r="D223" s="11" t="s">
        <v>387</v>
      </c>
      <c r="E223" s="11" t="s">
        <v>388</v>
      </c>
      <c r="F223" s="11" t="s">
        <v>697</v>
      </c>
      <c r="G223" s="23">
        <v>46508</v>
      </c>
      <c r="H223" s="23">
        <v>46538</v>
      </c>
      <c r="I223" s="11"/>
      <c r="J223" s="11"/>
      <c r="K223" s="11" t="s">
        <v>406</v>
      </c>
      <c r="L223" s="11"/>
      <c r="M223" s="11" t="s">
        <v>440</v>
      </c>
      <c r="N223" s="11"/>
      <c r="O223" s="10" t="s">
        <v>447</v>
      </c>
      <c r="P223" s="11" t="s">
        <v>979</v>
      </c>
      <c r="Q223" s="11"/>
      <c r="R223" s="20">
        <v>15</v>
      </c>
      <c r="S223" s="11" t="b">
        <v>0</v>
      </c>
      <c r="T223" s="11"/>
      <c r="U223" s="11" t="s">
        <v>392</v>
      </c>
      <c r="V223" s="11" t="s">
        <v>218</v>
      </c>
    </row>
    <row r="224" spans="1:22" x14ac:dyDescent="0.25">
      <c r="A224" s="6" t="s">
        <v>696</v>
      </c>
      <c r="B224" s="7" t="s">
        <v>695</v>
      </c>
      <c r="C224" s="8" t="s">
        <v>463</v>
      </c>
      <c r="D224" s="8" t="s">
        <v>387</v>
      </c>
      <c r="E224" s="8" t="s">
        <v>388</v>
      </c>
      <c r="F224" s="8" t="s">
        <v>697</v>
      </c>
      <c r="G224" s="22">
        <v>46539</v>
      </c>
      <c r="H224" s="22">
        <v>46568</v>
      </c>
      <c r="I224" s="8"/>
      <c r="J224" s="8"/>
      <c r="K224" s="8" t="s">
        <v>406</v>
      </c>
      <c r="L224" s="8"/>
      <c r="M224" s="8" t="s">
        <v>440</v>
      </c>
      <c r="N224" s="8"/>
      <c r="O224" s="7" t="s">
        <v>447</v>
      </c>
      <c r="P224" s="8" t="s">
        <v>980</v>
      </c>
      <c r="Q224" s="8"/>
      <c r="R224" s="21">
        <v>16</v>
      </c>
      <c r="S224" s="8" t="b">
        <v>0</v>
      </c>
      <c r="T224" s="8"/>
      <c r="U224" s="8" t="s">
        <v>392</v>
      </c>
      <c r="V224" s="8" t="s">
        <v>218</v>
      </c>
    </row>
    <row r="225" spans="1:22" ht="24" x14ac:dyDescent="0.25">
      <c r="A225" s="6" t="s">
        <v>696</v>
      </c>
      <c r="B225" s="10" t="s">
        <v>695</v>
      </c>
      <c r="C225" s="11" t="s">
        <v>421</v>
      </c>
      <c r="D225" s="11" t="s">
        <v>59</v>
      </c>
      <c r="E225" s="11" t="s">
        <v>26</v>
      </c>
      <c r="F225" s="11" t="s">
        <v>697</v>
      </c>
      <c r="G225" s="23">
        <v>46388</v>
      </c>
      <c r="H225" s="23">
        <v>46752</v>
      </c>
      <c r="I225" s="11"/>
      <c r="J225" s="11"/>
      <c r="K225" s="11" t="s">
        <v>406</v>
      </c>
      <c r="L225" s="11"/>
      <c r="M225" s="11"/>
      <c r="N225" s="11"/>
      <c r="O225" s="10" t="s">
        <v>422</v>
      </c>
      <c r="P225" s="11" t="s">
        <v>981</v>
      </c>
      <c r="Q225" s="11"/>
      <c r="R225" s="20">
        <v>18</v>
      </c>
      <c r="S225" s="11" t="b">
        <v>0</v>
      </c>
      <c r="T225" s="11"/>
      <c r="U225" s="11" t="s">
        <v>392</v>
      </c>
      <c r="V225" s="11" t="s">
        <v>218</v>
      </c>
    </row>
    <row r="226" spans="1:22" x14ac:dyDescent="0.25">
      <c r="A226" s="6" t="s">
        <v>696</v>
      </c>
      <c r="B226" s="7" t="s">
        <v>695</v>
      </c>
      <c r="C226" s="8" t="s">
        <v>466</v>
      </c>
      <c r="D226" s="8" t="s">
        <v>387</v>
      </c>
      <c r="E226" s="8" t="s">
        <v>388</v>
      </c>
      <c r="F226" s="8" t="s">
        <v>697</v>
      </c>
      <c r="G226" s="22">
        <v>46569</v>
      </c>
      <c r="H226" s="22">
        <v>46752</v>
      </c>
      <c r="I226" s="8"/>
      <c r="J226" s="8"/>
      <c r="K226" s="8" t="s">
        <v>406</v>
      </c>
      <c r="L226" s="8"/>
      <c r="M226" s="8" t="s">
        <v>440</v>
      </c>
      <c r="N226" s="8"/>
      <c r="O226" s="7" t="s">
        <v>447</v>
      </c>
      <c r="P226" s="8" t="s">
        <v>982</v>
      </c>
      <c r="Q226" s="8"/>
      <c r="R226" s="21">
        <v>17</v>
      </c>
      <c r="S226" s="8" t="b">
        <v>0</v>
      </c>
      <c r="T226" s="8"/>
      <c r="U226" s="8" t="s">
        <v>392</v>
      </c>
      <c r="V226" s="8" t="s">
        <v>218</v>
      </c>
    </row>
    <row r="227" spans="1:22" x14ac:dyDescent="0.25">
      <c r="A227" s="6" t="s">
        <v>696</v>
      </c>
      <c r="B227" s="10" t="s">
        <v>695</v>
      </c>
      <c r="C227" s="11" t="s">
        <v>468</v>
      </c>
      <c r="D227" s="11" t="s">
        <v>387</v>
      </c>
      <c r="E227" s="11" t="s">
        <v>388</v>
      </c>
      <c r="F227" s="11" t="s">
        <v>697</v>
      </c>
      <c r="G227" s="23">
        <v>46753</v>
      </c>
      <c r="H227" s="11"/>
      <c r="I227" s="11"/>
      <c r="J227" s="11"/>
      <c r="K227" s="11" t="s">
        <v>406</v>
      </c>
      <c r="L227" s="11"/>
      <c r="M227" s="11" t="s">
        <v>440</v>
      </c>
      <c r="N227" s="11"/>
      <c r="O227" s="10" t="s">
        <v>447</v>
      </c>
      <c r="P227" s="11" t="s">
        <v>983</v>
      </c>
      <c r="Q227" s="11"/>
      <c r="R227" s="20">
        <v>19</v>
      </c>
      <c r="S227" s="11" t="b">
        <v>0</v>
      </c>
      <c r="T227" s="11"/>
      <c r="U227" s="11" t="s">
        <v>392</v>
      </c>
      <c r="V227" s="11" t="s">
        <v>218</v>
      </c>
    </row>
    <row r="228" spans="1:22" ht="36" x14ac:dyDescent="0.25">
      <c r="A228" s="6" t="s">
        <v>699</v>
      </c>
      <c r="B228" s="7" t="s">
        <v>698</v>
      </c>
      <c r="C228" s="8" t="s">
        <v>540</v>
      </c>
      <c r="D228" s="8" t="s">
        <v>541</v>
      </c>
      <c r="E228" s="8" t="s">
        <v>388</v>
      </c>
      <c r="F228" s="8" t="s">
        <v>701</v>
      </c>
      <c r="G228" s="8"/>
      <c r="H228" s="22">
        <v>46323</v>
      </c>
      <c r="I228" s="8"/>
      <c r="J228" s="8"/>
      <c r="K228" s="8" t="s">
        <v>406</v>
      </c>
      <c r="L228" s="8"/>
      <c r="M228" s="8"/>
      <c r="N228" s="8"/>
      <c r="O228" s="7"/>
      <c r="P228" s="8" t="s">
        <v>984</v>
      </c>
      <c r="Q228" s="8"/>
      <c r="R228" s="21">
        <v>2</v>
      </c>
      <c r="S228" s="8" t="b">
        <v>0</v>
      </c>
      <c r="T228" s="8"/>
      <c r="U228" s="8" t="s">
        <v>392</v>
      </c>
      <c r="V228" s="8" t="s">
        <v>218</v>
      </c>
    </row>
    <row r="229" spans="1:22" ht="36" x14ac:dyDescent="0.25">
      <c r="A229" s="6" t="s">
        <v>699</v>
      </c>
      <c r="B229" s="10" t="s">
        <v>698</v>
      </c>
      <c r="C229" s="11" t="s">
        <v>543</v>
      </c>
      <c r="D229" s="11" t="s">
        <v>394</v>
      </c>
      <c r="E229" s="11" t="s">
        <v>388</v>
      </c>
      <c r="F229" s="11" t="s">
        <v>701</v>
      </c>
      <c r="G229" s="11"/>
      <c r="H229" s="11"/>
      <c r="I229" s="11"/>
      <c r="J229" s="11"/>
      <c r="K229" s="11" t="s">
        <v>406</v>
      </c>
      <c r="L229" s="11"/>
      <c r="M229" s="11"/>
      <c r="N229" s="11"/>
      <c r="O229" s="10"/>
      <c r="P229" s="11" t="s">
        <v>985</v>
      </c>
      <c r="Q229" s="11"/>
      <c r="R229" s="20">
        <v>17</v>
      </c>
      <c r="S229" s="11" t="b">
        <v>0</v>
      </c>
      <c r="T229" s="11"/>
      <c r="U229" s="11" t="s">
        <v>392</v>
      </c>
      <c r="V229" s="11" t="s">
        <v>218</v>
      </c>
    </row>
    <row r="230" spans="1:22" ht="36" x14ac:dyDescent="0.25">
      <c r="A230" s="6" t="s">
        <v>699</v>
      </c>
      <c r="B230" s="7" t="s">
        <v>698</v>
      </c>
      <c r="C230" s="8" t="s">
        <v>545</v>
      </c>
      <c r="D230" s="8" t="s">
        <v>394</v>
      </c>
      <c r="E230" s="8" t="s">
        <v>388</v>
      </c>
      <c r="F230" s="8" t="s">
        <v>701</v>
      </c>
      <c r="G230" s="8"/>
      <c r="H230" s="8"/>
      <c r="I230" s="8"/>
      <c r="J230" s="8"/>
      <c r="K230" s="8" t="s">
        <v>406</v>
      </c>
      <c r="L230" s="8"/>
      <c r="M230" s="8"/>
      <c r="N230" s="8"/>
      <c r="O230" s="7"/>
      <c r="P230" s="8" t="s">
        <v>986</v>
      </c>
      <c r="Q230" s="8"/>
      <c r="R230" s="21">
        <v>19</v>
      </c>
      <c r="S230" s="8" t="b">
        <v>0</v>
      </c>
      <c r="T230" s="8"/>
      <c r="U230" s="8" t="s">
        <v>392</v>
      </c>
      <c r="V230" s="8" t="s">
        <v>218</v>
      </c>
    </row>
    <row r="231" spans="1:22" ht="36" x14ac:dyDescent="0.25">
      <c r="A231" s="6" t="s">
        <v>699</v>
      </c>
      <c r="B231" s="10" t="s">
        <v>698</v>
      </c>
      <c r="C231" s="11" t="s">
        <v>547</v>
      </c>
      <c r="D231" s="11" t="s">
        <v>394</v>
      </c>
      <c r="E231" s="11" t="s">
        <v>388</v>
      </c>
      <c r="F231" s="11" t="s">
        <v>701</v>
      </c>
      <c r="G231" s="11"/>
      <c r="H231" s="11"/>
      <c r="I231" s="11"/>
      <c r="J231" s="11"/>
      <c r="K231" s="11" t="s">
        <v>406</v>
      </c>
      <c r="L231" s="11"/>
      <c r="M231" s="11"/>
      <c r="N231" s="11"/>
      <c r="O231" s="10"/>
      <c r="P231" s="11" t="s">
        <v>987</v>
      </c>
      <c r="Q231" s="11"/>
      <c r="R231" s="20">
        <v>14</v>
      </c>
      <c r="S231" s="11" t="b">
        <v>0</v>
      </c>
      <c r="T231" s="11"/>
      <c r="U231" s="11" t="s">
        <v>392</v>
      </c>
      <c r="V231" s="11" t="s">
        <v>218</v>
      </c>
    </row>
    <row r="232" spans="1:22" ht="36" x14ac:dyDescent="0.25">
      <c r="A232" s="6" t="s">
        <v>699</v>
      </c>
      <c r="B232" s="7" t="s">
        <v>698</v>
      </c>
      <c r="C232" s="8" t="s">
        <v>549</v>
      </c>
      <c r="D232" s="8" t="s">
        <v>394</v>
      </c>
      <c r="E232" s="8" t="s">
        <v>388</v>
      </c>
      <c r="F232" s="8" t="s">
        <v>701</v>
      </c>
      <c r="G232" s="8"/>
      <c r="H232" s="8"/>
      <c r="I232" s="8"/>
      <c r="J232" s="8"/>
      <c r="K232" s="8" t="s">
        <v>406</v>
      </c>
      <c r="L232" s="8"/>
      <c r="M232" s="8"/>
      <c r="N232" s="8"/>
      <c r="O232" s="7"/>
      <c r="P232" s="8" t="s">
        <v>988</v>
      </c>
      <c r="Q232" s="8"/>
      <c r="R232" s="21">
        <v>13</v>
      </c>
      <c r="S232" s="8" t="b">
        <v>0</v>
      </c>
      <c r="T232" s="8"/>
      <c r="U232" s="8" t="s">
        <v>392</v>
      </c>
      <c r="V232" s="8" t="s">
        <v>218</v>
      </c>
    </row>
    <row r="233" spans="1:22" ht="36" x14ac:dyDescent="0.25">
      <c r="A233" s="6" t="s">
        <v>699</v>
      </c>
      <c r="B233" s="10" t="s">
        <v>698</v>
      </c>
      <c r="C233" s="11" t="s">
        <v>551</v>
      </c>
      <c r="D233" s="11" t="s">
        <v>394</v>
      </c>
      <c r="E233" s="11" t="s">
        <v>388</v>
      </c>
      <c r="F233" s="11" t="s">
        <v>701</v>
      </c>
      <c r="G233" s="11"/>
      <c r="H233" s="11"/>
      <c r="I233" s="11"/>
      <c r="J233" s="11"/>
      <c r="K233" s="11" t="s">
        <v>406</v>
      </c>
      <c r="L233" s="11"/>
      <c r="M233" s="11"/>
      <c r="N233" s="11"/>
      <c r="O233" s="10"/>
      <c r="P233" s="11" t="s">
        <v>989</v>
      </c>
      <c r="Q233" s="11"/>
      <c r="R233" s="20">
        <v>9</v>
      </c>
      <c r="S233" s="11" t="b">
        <v>0</v>
      </c>
      <c r="T233" s="11"/>
      <c r="U233" s="11" t="s">
        <v>392</v>
      </c>
      <c r="V233" s="11" t="s">
        <v>218</v>
      </c>
    </row>
    <row r="234" spans="1:22" ht="36" x14ac:dyDescent="0.25">
      <c r="A234" s="6" t="s">
        <v>699</v>
      </c>
      <c r="B234" s="7" t="s">
        <v>698</v>
      </c>
      <c r="C234" s="8" t="s">
        <v>553</v>
      </c>
      <c r="D234" s="8" t="s">
        <v>394</v>
      </c>
      <c r="E234" s="8" t="s">
        <v>388</v>
      </c>
      <c r="F234" s="8" t="s">
        <v>701</v>
      </c>
      <c r="G234" s="8"/>
      <c r="H234" s="8"/>
      <c r="I234" s="8"/>
      <c r="J234" s="8"/>
      <c r="K234" s="8" t="s">
        <v>406</v>
      </c>
      <c r="L234" s="8"/>
      <c r="M234" s="8"/>
      <c r="N234" s="8"/>
      <c r="O234" s="7"/>
      <c r="P234" s="8" t="s">
        <v>990</v>
      </c>
      <c r="Q234" s="8"/>
      <c r="R234" s="21">
        <v>7</v>
      </c>
      <c r="S234" s="8" t="b">
        <v>0</v>
      </c>
      <c r="T234" s="8"/>
      <c r="U234" s="8" t="s">
        <v>392</v>
      </c>
      <c r="V234" s="8" t="s">
        <v>218</v>
      </c>
    </row>
    <row r="235" spans="1:22" ht="36" x14ac:dyDescent="0.25">
      <c r="A235" s="6" t="s">
        <v>699</v>
      </c>
      <c r="B235" s="10" t="s">
        <v>698</v>
      </c>
      <c r="C235" s="11" t="s">
        <v>555</v>
      </c>
      <c r="D235" s="11" t="s">
        <v>394</v>
      </c>
      <c r="E235" s="11" t="s">
        <v>388</v>
      </c>
      <c r="F235" s="11" t="s">
        <v>701</v>
      </c>
      <c r="G235" s="11"/>
      <c r="H235" s="11"/>
      <c r="I235" s="11"/>
      <c r="J235" s="11"/>
      <c r="K235" s="11" t="s">
        <v>406</v>
      </c>
      <c r="L235" s="11"/>
      <c r="M235" s="11"/>
      <c r="N235" s="11"/>
      <c r="O235" s="10"/>
      <c r="P235" s="11" t="s">
        <v>991</v>
      </c>
      <c r="Q235" s="11"/>
      <c r="R235" s="20">
        <v>12</v>
      </c>
      <c r="S235" s="11" t="b">
        <v>0</v>
      </c>
      <c r="T235" s="11"/>
      <c r="U235" s="11" t="s">
        <v>392</v>
      </c>
      <c r="V235" s="11" t="s">
        <v>218</v>
      </c>
    </row>
    <row r="236" spans="1:22" ht="36" x14ac:dyDescent="0.25">
      <c r="A236" s="6" t="s">
        <v>699</v>
      </c>
      <c r="B236" s="7" t="s">
        <v>698</v>
      </c>
      <c r="C236" s="8" t="s">
        <v>551</v>
      </c>
      <c r="D236" s="8" t="s">
        <v>394</v>
      </c>
      <c r="E236" s="8" t="s">
        <v>388</v>
      </c>
      <c r="F236" s="8" t="s">
        <v>701</v>
      </c>
      <c r="G236" s="8"/>
      <c r="H236" s="8"/>
      <c r="I236" s="8"/>
      <c r="J236" s="8"/>
      <c r="K236" s="8" t="s">
        <v>406</v>
      </c>
      <c r="L236" s="8"/>
      <c r="M236" s="8"/>
      <c r="N236" s="8"/>
      <c r="O236" s="7"/>
      <c r="P236" s="8" t="s">
        <v>992</v>
      </c>
      <c r="Q236" s="8"/>
      <c r="R236" s="21">
        <v>10</v>
      </c>
      <c r="S236" s="8" t="b">
        <v>0</v>
      </c>
      <c r="T236" s="8"/>
      <c r="U236" s="8" t="s">
        <v>392</v>
      </c>
      <c r="V236" s="8" t="s">
        <v>218</v>
      </c>
    </row>
    <row r="237" spans="1:22" ht="36" x14ac:dyDescent="0.25">
      <c r="A237" s="6" t="s">
        <v>699</v>
      </c>
      <c r="B237" s="10" t="s">
        <v>698</v>
      </c>
      <c r="C237" s="11" t="s">
        <v>558</v>
      </c>
      <c r="D237" s="11" t="s">
        <v>394</v>
      </c>
      <c r="E237" s="11" t="s">
        <v>388</v>
      </c>
      <c r="F237" s="11" t="s">
        <v>701</v>
      </c>
      <c r="G237" s="11"/>
      <c r="H237" s="11"/>
      <c r="I237" s="11"/>
      <c r="J237" s="11"/>
      <c r="K237" s="11" t="s">
        <v>406</v>
      </c>
      <c r="L237" s="11"/>
      <c r="M237" s="11"/>
      <c r="N237" s="11"/>
      <c r="O237" s="10"/>
      <c r="P237" s="11" t="s">
        <v>993</v>
      </c>
      <c r="Q237" s="11"/>
      <c r="R237" s="20">
        <v>3</v>
      </c>
      <c r="S237" s="11" t="b">
        <v>0</v>
      </c>
      <c r="T237" s="11"/>
      <c r="U237" s="11" t="s">
        <v>392</v>
      </c>
      <c r="V237" s="11" t="s">
        <v>218</v>
      </c>
    </row>
    <row r="238" spans="1:22" ht="36" x14ac:dyDescent="0.25">
      <c r="A238" s="6" t="s">
        <v>699</v>
      </c>
      <c r="B238" s="7" t="s">
        <v>698</v>
      </c>
      <c r="C238" s="8" t="s">
        <v>560</v>
      </c>
      <c r="D238" s="8" t="s">
        <v>394</v>
      </c>
      <c r="E238" s="8" t="s">
        <v>388</v>
      </c>
      <c r="F238" s="8" t="s">
        <v>701</v>
      </c>
      <c r="G238" s="8"/>
      <c r="H238" s="8"/>
      <c r="I238" s="8"/>
      <c r="J238" s="8"/>
      <c r="K238" s="8" t="s">
        <v>406</v>
      </c>
      <c r="L238" s="8"/>
      <c r="M238" s="8"/>
      <c r="N238" s="8"/>
      <c r="O238" s="7"/>
      <c r="P238" s="8" t="s">
        <v>994</v>
      </c>
      <c r="Q238" s="8"/>
      <c r="R238" s="21">
        <v>8</v>
      </c>
      <c r="S238" s="8" t="b">
        <v>0</v>
      </c>
      <c r="T238" s="8"/>
      <c r="U238" s="8" t="s">
        <v>392</v>
      </c>
      <c r="V238" s="8" t="s">
        <v>218</v>
      </c>
    </row>
    <row r="239" spans="1:22" ht="36" x14ac:dyDescent="0.25">
      <c r="A239" s="6" t="s">
        <v>699</v>
      </c>
      <c r="B239" s="10" t="s">
        <v>698</v>
      </c>
      <c r="C239" s="11" t="s">
        <v>562</v>
      </c>
      <c r="D239" s="11" t="s">
        <v>394</v>
      </c>
      <c r="E239" s="11" t="s">
        <v>388</v>
      </c>
      <c r="F239" s="11" t="s">
        <v>701</v>
      </c>
      <c r="G239" s="11"/>
      <c r="H239" s="11"/>
      <c r="I239" s="11"/>
      <c r="J239" s="11"/>
      <c r="K239" s="11" t="s">
        <v>406</v>
      </c>
      <c r="L239" s="11"/>
      <c r="M239" s="11"/>
      <c r="N239" s="11"/>
      <c r="O239" s="10"/>
      <c r="P239" s="11" t="s">
        <v>995</v>
      </c>
      <c r="Q239" s="11"/>
      <c r="R239" s="20">
        <v>4</v>
      </c>
      <c r="S239" s="11" t="b">
        <v>0</v>
      </c>
      <c r="T239" s="11"/>
      <c r="U239" s="11" t="s">
        <v>392</v>
      </c>
      <c r="V239" s="11" t="s">
        <v>218</v>
      </c>
    </row>
    <row r="240" spans="1:22" ht="36" x14ac:dyDescent="0.25">
      <c r="A240" s="6" t="s">
        <v>699</v>
      </c>
      <c r="B240" s="7" t="s">
        <v>698</v>
      </c>
      <c r="C240" s="8" t="s">
        <v>564</v>
      </c>
      <c r="D240" s="8" t="s">
        <v>394</v>
      </c>
      <c r="E240" s="8" t="s">
        <v>388</v>
      </c>
      <c r="F240" s="8" t="s">
        <v>701</v>
      </c>
      <c r="G240" s="8"/>
      <c r="H240" s="8"/>
      <c r="I240" s="8"/>
      <c r="J240" s="8"/>
      <c r="K240" s="8" t="s">
        <v>406</v>
      </c>
      <c r="L240" s="8"/>
      <c r="M240" s="8"/>
      <c r="N240" s="8"/>
      <c r="O240" s="7"/>
      <c r="P240" s="8" t="s">
        <v>996</v>
      </c>
      <c r="Q240" s="8"/>
      <c r="R240" s="21">
        <v>5</v>
      </c>
      <c r="S240" s="8" t="b">
        <v>0</v>
      </c>
      <c r="T240" s="8"/>
      <c r="U240" s="8" t="s">
        <v>392</v>
      </c>
      <c r="V240" s="8" t="s">
        <v>218</v>
      </c>
    </row>
    <row r="241" spans="1:22" ht="36" x14ac:dyDescent="0.25">
      <c r="A241" s="6" t="s">
        <v>699</v>
      </c>
      <c r="B241" s="10" t="s">
        <v>698</v>
      </c>
      <c r="C241" s="11" t="s">
        <v>566</v>
      </c>
      <c r="D241" s="11" t="s">
        <v>394</v>
      </c>
      <c r="E241" s="11" t="s">
        <v>388</v>
      </c>
      <c r="F241" s="11" t="s">
        <v>701</v>
      </c>
      <c r="G241" s="11"/>
      <c r="H241" s="11"/>
      <c r="I241" s="11"/>
      <c r="J241" s="11"/>
      <c r="K241" s="11" t="s">
        <v>406</v>
      </c>
      <c r="L241" s="11"/>
      <c r="M241" s="11"/>
      <c r="N241" s="11"/>
      <c r="O241" s="10"/>
      <c r="P241" s="11" t="s">
        <v>997</v>
      </c>
      <c r="Q241" s="11"/>
      <c r="R241" s="20">
        <v>11</v>
      </c>
      <c r="S241" s="11" t="b">
        <v>0</v>
      </c>
      <c r="T241" s="11"/>
      <c r="U241" s="11" t="s">
        <v>392</v>
      </c>
      <c r="V241" s="11" t="s">
        <v>218</v>
      </c>
    </row>
    <row r="242" spans="1:22" ht="36" x14ac:dyDescent="0.25">
      <c r="A242" s="6" t="s">
        <v>699</v>
      </c>
      <c r="B242" s="7" t="s">
        <v>698</v>
      </c>
      <c r="C242" s="8" t="s">
        <v>568</v>
      </c>
      <c r="D242" s="8" t="s">
        <v>394</v>
      </c>
      <c r="E242" s="8" t="s">
        <v>388</v>
      </c>
      <c r="F242" s="8" t="s">
        <v>701</v>
      </c>
      <c r="G242" s="8"/>
      <c r="H242" s="8"/>
      <c r="I242" s="8"/>
      <c r="J242" s="8"/>
      <c r="K242" s="8" t="s">
        <v>406</v>
      </c>
      <c r="L242" s="8"/>
      <c r="M242" s="8"/>
      <c r="N242" s="8"/>
      <c r="O242" s="7"/>
      <c r="P242" s="8" t="s">
        <v>998</v>
      </c>
      <c r="Q242" s="8"/>
      <c r="R242" s="21">
        <v>6</v>
      </c>
      <c r="S242" s="8" t="b">
        <v>0</v>
      </c>
      <c r="T242" s="8"/>
      <c r="U242" s="8" t="s">
        <v>392</v>
      </c>
      <c r="V242" s="8" t="s">
        <v>218</v>
      </c>
    </row>
    <row r="243" spans="1:22" ht="36" x14ac:dyDescent="0.25">
      <c r="A243" s="6" t="s">
        <v>699</v>
      </c>
      <c r="B243" s="10" t="s">
        <v>698</v>
      </c>
      <c r="C243" s="11" t="s">
        <v>570</v>
      </c>
      <c r="D243" s="11" t="s">
        <v>394</v>
      </c>
      <c r="E243" s="11" t="s">
        <v>388</v>
      </c>
      <c r="F243" s="11" t="s">
        <v>701</v>
      </c>
      <c r="G243" s="11"/>
      <c r="H243" s="11"/>
      <c r="I243" s="11"/>
      <c r="J243" s="11"/>
      <c r="K243" s="11" t="s">
        <v>406</v>
      </c>
      <c r="L243" s="11"/>
      <c r="M243" s="11"/>
      <c r="N243" s="11"/>
      <c r="O243" s="10"/>
      <c r="P243" s="26" t="s">
        <v>999</v>
      </c>
      <c r="Q243" s="11"/>
      <c r="R243" s="20">
        <v>15</v>
      </c>
      <c r="S243" s="11" t="b">
        <v>0</v>
      </c>
      <c r="T243" s="11"/>
      <c r="U243" s="11" t="s">
        <v>392</v>
      </c>
      <c r="V243" s="11" t="s">
        <v>218</v>
      </c>
    </row>
    <row r="244" spans="1:22" ht="36" x14ac:dyDescent="0.25">
      <c r="A244" s="6" t="s">
        <v>699</v>
      </c>
      <c r="B244" s="7" t="s">
        <v>698</v>
      </c>
      <c r="C244" s="8" t="s">
        <v>572</v>
      </c>
      <c r="D244" s="8" t="s">
        <v>394</v>
      </c>
      <c r="E244" s="8" t="s">
        <v>388</v>
      </c>
      <c r="F244" s="8" t="s">
        <v>701</v>
      </c>
      <c r="G244" s="8"/>
      <c r="H244" s="8"/>
      <c r="I244" s="8"/>
      <c r="J244" s="8"/>
      <c r="K244" s="8" t="s">
        <v>406</v>
      </c>
      <c r="L244" s="8"/>
      <c r="M244" s="8"/>
      <c r="N244" s="8"/>
      <c r="O244" s="7"/>
      <c r="P244" s="8" t="s">
        <v>1000</v>
      </c>
      <c r="Q244" s="8"/>
      <c r="R244" s="21">
        <v>18</v>
      </c>
      <c r="S244" s="8" t="b">
        <v>0</v>
      </c>
      <c r="T244" s="8"/>
      <c r="U244" s="8" t="s">
        <v>392</v>
      </c>
      <c r="V244" s="8" t="s">
        <v>218</v>
      </c>
    </row>
    <row r="245" spans="1:22" ht="36" x14ac:dyDescent="0.25">
      <c r="A245" s="6" t="s">
        <v>699</v>
      </c>
      <c r="B245" s="10" t="s">
        <v>698</v>
      </c>
      <c r="C245" s="11" t="s">
        <v>574</v>
      </c>
      <c r="D245" s="11" t="s">
        <v>394</v>
      </c>
      <c r="E245" s="11" t="s">
        <v>388</v>
      </c>
      <c r="F245" s="11" t="s">
        <v>701</v>
      </c>
      <c r="G245" s="11"/>
      <c r="H245" s="11"/>
      <c r="I245" s="11"/>
      <c r="J245" s="11"/>
      <c r="K245" s="11" t="s">
        <v>406</v>
      </c>
      <c r="L245" s="11"/>
      <c r="M245" s="11"/>
      <c r="N245" s="11"/>
      <c r="O245" s="10"/>
      <c r="P245" s="11" t="s">
        <v>1001</v>
      </c>
      <c r="Q245" s="11"/>
      <c r="R245" s="20">
        <v>16</v>
      </c>
      <c r="S245" s="11" t="b">
        <v>0</v>
      </c>
      <c r="T245" s="11"/>
      <c r="U245" s="11" t="s">
        <v>392</v>
      </c>
      <c r="V245" s="11" t="s">
        <v>218</v>
      </c>
    </row>
    <row r="246" spans="1:22" x14ac:dyDescent="0.25">
      <c r="A246" s="6" t="s">
        <v>703</v>
      </c>
      <c r="B246" s="10" t="s">
        <v>702</v>
      </c>
      <c r="C246" s="11" t="s">
        <v>386</v>
      </c>
      <c r="D246" s="11" t="s">
        <v>387</v>
      </c>
      <c r="E246" s="11" t="s">
        <v>388</v>
      </c>
      <c r="F246" s="11" t="s">
        <v>706</v>
      </c>
      <c r="G246" s="23">
        <v>46104</v>
      </c>
      <c r="H246" s="23">
        <v>46115</v>
      </c>
      <c r="I246" s="11"/>
      <c r="J246" s="11"/>
      <c r="K246" s="11" t="s">
        <v>390</v>
      </c>
      <c r="L246" s="11"/>
      <c r="M246" s="11"/>
      <c r="N246" s="11"/>
      <c r="O246" s="10"/>
      <c r="P246" s="11" t="s">
        <v>1002</v>
      </c>
      <c r="Q246" s="11"/>
      <c r="R246" s="20">
        <v>0</v>
      </c>
      <c r="S246" s="11" t="b">
        <v>0</v>
      </c>
      <c r="T246" s="11"/>
      <c r="U246" s="11" t="s">
        <v>392</v>
      </c>
      <c r="V246" s="11" t="s">
        <v>218</v>
      </c>
    </row>
    <row r="247" spans="1:22" x14ac:dyDescent="0.25">
      <c r="A247" s="6" t="s">
        <v>703</v>
      </c>
      <c r="B247" s="7" t="s">
        <v>702</v>
      </c>
      <c r="C247" s="8" t="s">
        <v>393</v>
      </c>
      <c r="D247" s="8" t="s">
        <v>394</v>
      </c>
      <c r="E247" s="8" t="s">
        <v>388</v>
      </c>
      <c r="F247" s="8" t="s">
        <v>706</v>
      </c>
      <c r="G247" s="22">
        <v>46125</v>
      </c>
      <c r="H247" s="22">
        <v>46129</v>
      </c>
      <c r="I247" s="22">
        <v>46125</v>
      </c>
      <c r="J247" s="22">
        <v>46129</v>
      </c>
      <c r="K247" s="8" t="s">
        <v>390</v>
      </c>
      <c r="L247" s="8"/>
      <c r="M247" s="8"/>
      <c r="N247" s="8"/>
      <c r="O247" s="7"/>
      <c r="P247" s="8" t="s">
        <v>1003</v>
      </c>
      <c r="Q247" s="8"/>
      <c r="R247" s="21">
        <v>2</v>
      </c>
      <c r="S247" s="8" t="b">
        <v>0</v>
      </c>
      <c r="T247" s="8"/>
      <c r="U247" s="8" t="s">
        <v>392</v>
      </c>
      <c r="V247" s="8" t="s">
        <v>218</v>
      </c>
    </row>
    <row r="248" spans="1:22" x14ac:dyDescent="0.25">
      <c r="A248" s="6" t="s">
        <v>703</v>
      </c>
      <c r="B248" s="10" t="s">
        <v>702</v>
      </c>
      <c r="C248" s="11" t="s">
        <v>397</v>
      </c>
      <c r="D248" s="11" t="s">
        <v>394</v>
      </c>
      <c r="E248" s="11" t="s">
        <v>388</v>
      </c>
      <c r="F248" s="11" t="s">
        <v>706</v>
      </c>
      <c r="G248" s="23">
        <v>46132</v>
      </c>
      <c r="H248" s="23">
        <v>46136</v>
      </c>
      <c r="I248" s="23">
        <v>46132</v>
      </c>
      <c r="J248" s="23">
        <v>46136</v>
      </c>
      <c r="K248" s="11" t="s">
        <v>390</v>
      </c>
      <c r="L248" s="11"/>
      <c r="M248" s="11"/>
      <c r="N248" s="11"/>
      <c r="O248" s="10"/>
      <c r="P248" s="26" t="s">
        <v>1004</v>
      </c>
      <c r="Q248" s="11"/>
      <c r="R248" s="20">
        <v>1</v>
      </c>
      <c r="S248" s="11" t="b">
        <v>0</v>
      </c>
      <c r="T248" s="11"/>
      <c r="U248" s="11" t="s">
        <v>392</v>
      </c>
      <c r="V248" s="11" t="s">
        <v>218</v>
      </c>
    </row>
    <row r="249" spans="1:22" x14ac:dyDescent="0.25">
      <c r="A249" s="6" t="s">
        <v>703</v>
      </c>
      <c r="B249" s="7" t="s">
        <v>702</v>
      </c>
      <c r="C249" s="8" t="s">
        <v>399</v>
      </c>
      <c r="D249" s="8" t="s">
        <v>394</v>
      </c>
      <c r="E249" s="8" t="s">
        <v>388</v>
      </c>
      <c r="F249" s="8" t="s">
        <v>706</v>
      </c>
      <c r="G249" s="22">
        <v>46139</v>
      </c>
      <c r="H249" s="22">
        <v>46142</v>
      </c>
      <c r="I249" s="22">
        <v>46139</v>
      </c>
      <c r="J249" s="8"/>
      <c r="K249" s="8" t="s">
        <v>390</v>
      </c>
      <c r="L249" s="8"/>
      <c r="M249" s="8"/>
      <c r="N249" s="8"/>
      <c r="O249" s="7"/>
      <c r="P249" s="8" t="s">
        <v>1005</v>
      </c>
      <c r="Q249" s="8"/>
      <c r="R249" s="21">
        <v>3</v>
      </c>
      <c r="S249" s="8" t="b">
        <v>0</v>
      </c>
      <c r="T249" s="8"/>
      <c r="U249" s="8" t="s">
        <v>392</v>
      </c>
      <c r="V249" s="8" t="s">
        <v>218</v>
      </c>
    </row>
    <row r="250" spans="1:22" x14ac:dyDescent="0.25">
      <c r="A250" s="6" t="s">
        <v>703</v>
      </c>
      <c r="B250" s="10" t="s">
        <v>702</v>
      </c>
      <c r="C250" s="11" t="s">
        <v>402</v>
      </c>
      <c r="D250" s="11" t="s">
        <v>387</v>
      </c>
      <c r="E250" s="11" t="s">
        <v>388</v>
      </c>
      <c r="F250" s="11" t="s">
        <v>706</v>
      </c>
      <c r="G250" s="23">
        <v>46118</v>
      </c>
      <c r="H250" s="23">
        <v>46173</v>
      </c>
      <c r="I250" s="11"/>
      <c r="J250" s="11"/>
      <c r="K250" s="11" t="s">
        <v>403</v>
      </c>
      <c r="L250" s="11"/>
      <c r="M250" s="11"/>
      <c r="N250" s="11"/>
      <c r="O250" s="10"/>
      <c r="P250" s="11" t="s">
        <v>1006</v>
      </c>
      <c r="Q250" s="11"/>
      <c r="R250" s="20">
        <v>4</v>
      </c>
      <c r="S250" s="11" t="b">
        <v>0</v>
      </c>
      <c r="T250" s="11"/>
      <c r="U250" s="11" t="s">
        <v>392</v>
      </c>
      <c r="V250" s="11" t="s">
        <v>218</v>
      </c>
    </row>
    <row r="251" spans="1:22" x14ac:dyDescent="0.25">
      <c r="A251" s="6" t="s">
        <v>703</v>
      </c>
      <c r="B251" s="7" t="s">
        <v>702</v>
      </c>
      <c r="C251" s="8" t="s">
        <v>405</v>
      </c>
      <c r="D251" s="8" t="s">
        <v>387</v>
      </c>
      <c r="E251" s="8" t="s">
        <v>388</v>
      </c>
      <c r="F251" s="8" t="s">
        <v>706</v>
      </c>
      <c r="G251" s="22">
        <v>46143</v>
      </c>
      <c r="H251" s="22">
        <v>46173</v>
      </c>
      <c r="I251" s="8"/>
      <c r="J251" s="8"/>
      <c r="K251" s="8" t="s">
        <v>406</v>
      </c>
      <c r="L251" s="8"/>
      <c r="M251" s="8"/>
      <c r="N251" s="8"/>
      <c r="O251" s="7"/>
      <c r="P251" s="8" t="s">
        <v>1007</v>
      </c>
      <c r="Q251" s="8"/>
      <c r="R251" s="21">
        <v>7</v>
      </c>
      <c r="S251" s="8" t="b">
        <v>0</v>
      </c>
      <c r="T251" s="8"/>
      <c r="U251" s="8" t="s">
        <v>392</v>
      </c>
      <c r="V251" s="8" t="s">
        <v>218</v>
      </c>
    </row>
    <row r="252" spans="1:22" x14ac:dyDescent="0.25">
      <c r="A252" s="6" t="s">
        <v>703</v>
      </c>
      <c r="B252" s="10" t="s">
        <v>702</v>
      </c>
      <c r="C252" s="11" t="s">
        <v>408</v>
      </c>
      <c r="D252" s="11" t="s">
        <v>387</v>
      </c>
      <c r="E252" s="11" t="s">
        <v>388</v>
      </c>
      <c r="F252" s="11" t="s">
        <v>706</v>
      </c>
      <c r="G252" s="23">
        <v>46174</v>
      </c>
      <c r="H252" s="23">
        <v>46234</v>
      </c>
      <c r="I252" s="11"/>
      <c r="J252" s="11"/>
      <c r="K252" s="11" t="s">
        <v>406</v>
      </c>
      <c r="L252" s="11"/>
      <c r="M252" s="11"/>
      <c r="N252" s="11"/>
      <c r="O252" s="10"/>
      <c r="P252" s="11" t="s">
        <v>1008</v>
      </c>
      <c r="Q252" s="11"/>
      <c r="R252" s="20">
        <v>5</v>
      </c>
      <c r="S252" s="11" t="b">
        <v>0</v>
      </c>
      <c r="T252" s="11"/>
      <c r="U252" s="11" t="s">
        <v>392</v>
      </c>
      <c r="V252" s="11" t="s">
        <v>218</v>
      </c>
    </row>
    <row r="253" spans="1:22" x14ac:dyDescent="0.25">
      <c r="A253" s="6" t="s">
        <v>703</v>
      </c>
      <c r="B253" s="7" t="s">
        <v>702</v>
      </c>
      <c r="C253" s="8" t="s">
        <v>411</v>
      </c>
      <c r="D253" s="8" t="s">
        <v>387</v>
      </c>
      <c r="E253" s="8" t="s">
        <v>388</v>
      </c>
      <c r="F253" s="8" t="s">
        <v>706</v>
      </c>
      <c r="G253" s="22">
        <v>46235</v>
      </c>
      <c r="H253" s="22">
        <v>46265</v>
      </c>
      <c r="I253" s="8"/>
      <c r="J253" s="8"/>
      <c r="K253" s="8" t="s">
        <v>406</v>
      </c>
      <c r="L253" s="8"/>
      <c r="M253" s="8"/>
      <c r="N253" s="8"/>
      <c r="O253" s="7"/>
      <c r="P253" s="8" t="s">
        <v>1009</v>
      </c>
      <c r="Q253" s="8"/>
      <c r="R253" s="21">
        <v>6</v>
      </c>
      <c r="S253" s="8" t="b">
        <v>0</v>
      </c>
      <c r="T253" s="8"/>
      <c r="U253" s="8" t="s">
        <v>392</v>
      </c>
      <c r="V253" s="8" t="s">
        <v>218</v>
      </c>
    </row>
    <row r="254" spans="1:22" x14ac:dyDescent="0.25">
      <c r="A254" s="6" t="s">
        <v>703</v>
      </c>
      <c r="B254" s="10" t="s">
        <v>702</v>
      </c>
      <c r="C254" s="11" t="s">
        <v>413</v>
      </c>
      <c r="D254" s="11" t="s">
        <v>387</v>
      </c>
      <c r="E254" s="11" t="s">
        <v>388</v>
      </c>
      <c r="F254" s="11" t="s">
        <v>706</v>
      </c>
      <c r="G254" s="23">
        <v>46174</v>
      </c>
      <c r="H254" s="23">
        <v>46326</v>
      </c>
      <c r="I254" s="11"/>
      <c r="J254" s="11"/>
      <c r="K254" s="11" t="s">
        <v>406</v>
      </c>
      <c r="L254" s="11"/>
      <c r="M254" s="11"/>
      <c r="N254" s="11"/>
      <c r="O254" s="10"/>
      <c r="P254" s="11" t="s">
        <v>1010</v>
      </c>
      <c r="Q254" s="11"/>
      <c r="R254" s="20">
        <v>8</v>
      </c>
      <c r="S254" s="11" t="b">
        <v>0</v>
      </c>
      <c r="T254" s="11"/>
      <c r="U254" s="11" t="s">
        <v>392</v>
      </c>
      <c r="V254" s="11" t="s">
        <v>218</v>
      </c>
    </row>
    <row r="255" spans="1:22" x14ac:dyDescent="0.25">
      <c r="A255" s="6" t="s">
        <v>703</v>
      </c>
      <c r="B255" s="7" t="s">
        <v>702</v>
      </c>
      <c r="C255" s="8" t="s">
        <v>415</v>
      </c>
      <c r="D255" s="8" t="s">
        <v>387</v>
      </c>
      <c r="E255" s="8" t="s">
        <v>388</v>
      </c>
      <c r="F255" s="8" t="s">
        <v>706</v>
      </c>
      <c r="G255" s="22">
        <v>46296</v>
      </c>
      <c r="H255" s="22">
        <v>46356</v>
      </c>
      <c r="I255" s="8"/>
      <c r="J255" s="8"/>
      <c r="K255" s="8" t="s">
        <v>406</v>
      </c>
      <c r="L255" s="8"/>
      <c r="M255" s="8"/>
      <c r="N255" s="8"/>
      <c r="O255" s="7"/>
      <c r="P255" s="8" t="s">
        <v>1011</v>
      </c>
      <c r="Q255" s="8"/>
      <c r="R255" s="21">
        <v>9</v>
      </c>
      <c r="S255" s="8" t="b">
        <v>0</v>
      </c>
      <c r="T255" s="8"/>
      <c r="U255" s="8" t="s">
        <v>392</v>
      </c>
      <c r="V255" s="8" t="s">
        <v>218</v>
      </c>
    </row>
    <row r="256" spans="1:22" x14ac:dyDescent="0.25">
      <c r="A256" s="6" t="s">
        <v>703</v>
      </c>
      <c r="B256" s="10" t="s">
        <v>702</v>
      </c>
      <c r="C256" s="11" t="s">
        <v>417</v>
      </c>
      <c r="D256" s="11" t="s">
        <v>387</v>
      </c>
      <c r="E256" s="11" t="s">
        <v>388</v>
      </c>
      <c r="F256" s="11" t="s">
        <v>706</v>
      </c>
      <c r="G256" s="23">
        <v>46357</v>
      </c>
      <c r="H256" s="23">
        <v>46418</v>
      </c>
      <c r="I256" s="11"/>
      <c r="J256" s="11"/>
      <c r="K256" s="11" t="s">
        <v>406</v>
      </c>
      <c r="L256" s="11"/>
      <c r="M256" s="11"/>
      <c r="N256" s="11"/>
      <c r="O256" s="10"/>
      <c r="P256" s="11" t="s">
        <v>1012</v>
      </c>
      <c r="Q256" s="11"/>
      <c r="R256" s="20">
        <v>10</v>
      </c>
      <c r="S256" s="11" t="b">
        <v>0</v>
      </c>
      <c r="T256" s="11"/>
      <c r="U256" s="11" t="s">
        <v>392</v>
      </c>
      <c r="V256" s="11" t="s">
        <v>218</v>
      </c>
    </row>
    <row r="257" spans="1:22" x14ac:dyDescent="0.25">
      <c r="A257" s="6" t="s">
        <v>703</v>
      </c>
      <c r="B257" s="7" t="s">
        <v>702</v>
      </c>
      <c r="C257" s="8" t="s">
        <v>419</v>
      </c>
      <c r="D257" s="8" t="s">
        <v>387</v>
      </c>
      <c r="E257" s="8" t="s">
        <v>388</v>
      </c>
      <c r="F257" s="8" t="s">
        <v>706</v>
      </c>
      <c r="G257" s="22">
        <v>46419</v>
      </c>
      <c r="H257" s="22">
        <v>46446</v>
      </c>
      <c r="I257" s="8"/>
      <c r="J257" s="8"/>
      <c r="K257" s="8" t="s">
        <v>406</v>
      </c>
      <c r="L257" s="8"/>
      <c r="M257" s="8"/>
      <c r="N257" s="8"/>
      <c r="O257" s="7"/>
      <c r="P257" s="8" t="s">
        <v>1013</v>
      </c>
      <c r="Q257" s="8"/>
      <c r="R257" s="21">
        <v>11</v>
      </c>
      <c r="S257" s="8" t="b">
        <v>0</v>
      </c>
      <c r="T257" s="8"/>
      <c r="U257" s="8" t="s">
        <v>392</v>
      </c>
      <c r="V257" s="8" t="s">
        <v>218</v>
      </c>
    </row>
    <row r="258" spans="1:22" ht="24" x14ac:dyDescent="0.25">
      <c r="A258" s="6" t="s">
        <v>703</v>
      </c>
      <c r="B258" s="10" t="s">
        <v>702</v>
      </c>
      <c r="C258" s="11" t="s">
        <v>421</v>
      </c>
      <c r="D258" s="11" t="s">
        <v>59</v>
      </c>
      <c r="E258" s="11" t="s">
        <v>26</v>
      </c>
      <c r="F258" s="11" t="s">
        <v>706</v>
      </c>
      <c r="G258" s="23">
        <v>46388</v>
      </c>
      <c r="H258" s="23">
        <v>46660</v>
      </c>
      <c r="I258" s="11"/>
      <c r="J258" s="11"/>
      <c r="K258" s="11" t="s">
        <v>406</v>
      </c>
      <c r="L258" s="11"/>
      <c r="M258" s="11"/>
      <c r="N258" s="11"/>
      <c r="O258" s="10" t="s">
        <v>422</v>
      </c>
      <c r="P258" s="11" t="s">
        <v>1014</v>
      </c>
      <c r="Q258" s="11"/>
      <c r="R258" s="20">
        <v>13</v>
      </c>
      <c r="S258" s="11" t="b">
        <v>0</v>
      </c>
      <c r="T258" s="11"/>
      <c r="U258" s="11" t="s">
        <v>392</v>
      </c>
      <c r="V258" s="11" t="s">
        <v>218</v>
      </c>
    </row>
    <row r="259" spans="1:22" x14ac:dyDescent="0.25">
      <c r="A259" s="6" t="s">
        <v>703</v>
      </c>
      <c r="B259" s="7" t="s">
        <v>702</v>
      </c>
      <c r="C259" s="8" t="s">
        <v>424</v>
      </c>
      <c r="D259" s="8" t="s">
        <v>387</v>
      </c>
      <c r="E259" s="8" t="s">
        <v>388</v>
      </c>
      <c r="F259" s="8" t="s">
        <v>706</v>
      </c>
      <c r="G259" s="22">
        <v>46447</v>
      </c>
      <c r="H259" s="22">
        <v>46660</v>
      </c>
      <c r="I259" s="8"/>
      <c r="J259" s="8"/>
      <c r="K259" s="8" t="s">
        <v>406</v>
      </c>
      <c r="L259" s="8"/>
      <c r="M259" s="8"/>
      <c r="N259" s="8"/>
      <c r="O259" s="7"/>
      <c r="P259" s="8" t="s">
        <v>1015</v>
      </c>
      <c r="Q259" s="8"/>
      <c r="R259" s="21">
        <v>12</v>
      </c>
      <c r="S259" s="8" t="b">
        <v>0</v>
      </c>
      <c r="T259" s="8"/>
      <c r="U259" s="8" t="s">
        <v>392</v>
      </c>
      <c r="V259" s="8" t="s">
        <v>218</v>
      </c>
    </row>
    <row r="260" spans="1:22" x14ac:dyDescent="0.25">
      <c r="A260" s="6" t="s">
        <v>703</v>
      </c>
      <c r="B260" s="10" t="s">
        <v>702</v>
      </c>
      <c r="C260" s="11" t="s">
        <v>426</v>
      </c>
      <c r="D260" s="11" t="s">
        <v>387</v>
      </c>
      <c r="E260" s="11" t="s">
        <v>388</v>
      </c>
      <c r="F260" s="11" t="s">
        <v>706</v>
      </c>
      <c r="G260" s="23">
        <v>46388</v>
      </c>
      <c r="H260" s="11"/>
      <c r="I260" s="11"/>
      <c r="J260" s="11"/>
      <c r="K260" s="11" t="s">
        <v>406</v>
      </c>
      <c r="L260" s="11"/>
      <c r="M260" s="11"/>
      <c r="N260" s="11"/>
      <c r="O260" s="10"/>
      <c r="P260" s="11" t="s">
        <v>1016</v>
      </c>
      <c r="Q260" s="11"/>
      <c r="R260" s="20">
        <v>14</v>
      </c>
      <c r="S260" s="11" t="b">
        <v>0</v>
      </c>
      <c r="T260" s="11"/>
      <c r="U260" s="11" t="s">
        <v>392</v>
      </c>
      <c r="V260" s="11" t="s">
        <v>218</v>
      </c>
    </row>
    <row r="261" spans="1:22" ht="24" x14ac:dyDescent="0.25">
      <c r="A261" s="6" t="s">
        <v>708</v>
      </c>
      <c r="B261" s="7" t="s">
        <v>707</v>
      </c>
      <c r="C261" s="8" t="s">
        <v>470</v>
      </c>
      <c r="D261" s="8" t="s">
        <v>394</v>
      </c>
      <c r="E261" s="8" t="s">
        <v>388</v>
      </c>
      <c r="F261" s="8" t="s">
        <v>709</v>
      </c>
      <c r="G261" s="22">
        <v>46162</v>
      </c>
      <c r="H261" s="22">
        <v>46164</v>
      </c>
      <c r="I261" s="8"/>
      <c r="J261" s="8"/>
      <c r="K261" s="8" t="s">
        <v>390</v>
      </c>
      <c r="L261" s="8"/>
      <c r="M261" s="8"/>
      <c r="N261" s="8"/>
      <c r="O261" s="7"/>
      <c r="P261" s="8" t="s">
        <v>1017</v>
      </c>
      <c r="Q261" s="8"/>
      <c r="R261" s="21">
        <v>2</v>
      </c>
      <c r="S261" s="8" t="b">
        <v>0</v>
      </c>
      <c r="T261" s="8"/>
      <c r="U261" s="8" t="s">
        <v>392</v>
      </c>
      <c r="V261" s="8" t="s">
        <v>218</v>
      </c>
    </row>
    <row r="262" spans="1:22" ht="24" x14ac:dyDescent="0.25">
      <c r="A262" s="6" t="s">
        <v>708</v>
      </c>
      <c r="B262" s="10" t="s">
        <v>707</v>
      </c>
      <c r="C262" s="11" t="s">
        <v>472</v>
      </c>
      <c r="D262" s="11" t="s">
        <v>394</v>
      </c>
      <c r="E262" s="11" t="s">
        <v>388</v>
      </c>
      <c r="F262" s="11" t="s">
        <v>709</v>
      </c>
      <c r="G262" s="11"/>
      <c r="H262" s="23">
        <v>46173</v>
      </c>
      <c r="I262" s="11"/>
      <c r="J262" s="11"/>
      <c r="K262" s="11" t="s">
        <v>390</v>
      </c>
      <c r="L262" s="11"/>
      <c r="M262" s="11"/>
      <c r="N262" s="11"/>
      <c r="O262" s="10" t="s">
        <v>474</v>
      </c>
      <c r="P262" s="11" t="s">
        <v>1018</v>
      </c>
      <c r="Q262" s="11"/>
      <c r="R262" s="20">
        <v>4</v>
      </c>
      <c r="S262" s="11" t="b">
        <v>0</v>
      </c>
      <c r="T262" s="11"/>
      <c r="U262" s="11" t="s">
        <v>392</v>
      </c>
      <c r="V262" s="11" t="s">
        <v>218</v>
      </c>
    </row>
    <row r="263" spans="1:22" ht="24" x14ac:dyDescent="0.25">
      <c r="A263" s="6" t="s">
        <v>708</v>
      </c>
      <c r="B263" s="7" t="s">
        <v>707</v>
      </c>
      <c r="C263" s="8" t="s">
        <v>476</v>
      </c>
      <c r="D263" s="8" t="s">
        <v>387</v>
      </c>
      <c r="E263" s="8" t="s">
        <v>388</v>
      </c>
      <c r="F263" s="8" t="s">
        <v>709</v>
      </c>
      <c r="G263" s="22">
        <v>46174</v>
      </c>
      <c r="H263" s="22">
        <v>46234</v>
      </c>
      <c r="I263" s="8"/>
      <c r="J263" s="8"/>
      <c r="K263" s="8" t="s">
        <v>403</v>
      </c>
      <c r="L263" s="8"/>
      <c r="M263" s="8"/>
      <c r="N263" s="8"/>
      <c r="O263" s="7" t="s">
        <v>478</v>
      </c>
      <c r="P263" s="8" t="s">
        <v>1019</v>
      </c>
      <c r="Q263" s="8"/>
      <c r="R263" s="21">
        <v>5</v>
      </c>
      <c r="S263" s="8" t="b">
        <v>0</v>
      </c>
      <c r="T263" s="8"/>
      <c r="U263" s="8" t="s">
        <v>392</v>
      </c>
      <c r="V263" s="8" t="s">
        <v>218</v>
      </c>
    </row>
    <row r="264" spans="1:22" ht="24" x14ac:dyDescent="0.25">
      <c r="A264" s="6" t="s">
        <v>708</v>
      </c>
      <c r="B264" s="10" t="s">
        <v>707</v>
      </c>
      <c r="C264" s="11" t="s">
        <v>480</v>
      </c>
      <c r="D264" s="11" t="s">
        <v>387</v>
      </c>
      <c r="E264" s="11" t="s">
        <v>388</v>
      </c>
      <c r="F264" s="11" t="s">
        <v>709</v>
      </c>
      <c r="G264" s="11"/>
      <c r="H264" s="23">
        <v>46265</v>
      </c>
      <c r="I264" s="11"/>
      <c r="J264" s="11"/>
      <c r="K264" s="11" t="s">
        <v>403</v>
      </c>
      <c r="L264" s="11"/>
      <c r="M264" s="11"/>
      <c r="N264" s="11"/>
      <c r="O264" s="10"/>
      <c r="P264" s="11" t="s">
        <v>1020</v>
      </c>
      <c r="Q264" s="11"/>
      <c r="R264" s="20">
        <v>8</v>
      </c>
      <c r="S264" s="11" t="b">
        <v>0</v>
      </c>
      <c r="T264" s="11"/>
      <c r="U264" s="11" t="s">
        <v>392</v>
      </c>
      <c r="V264" s="11" t="s">
        <v>218</v>
      </c>
    </row>
    <row r="265" spans="1:22" ht="24" x14ac:dyDescent="0.25">
      <c r="A265" s="6" t="s">
        <v>708</v>
      </c>
      <c r="B265" s="7" t="s">
        <v>707</v>
      </c>
      <c r="C265" s="8" t="s">
        <v>483</v>
      </c>
      <c r="D265" s="8" t="s">
        <v>387</v>
      </c>
      <c r="E265" s="8" t="s">
        <v>388</v>
      </c>
      <c r="F265" s="8" t="s">
        <v>709</v>
      </c>
      <c r="G265" s="8"/>
      <c r="H265" s="22">
        <v>46265</v>
      </c>
      <c r="I265" s="8"/>
      <c r="J265" s="8"/>
      <c r="K265" s="8" t="s">
        <v>403</v>
      </c>
      <c r="L265" s="8"/>
      <c r="M265" s="8"/>
      <c r="N265" s="8"/>
      <c r="O265" s="7" t="s">
        <v>484</v>
      </c>
      <c r="P265" s="8" t="s">
        <v>1021</v>
      </c>
      <c r="Q265" s="8"/>
      <c r="R265" s="21">
        <v>7</v>
      </c>
      <c r="S265" s="8" t="b">
        <v>0</v>
      </c>
      <c r="T265" s="8"/>
      <c r="U265" s="8" t="s">
        <v>392</v>
      </c>
      <c r="V265" s="8" t="s">
        <v>218</v>
      </c>
    </row>
    <row r="266" spans="1:22" ht="24" x14ac:dyDescent="0.25">
      <c r="A266" s="6" t="s">
        <v>708</v>
      </c>
      <c r="B266" s="10" t="s">
        <v>707</v>
      </c>
      <c r="C266" s="11" t="s">
        <v>486</v>
      </c>
      <c r="D266" s="11" t="s">
        <v>387</v>
      </c>
      <c r="E266" s="11" t="s">
        <v>388</v>
      </c>
      <c r="F266" s="11" t="s">
        <v>709</v>
      </c>
      <c r="G266" s="11"/>
      <c r="H266" s="23">
        <v>46265</v>
      </c>
      <c r="I266" s="11"/>
      <c r="J266" s="11"/>
      <c r="K266" s="11" t="s">
        <v>403</v>
      </c>
      <c r="L266" s="11"/>
      <c r="M266" s="11"/>
      <c r="N266" s="11"/>
      <c r="O266" s="10" t="s">
        <v>484</v>
      </c>
      <c r="P266" s="11" t="s">
        <v>1022</v>
      </c>
      <c r="Q266" s="11"/>
      <c r="R266" s="20">
        <v>6</v>
      </c>
      <c r="S266" s="11" t="b">
        <v>0</v>
      </c>
      <c r="T266" s="11"/>
      <c r="U266" s="11" t="s">
        <v>392</v>
      </c>
      <c r="V266" s="11" t="s">
        <v>218</v>
      </c>
    </row>
    <row r="267" spans="1:22" ht="24" x14ac:dyDescent="0.25">
      <c r="A267" s="6" t="s">
        <v>708</v>
      </c>
      <c r="B267" s="7" t="s">
        <v>707</v>
      </c>
      <c r="C267" s="8" t="s">
        <v>488</v>
      </c>
      <c r="D267" s="8" t="s">
        <v>387</v>
      </c>
      <c r="E267" s="8" t="s">
        <v>388</v>
      </c>
      <c r="F267" s="8" t="s">
        <v>709</v>
      </c>
      <c r="G267" s="22">
        <v>46266</v>
      </c>
      <c r="H267" s="22">
        <v>46387</v>
      </c>
      <c r="I267" s="8"/>
      <c r="J267" s="8"/>
      <c r="K267" s="8" t="s">
        <v>406</v>
      </c>
      <c r="L267" s="8"/>
      <c r="M267" s="8"/>
      <c r="N267" s="8"/>
      <c r="O267" s="7"/>
      <c r="P267" s="8" t="s">
        <v>1023</v>
      </c>
      <c r="Q267" s="8"/>
      <c r="R267" s="21">
        <v>9</v>
      </c>
      <c r="S267" s="8" t="b">
        <v>0</v>
      </c>
      <c r="T267" s="8"/>
      <c r="U267" s="8" t="s">
        <v>392</v>
      </c>
      <c r="V267" s="8" t="s">
        <v>218</v>
      </c>
    </row>
    <row r="268" spans="1:22" ht="24" x14ac:dyDescent="0.25">
      <c r="A268" s="6" t="s">
        <v>708</v>
      </c>
      <c r="B268" s="10" t="s">
        <v>707</v>
      </c>
      <c r="C268" s="11" t="s">
        <v>490</v>
      </c>
      <c r="D268" s="11" t="s">
        <v>394</v>
      </c>
      <c r="E268" s="11" t="s">
        <v>388</v>
      </c>
      <c r="F268" s="11" t="s">
        <v>709</v>
      </c>
      <c r="G268" s="23">
        <v>46266</v>
      </c>
      <c r="H268" s="23">
        <v>46387</v>
      </c>
      <c r="I268" s="11"/>
      <c r="J268" s="11"/>
      <c r="K268" s="11" t="s">
        <v>406</v>
      </c>
      <c r="L268" s="11"/>
      <c r="M268" s="11"/>
      <c r="N268" s="11"/>
      <c r="O268" s="10"/>
      <c r="P268" s="26" t="s">
        <v>1024</v>
      </c>
      <c r="Q268" s="11"/>
      <c r="R268" s="20">
        <v>10</v>
      </c>
      <c r="S268" s="11" t="b">
        <v>0</v>
      </c>
      <c r="T268" s="11"/>
      <c r="U268" s="11" t="s">
        <v>392</v>
      </c>
      <c r="V268" s="11" t="s">
        <v>218</v>
      </c>
    </row>
    <row r="269" spans="1:22" ht="24" x14ac:dyDescent="0.25">
      <c r="A269" s="6" t="s">
        <v>708</v>
      </c>
      <c r="B269" s="7" t="s">
        <v>707</v>
      </c>
      <c r="C269" s="8" t="s">
        <v>421</v>
      </c>
      <c r="D269" s="8" t="s">
        <v>59</v>
      </c>
      <c r="E269" s="8" t="s">
        <v>26</v>
      </c>
      <c r="F269" s="8" t="s">
        <v>709</v>
      </c>
      <c r="G269" s="22">
        <v>46388</v>
      </c>
      <c r="H269" s="22">
        <v>46660</v>
      </c>
      <c r="I269" s="8"/>
      <c r="J269" s="8"/>
      <c r="K269" s="8" t="s">
        <v>406</v>
      </c>
      <c r="L269" s="8"/>
      <c r="M269" s="8"/>
      <c r="N269" s="8"/>
      <c r="O269" s="7" t="s">
        <v>422</v>
      </c>
      <c r="P269" s="8" t="s">
        <v>1025</v>
      </c>
      <c r="Q269" s="8"/>
      <c r="R269" s="21">
        <v>13</v>
      </c>
      <c r="S269" s="8" t="b">
        <v>0</v>
      </c>
      <c r="T269" s="8"/>
      <c r="U269" s="8" t="s">
        <v>392</v>
      </c>
      <c r="V269" s="8" t="s">
        <v>218</v>
      </c>
    </row>
    <row r="270" spans="1:22" ht="24" x14ac:dyDescent="0.25">
      <c r="A270" s="6" t="s">
        <v>708</v>
      </c>
      <c r="B270" s="10" t="s">
        <v>707</v>
      </c>
      <c r="C270" s="11" t="s">
        <v>493</v>
      </c>
      <c r="D270" s="11" t="s">
        <v>387</v>
      </c>
      <c r="E270" s="11" t="s">
        <v>388</v>
      </c>
      <c r="F270" s="11" t="s">
        <v>709</v>
      </c>
      <c r="G270" s="23">
        <v>46388</v>
      </c>
      <c r="H270" s="23">
        <v>46660</v>
      </c>
      <c r="I270" s="11"/>
      <c r="J270" s="11"/>
      <c r="K270" s="11" t="s">
        <v>406</v>
      </c>
      <c r="L270" s="11"/>
      <c r="M270" s="11"/>
      <c r="N270" s="11"/>
      <c r="O270" s="10" t="s">
        <v>484</v>
      </c>
      <c r="P270" s="11" t="s">
        <v>1026</v>
      </c>
      <c r="Q270" s="11"/>
      <c r="R270" s="20">
        <v>11</v>
      </c>
      <c r="S270" s="11" t="b">
        <v>0</v>
      </c>
      <c r="T270" s="11"/>
      <c r="U270" s="11" t="s">
        <v>392</v>
      </c>
      <c r="V270" s="11" t="s">
        <v>218</v>
      </c>
    </row>
    <row r="271" spans="1:22" ht="24" x14ac:dyDescent="0.25">
      <c r="A271" s="6" t="s">
        <v>708</v>
      </c>
      <c r="B271" s="7" t="s">
        <v>707</v>
      </c>
      <c r="C271" s="8" t="s">
        <v>495</v>
      </c>
      <c r="D271" s="8" t="s">
        <v>387</v>
      </c>
      <c r="E271" s="8" t="s">
        <v>388</v>
      </c>
      <c r="F271" s="8" t="s">
        <v>709</v>
      </c>
      <c r="G271" s="22">
        <v>46388</v>
      </c>
      <c r="H271" s="8"/>
      <c r="I271" s="8"/>
      <c r="J271" s="8"/>
      <c r="K271" s="8" t="s">
        <v>406</v>
      </c>
      <c r="L271" s="8"/>
      <c r="M271" s="8"/>
      <c r="N271" s="8"/>
      <c r="O271" s="7" t="s">
        <v>484</v>
      </c>
      <c r="P271" s="8" t="s">
        <v>1027</v>
      </c>
      <c r="Q271" s="8"/>
      <c r="R271" s="21">
        <v>12</v>
      </c>
      <c r="S271" s="8" t="b">
        <v>0</v>
      </c>
      <c r="T271" s="8"/>
      <c r="U271" s="8" t="s">
        <v>392</v>
      </c>
      <c r="V271" s="8" t="s">
        <v>218</v>
      </c>
    </row>
    <row r="272" spans="1:22" ht="24" x14ac:dyDescent="0.25">
      <c r="A272" s="6" t="s">
        <v>708</v>
      </c>
      <c r="B272" s="10" t="s">
        <v>707</v>
      </c>
      <c r="C272" s="11" t="s">
        <v>661</v>
      </c>
      <c r="D272" s="11" t="s">
        <v>387</v>
      </c>
      <c r="E272" s="11" t="s">
        <v>388</v>
      </c>
      <c r="F272" s="11" t="s">
        <v>709</v>
      </c>
      <c r="G272" s="11"/>
      <c r="H272" s="11"/>
      <c r="I272" s="11"/>
      <c r="J272" s="11"/>
      <c r="K272" s="11" t="s">
        <v>390</v>
      </c>
      <c r="L272" s="11"/>
      <c r="M272" s="11"/>
      <c r="N272" s="11"/>
      <c r="O272" s="10"/>
      <c r="P272" s="11" t="s">
        <v>1028</v>
      </c>
      <c r="Q272" s="11"/>
      <c r="R272" s="20">
        <v>0</v>
      </c>
      <c r="S272" s="11" t="b">
        <v>0</v>
      </c>
      <c r="T272" s="11"/>
      <c r="U272" s="11" t="s">
        <v>392</v>
      </c>
      <c r="V272" s="11" t="s">
        <v>218</v>
      </c>
    </row>
    <row r="273" spans="1:22" ht="24" x14ac:dyDescent="0.25">
      <c r="A273" s="6" t="s">
        <v>708</v>
      </c>
      <c r="B273" s="7" t="s">
        <v>707</v>
      </c>
      <c r="C273" s="8" t="s">
        <v>498</v>
      </c>
      <c r="D273" s="8" t="s">
        <v>387</v>
      </c>
      <c r="E273" s="8" t="s">
        <v>388</v>
      </c>
      <c r="F273" s="8" t="s">
        <v>709</v>
      </c>
      <c r="G273" s="8"/>
      <c r="H273" s="8"/>
      <c r="I273" s="8"/>
      <c r="J273" s="8"/>
      <c r="K273" s="8" t="s">
        <v>390</v>
      </c>
      <c r="L273" s="8"/>
      <c r="M273" s="8"/>
      <c r="N273" s="8"/>
      <c r="O273" s="7"/>
      <c r="P273" s="8" t="s">
        <v>1029</v>
      </c>
      <c r="Q273" s="8"/>
      <c r="R273" s="21">
        <v>1</v>
      </c>
      <c r="S273" s="8" t="b">
        <v>0</v>
      </c>
      <c r="T273" s="8"/>
      <c r="U273" s="8" t="s">
        <v>392</v>
      </c>
      <c r="V273" s="8" t="s">
        <v>218</v>
      </c>
    </row>
    <row r="274" spans="1:22" ht="24" x14ac:dyDescent="0.25">
      <c r="A274" s="6" t="s">
        <v>708</v>
      </c>
      <c r="B274" s="10" t="s">
        <v>707</v>
      </c>
      <c r="C274" s="11" t="s">
        <v>446</v>
      </c>
      <c r="D274" s="11" t="s">
        <v>394</v>
      </c>
      <c r="E274" s="11" t="s">
        <v>388</v>
      </c>
      <c r="F274" s="11" t="s">
        <v>709</v>
      </c>
      <c r="G274" s="11"/>
      <c r="H274" s="11"/>
      <c r="I274" s="11"/>
      <c r="J274" s="11"/>
      <c r="K274" s="11" t="s">
        <v>390</v>
      </c>
      <c r="L274" s="11"/>
      <c r="M274" s="11"/>
      <c r="N274" s="11"/>
      <c r="O274" s="10"/>
      <c r="P274" s="11" t="s">
        <v>1030</v>
      </c>
      <c r="Q274" s="11"/>
      <c r="R274" s="20">
        <v>3</v>
      </c>
      <c r="S274" s="11" t="b">
        <v>0</v>
      </c>
      <c r="T274" s="11"/>
      <c r="U274" s="11" t="s">
        <v>392</v>
      </c>
      <c r="V274" s="11" t="s">
        <v>218</v>
      </c>
    </row>
    <row r="275" spans="1:22" ht="24" x14ac:dyDescent="0.25">
      <c r="A275" s="6" t="s">
        <v>711</v>
      </c>
      <c r="B275" s="7" t="s">
        <v>710</v>
      </c>
      <c r="C275" s="8" t="s">
        <v>501</v>
      </c>
      <c r="D275" s="8" t="s">
        <v>394</v>
      </c>
      <c r="E275" s="8" t="s">
        <v>388</v>
      </c>
      <c r="F275" s="8" t="s">
        <v>713</v>
      </c>
      <c r="G275" s="22">
        <v>46158</v>
      </c>
      <c r="H275" s="22">
        <v>46173</v>
      </c>
      <c r="I275" s="8"/>
      <c r="J275" s="8"/>
      <c r="K275" s="8" t="s">
        <v>403</v>
      </c>
      <c r="L275" s="8"/>
      <c r="M275" s="8"/>
      <c r="N275" s="8"/>
      <c r="O275" s="7"/>
      <c r="P275" s="8" t="s">
        <v>1031</v>
      </c>
      <c r="Q275" s="8"/>
      <c r="R275" s="21">
        <v>1</v>
      </c>
      <c r="S275" s="8" t="b">
        <v>0</v>
      </c>
      <c r="T275" s="8"/>
      <c r="U275" s="8" t="s">
        <v>392</v>
      </c>
      <c r="V275" s="8" t="s">
        <v>218</v>
      </c>
    </row>
    <row r="276" spans="1:22" ht="24" x14ac:dyDescent="0.25">
      <c r="A276" s="6" t="s">
        <v>711</v>
      </c>
      <c r="B276" s="10" t="s">
        <v>710</v>
      </c>
      <c r="C276" s="11" t="s">
        <v>503</v>
      </c>
      <c r="D276" s="11" t="s">
        <v>394</v>
      </c>
      <c r="E276" s="11" t="s">
        <v>388</v>
      </c>
      <c r="F276" s="11" t="s">
        <v>713</v>
      </c>
      <c r="G276" s="23">
        <v>46143</v>
      </c>
      <c r="H276" s="23">
        <v>46178</v>
      </c>
      <c r="I276" s="11"/>
      <c r="J276" s="11"/>
      <c r="K276" s="11" t="s">
        <v>403</v>
      </c>
      <c r="L276" s="11"/>
      <c r="M276" s="11" t="s">
        <v>501</v>
      </c>
      <c r="N276" s="11"/>
      <c r="O276" s="10"/>
      <c r="P276" s="11" t="s">
        <v>1032</v>
      </c>
      <c r="Q276" s="11"/>
      <c r="R276" s="20">
        <v>0</v>
      </c>
      <c r="S276" s="11" t="b">
        <v>0</v>
      </c>
      <c r="T276" s="11"/>
      <c r="U276" s="11" t="s">
        <v>392</v>
      </c>
      <c r="V276" s="11" t="s">
        <v>218</v>
      </c>
    </row>
    <row r="277" spans="1:22" ht="24" x14ac:dyDescent="0.25">
      <c r="A277" s="6" t="s">
        <v>711</v>
      </c>
      <c r="B277" s="7" t="s">
        <v>710</v>
      </c>
      <c r="C277" s="8" t="s">
        <v>505</v>
      </c>
      <c r="D277" s="8" t="s">
        <v>394</v>
      </c>
      <c r="E277" s="8" t="s">
        <v>388</v>
      </c>
      <c r="F277" s="8" t="s">
        <v>713</v>
      </c>
      <c r="G277" s="8"/>
      <c r="H277" s="22">
        <v>46203</v>
      </c>
      <c r="I277" s="8"/>
      <c r="J277" s="8"/>
      <c r="K277" s="8" t="s">
        <v>406</v>
      </c>
      <c r="L277" s="8"/>
      <c r="M277" s="8"/>
      <c r="N277" s="8"/>
      <c r="O277" s="7"/>
      <c r="P277" s="8" t="s">
        <v>1033</v>
      </c>
      <c r="Q277" s="8"/>
      <c r="R277" s="21">
        <v>9</v>
      </c>
      <c r="S277" s="8" t="b">
        <v>0</v>
      </c>
      <c r="T277" s="8"/>
      <c r="U277" s="8" t="s">
        <v>392</v>
      </c>
      <c r="V277" s="8" t="s">
        <v>218</v>
      </c>
    </row>
    <row r="278" spans="1:22" ht="24" x14ac:dyDescent="0.25">
      <c r="A278" s="6" t="s">
        <v>711</v>
      </c>
      <c r="B278" s="10" t="s">
        <v>710</v>
      </c>
      <c r="C278" s="11" t="s">
        <v>507</v>
      </c>
      <c r="D278" s="11" t="s">
        <v>394</v>
      </c>
      <c r="E278" s="11" t="s">
        <v>388</v>
      </c>
      <c r="F278" s="11" t="s">
        <v>713</v>
      </c>
      <c r="G278" s="23">
        <v>46174</v>
      </c>
      <c r="H278" s="23">
        <v>46295</v>
      </c>
      <c r="I278" s="11"/>
      <c r="J278" s="11"/>
      <c r="K278" s="11" t="s">
        <v>406</v>
      </c>
      <c r="L278" s="11"/>
      <c r="M278" s="11"/>
      <c r="N278" s="11"/>
      <c r="O278" s="10"/>
      <c r="P278" s="11" t="s">
        <v>1034</v>
      </c>
      <c r="Q278" s="11"/>
      <c r="R278" s="20">
        <v>2</v>
      </c>
      <c r="S278" s="11" t="b">
        <v>0</v>
      </c>
      <c r="T278" s="11"/>
      <c r="U278" s="11" t="s">
        <v>392</v>
      </c>
      <c r="V278" s="11" t="s">
        <v>218</v>
      </c>
    </row>
    <row r="279" spans="1:22" ht="24" x14ac:dyDescent="0.25">
      <c r="A279" s="6" t="s">
        <v>711</v>
      </c>
      <c r="B279" s="7" t="s">
        <v>710</v>
      </c>
      <c r="C279" s="8" t="s">
        <v>509</v>
      </c>
      <c r="D279" s="8" t="s">
        <v>394</v>
      </c>
      <c r="E279" s="8" t="s">
        <v>388</v>
      </c>
      <c r="F279" s="8" t="s">
        <v>713</v>
      </c>
      <c r="G279" s="22">
        <v>46327</v>
      </c>
      <c r="H279" s="22">
        <v>46371</v>
      </c>
      <c r="I279" s="8"/>
      <c r="J279" s="8"/>
      <c r="K279" s="8" t="s">
        <v>406</v>
      </c>
      <c r="L279" s="8"/>
      <c r="M279" s="8"/>
      <c r="N279" s="8"/>
      <c r="O279" s="7"/>
      <c r="P279" s="8" t="s">
        <v>1035</v>
      </c>
      <c r="Q279" s="8"/>
      <c r="R279" s="21">
        <v>6</v>
      </c>
      <c r="S279" s="8" t="b">
        <v>0</v>
      </c>
      <c r="T279" s="8"/>
      <c r="U279" s="8" t="s">
        <v>392</v>
      </c>
      <c r="V279" s="8" t="s">
        <v>218</v>
      </c>
    </row>
    <row r="280" spans="1:22" ht="24" x14ac:dyDescent="0.25">
      <c r="A280" s="6" t="s">
        <v>711</v>
      </c>
      <c r="B280" s="10" t="s">
        <v>710</v>
      </c>
      <c r="C280" s="11" t="s">
        <v>511</v>
      </c>
      <c r="D280" s="11" t="s">
        <v>394</v>
      </c>
      <c r="E280" s="11" t="s">
        <v>388</v>
      </c>
      <c r="F280" s="11" t="s">
        <v>713</v>
      </c>
      <c r="G280" s="23">
        <v>46189</v>
      </c>
      <c r="H280" s="23">
        <v>46387</v>
      </c>
      <c r="I280" s="11"/>
      <c r="J280" s="11"/>
      <c r="K280" s="11" t="s">
        <v>406</v>
      </c>
      <c r="L280" s="11"/>
      <c r="M280" s="11"/>
      <c r="N280" s="11"/>
      <c r="O280" s="10"/>
      <c r="P280" s="11" t="s">
        <v>1036</v>
      </c>
      <c r="Q280" s="11"/>
      <c r="R280" s="20">
        <v>3</v>
      </c>
      <c r="S280" s="11" t="b">
        <v>0</v>
      </c>
      <c r="T280" s="11"/>
      <c r="U280" s="11" t="s">
        <v>392</v>
      </c>
      <c r="V280" s="11" t="s">
        <v>218</v>
      </c>
    </row>
    <row r="281" spans="1:22" ht="24" x14ac:dyDescent="0.25">
      <c r="A281" s="6" t="s">
        <v>711</v>
      </c>
      <c r="B281" s="7" t="s">
        <v>710</v>
      </c>
      <c r="C281" s="8" t="s">
        <v>513</v>
      </c>
      <c r="D281" s="8" t="s">
        <v>394</v>
      </c>
      <c r="E281" s="8" t="s">
        <v>388</v>
      </c>
      <c r="F281" s="8" t="s">
        <v>713</v>
      </c>
      <c r="G281" s="22">
        <v>46372</v>
      </c>
      <c r="H281" s="22">
        <v>46418</v>
      </c>
      <c r="I281" s="8"/>
      <c r="J281" s="8"/>
      <c r="K281" s="8" t="s">
        <v>406</v>
      </c>
      <c r="L281" s="8"/>
      <c r="M281" s="8"/>
      <c r="N281" s="8"/>
      <c r="O281" s="7"/>
      <c r="P281" s="8" t="s">
        <v>1037</v>
      </c>
      <c r="Q281" s="8"/>
      <c r="R281" s="21">
        <v>7</v>
      </c>
      <c r="S281" s="8" t="b">
        <v>0</v>
      </c>
      <c r="T281" s="8"/>
      <c r="U281" s="8" t="s">
        <v>392</v>
      </c>
      <c r="V281" s="8" t="s">
        <v>218</v>
      </c>
    </row>
    <row r="282" spans="1:22" ht="24" x14ac:dyDescent="0.25">
      <c r="A282" s="6" t="s">
        <v>711</v>
      </c>
      <c r="B282" s="10" t="s">
        <v>710</v>
      </c>
      <c r="C282" s="11" t="s">
        <v>515</v>
      </c>
      <c r="D282" s="11" t="s">
        <v>394</v>
      </c>
      <c r="E282" s="11" t="s">
        <v>388</v>
      </c>
      <c r="F282" s="11" t="s">
        <v>713</v>
      </c>
      <c r="G282" s="23">
        <v>46388</v>
      </c>
      <c r="H282" s="23">
        <v>46477</v>
      </c>
      <c r="I282" s="11"/>
      <c r="J282" s="11"/>
      <c r="K282" s="11" t="s">
        <v>406</v>
      </c>
      <c r="L282" s="11"/>
      <c r="M282" s="11"/>
      <c r="N282" s="11"/>
      <c r="O282" s="10"/>
      <c r="P282" s="11" t="s">
        <v>1038</v>
      </c>
      <c r="Q282" s="11"/>
      <c r="R282" s="20">
        <v>8</v>
      </c>
      <c r="S282" s="11" t="b">
        <v>0</v>
      </c>
      <c r="T282" s="11"/>
      <c r="U282" s="11" t="s">
        <v>392</v>
      </c>
      <c r="V282" s="11" t="s">
        <v>218</v>
      </c>
    </row>
    <row r="283" spans="1:22" ht="24" x14ac:dyDescent="0.25">
      <c r="A283" s="6" t="s">
        <v>711</v>
      </c>
      <c r="B283" s="7" t="s">
        <v>710</v>
      </c>
      <c r="C283" s="8" t="s">
        <v>517</v>
      </c>
      <c r="D283" s="8" t="s">
        <v>394</v>
      </c>
      <c r="E283" s="8" t="s">
        <v>388</v>
      </c>
      <c r="F283" s="8" t="s">
        <v>713</v>
      </c>
      <c r="G283" s="22">
        <v>46082</v>
      </c>
      <c r="H283" s="22">
        <v>46477</v>
      </c>
      <c r="I283" s="8"/>
      <c r="J283" s="8"/>
      <c r="K283" s="8" t="s">
        <v>406</v>
      </c>
      <c r="L283" s="8"/>
      <c r="M283" s="8"/>
      <c r="N283" s="8"/>
      <c r="O283" s="7"/>
      <c r="P283" s="8" t="s">
        <v>1039</v>
      </c>
      <c r="Q283" s="8"/>
      <c r="R283" s="21">
        <v>5</v>
      </c>
      <c r="S283" s="8" t="b">
        <v>0</v>
      </c>
      <c r="T283" s="8"/>
      <c r="U283" s="8" t="s">
        <v>392</v>
      </c>
      <c r="V283" s="8" t="s">
        <v>218</v>
      </c>
    </row>
    <row r="284" spans="1:22" ht="24" x14ac:dyDescent="0.25">
      <c r="A284" s="6" t="s">
        <v>711</v>
      </c>
      <c r="B284" s="10" t="s">
        <v>710</v>
      </c>
      <c r="C284" s="11" t="s">
        <v>519</v>
      </c>
      <c r="D284" s="11" t="s">
        <v>394</v>
      </c>
      <c r="E284" s="11" t="s">
        <v>388</v>
      </c>
      <c r="F284" s="11" t="s">
        <v>713</v>
      </c>
      <c r="G284" s="23">
        <v>46661</v>
      </c>
      <c r="H284" s="23">
        <v>46752</v>
      </c>
      <c r="I284" s="11"/>
      <c r="J284" s="11"/>
      <c r="K284" s="11" t="s">
        <v>406</v>
      </c>
      <c r="L284" s="11"/>
      <c r="M284" s="11"/>
      <c r="N284" s="11"/>
      <c r="O284" s="10"/>
      <c r="P284" s="11" t="s">
        <v>1040</v>
      </c>
      <c r="Q284" s="11"/>
      <c r="R284" s="20">
        <v>10</v>
      </c>
      <c r="S284" s="11" t="b">
        <v>0</v>
      </c>
      <c r="T284" s="11"/>
      <c r="U284" s="11" t="s">
        <v>392</v>
      </c>
      <c r="V284" s="11" t="s">
        <v>218</v>
      </c>
    </row>
    <row r="285" spans="1:22" ht="24" x14ac:dyDescent="0.25">
      <c r="A285" s="6" t="s">
        <v>715</v>
      </c>
      <c r="B285" s="7" t="s">
        <v>714</v>
      </c>
      <c r="C285" s="8" t="s">
        <v>521</v>
      </c>
      <c r="D285" s="8" t="s">
        <v>394</v>
      </c>
      <c r="E285" s="8" t="s">
        <v>388</v>
      </c>
      <c r="F285" s="8" t="s">
        <v>716</v>
      </c>
      <c r="G285" s="22">
        <v>46143</v>
      </c>
      <c r="H285" s="22">
        <v>46173</v>
      </c>
      <c r="I285" s="8"/>
      <c r="J285" s="8"/>
      <c r="K285" s="8" t="s">
        <v>403</v>
      </c>
      <c r="L285" s="8"/>
      <c r="M285" s="8"/>
      <c r="N285" s="8"/>
      <c r="O285" s="7"/>
      <c r="P285" s="8" t="s">
        <v>1041</v>
      </c>
      <c r="Q285" s="8"/>
      <c r="R285" s="21">
        <v>0</v>
      </c>
      <c r="S285" s="8" t="b">
        <v>0</v>
      </c>
      <c r="T285" s="8"/>
      <c r="U285" s="8" t="s">
        <v>392</v>
      </c>
      <c r="V285" s="8" t="s">
        <v>218</v>
      </c>
    </row>
    <row r="286" spans="1:22" ht="24" x14ac:dyDescent="0.25">
      <c r="A286" s="6" t="s">
        <v>715</v>
      </c>
      <c r="B286" s="10" t="s">
        <v>714</v>
      </c>
      <c r="C286" s="11" t="s">
        <v>523</v>
      </c>
      <c r="D286" s="11" t="s">
        <v>394</v>
      </c>
      <c r="E286" s="11" t="s">
        <v>388</v>
      </c>
      <c r="F286" s="11" t="s">
        <v>716</v>
      </c>
      <c r="G286" s="23">
        <v>46174</v>
      </c>
      <c r="H286" s="23">
        <v>46203</v>
      </c>
      <c r="I286" s="11"/>
      <c r="J286" s="11"/>
      <c r="K286" s="11" t="s">
        <v>406</v>
      </c>
      <c r="L286" s="11"/>
      <c r="M286" s="11"/>
      <c r="N286" s="11"/>
      <c r="O286" s="10"/>
      <c r="P286" s="11" t="s">
        <v>1042</v>
      </c>
      <c r="Q286" s="11"/>
      <c r="R286" s="20">
        <v>1</v>
      </c>
      <c r="S286" s="11" t="b">
        <v>0</v>
      </c>
      <c r="T286" s="11"/>
      <c r="U286" s="11" t="s">
        <v>392</v>
      </c>
      <c r="V286" s="11" t="s">
        <v>218</v>
      </c>
    </row>
    <row r="287" spans="1:22" ht="24" x14ac:dyDescent="0.25">
      <c r="A287" s="6" t="s">
        <v>715</v>
      </c>
      <c r="B287" s="7" t="s">
        <v>714</v>
      </c>
      <c r="C287" s="8" t="s">
        <v>662</v>
      </c>
      <c r="D287" s="8" t="s">
        <v>394</v>
      </c>
      <c r="E287" s="8" t="s">
        <v>388</v>
      </c>
      <c r="F287" s="8" t="s">
        <v>716</v>
      </c>
      <c r="G287" s="22">
        <v>46204</v>
      </c>
      <c r="H287" s="22">
        <v>46234</v>
      </c>
      <c r="I287" s="8"/>
      <c r="J287" s="8"/>
      <c r="K287" s="8" t="s">
        <v>406</v>
      </c>
      <c r="L287" s="8"/>
      <c r="M287" s="8"/>
      <c r="N287" s="8"/>
      <c r="O287" s="7"/>
      <c r="P287" s="8" t="s">
        <v>1043</v>
      </c>
      <c r="Q287" s="8"/>
      <c r="R287" s="21">
        <v>2</v>
      </c>
      <c r="S287" s="8" t="b">
        <v>0</v>
      </c>
      <c r="T287" s="8"/>
      <c r="U287" s="8" t="s">
        <v>392</v>
      </c>
      <c r="V287" s="8" t="s">
        <v>218</v>
      </c>
    </row>
    <row r="288" spans="1:22" ht="24" x14ac:dyDescent="0.25">
      <c r="A288" s="6" t="s">
        <v>715</v>
      </c>
      <c r="B288" s="10" t="s">
        <v>714</v>
      </c>
      <c r="C288" s="11" t="s">
        <v>526</v>
      </c>
      <c r="D288" s="11" t="s">
        <v>394</v>
      </c>
      <c r="E288" s="11" t="s">
        <v>388</v>
      </c>
      <c r="F288" s="11" t="s">
        <v>716</v>
      </c>
      <c r="G288" s="23">
        <v>46204</v>
      </c>
      <c r="H288" s="23">
        <v>46234</v>
      </c>
      <c r="I288" s="11"/>
      <c r="J288" s="11"/>
      <c r="K288" s="11" t="s">
        <v>406</v>
      </c>
      <c r="L288" s="11"/>
      <c r="M288" s="11"/>
      <c r="N288" s="11"/>
      <c r="O288" s="10"/>
      <c r="P288" s="11" t="s">
        <v>1044</v>
      </c>
      <c r="Q288" s="11"/>
      <c r="R288" s="20">
        <v>3</v>
      </c>
      <c r="S288" s="11" t="b">
        <v>0</v>
      </c>
      <c r="T288" s="11"/>
      <c r="U288" s="11" t="s">
        <v>392</v>
      </c>
      <c r="V288" s="11" t="s">
        <v>218</v>
      </c>
    </row>
    <row r="289" spans="1:22" ht="24" x14ac:dyDescent="0.25">
      <c r="A289" s="6" t="s">
        <v>715</v>
      </c>
      <c r="B289" s="7" t="s">
        <v>714</v>
      </c>
      <c r="C289" s="8" t="s">
        <v>528</v>
      </c>
      <c r="D289" s="8" t="s">
        <v>394</v>
      </c>
      <c r="E289" s="8" t="s">
        <v>388</v>
      </c>
      <c r="F289" s="8" t="s">
        <v>716</v>
      </c>
      <c r="G289" s="22">
        <v>46235</v>
      </c>
      <c r="H289" s="22">
        <v>46265</v>
      </c>
      <c r="I289" s="8"/>
      <c r="J289" s="8"/>
      <c r="K289" s="8" t="s">
        <v>406</v>
      </c>
      <c r="L289" s="8"/>
      <c r="M289" s="8"/>
      <c r="N289" s="8"/>
      <c r="O289" s="7"/>
      <c r="P289" s="8" t="s">
        <v>1045</v>
      </c>
      <c r="Q289" s="8"/>
      <c r="R289" s="21">
        <v>4</v>
      </c>
      <c r="S289" s="8" t="b">
        <v>0</v>
      </c>
      <c r="T289" s="8"/>
      <c r="U289" s="8" t="s">
        <v>392</v>
      </c>
      <c r="V289" s="8" t="s">
        <v>218</v>
      </c>
    </row>
    <row r="290" spans="1:22" ht="24" x14ac:dyDescent="0.25">
      <c r="A290" s="6" t="s">
        <v>715</v>
      </c>
      <c r="B290" s="10" t="s">
        <v>714</v>
      </c>
      <c r="C290" s="11" t="s">
        <v>530</v>
      </c>
      <c r="D290" s="11" t="s">
        <v>394</v>
      </c>
      <c r="E290" s="11" t="s">
        <v>388</v>
      </c>
      <c r="F290" s="11" t="s">
        <v>716</v>
      </c>
      <c r="G290" s="23">
        <v>46266</v>
      </c>
      <c r="H290" s="23">
        <v>46326</v>
      </c>
      <c r="I290" s="11"/>
      <c r="J290" s="11"/>
      <c r="K290" s="11" t="s">
        <v>406</v>
      </c>
      <c r="L290" s="11"/>
      <c r="M290" s="11"/>
      <c r="N290" s="11"/>
      <c r="O290" s="10"/>
      <c r="P290" s="11" t="s">
        <v>1046</v>
      </c>
      <c r="Q290" s="11"/>
      <c r="R290" s="20">
        <v>5</v>
      </c>
      <c r="S290" s="11" t="b">
        <v>0</v>
      </c>
      <c r="T290" s="11"/>
      <c r="U290" s="11" t="s">
        <v>392</v>
      </c>
      <c r="V290" s="11" t="s">
        <v>218</v>
      </c>
    </row>
    <row r="291" spans="1:22" ht="24" x14ac:dyDescent="0.25">
      <c r="A291" s="6" t="s">
        <v>715</v>
      </c>
      <c r="B291" s="7" t="s">
        <v>714</v>
      </c>
      <c r="C291" s="8" t="s">
        <v>532</v>
      </c>
      <c r="D291" s="8" t="s">
        <v>394</v>
      </c>
      <c r="E291" s="8" t="s">
        <v>388</v>
      </c>
      <c r="F291" s="8" t="s">
        <v>716</v>
      </c>
      <c r="G291" s="22">
        <v>46327</v>
      </c>
      <c r="H291" s="22">
        <v>46387</v>
      </c>
      <c r="I291" s="8"/>
      <c r="J291" s="8"/>
      <c r="K291" s="8" t="s">
        <v>406</v>
      </c>
      <c r="L291" s="8"/>
      <c r="M291" s="8"/>
      <c r="N291" s="8"/>
      <c r="O291" s="7"/>
      <c r="P291" s="8" t="s">
        <v>1047</v>
      </c>
      <c r="Q291" s="8"/>
      <c r="R291" s="21">
        <v>6</v>
      </c>
      <c r="S291" s="8" t="b">
        <v>0</v>
      </c>
      <c r="T291" s="8"/>
      <c r="U291" s="8" t="s">
        <v>392</v>
      </c>
      <c r="V291" s="8" t="s">
        <v>218</v>
      </c>
    </row>
    <row r="292" spans="1:22" ht="24" x14ac:dyDescent="0.25">
      <c r="A292" s="6" t="s">
        <v>715</v>
      </c>
      <c r="B292" s="10" t="s">
        <v>714</v>
      </c>
      <c r="C292" s="11" t="s">
        <v>534</v>
      </c>
      <c r="D292" s="11" t="s">
        <v>394</v>
      </c>
      <c r="E292" s="11" t="s">
        <v>388</v>
      </c>
      <c r="F292" s="11" t="s">
        <v>716</v>
      </c>
      <c r="G292" s="23">
        <v>46388</v>
      </c>
      <c r="H292" s="11"/>
      <c r="I292" s="11"/>
      <c r="J292" s="11"/>
      <c r="K292" s="11" t="s">
        <v>406</v>
      </c>
      <c r="L292" s="11"/>
      <c r="M292" s="11"/>
      <c r="N292" s="11"/>
      <c r="O292" s="10"/>
      <c r="P292" s="11" t="s">
        <v>1048</v>
      </c>
      <c r="Q292" s="11"/>
      <c r="R292" s="20">
        <v>8</v>
      </c>
      <c r="S292" s="11" t="b">
        <v>0</v>
      </c>
      <c r="T292" s="11"/>
      <c r="U292" s="11" t="s">
        <v>392</v>
      </c>
      <c r="V292" s="11" t="s">
        <v>218</v>
      </c>
    </row>
    <row r="293" spans="1:22" ht="24" x14ac:dyDescent="0.25">
      <c r="A293" s="6" t="s">
        <v>715</v>
      </c>
      <c r="B293" s="7" t="s">
        <v>714</v>
      </c>
      <c r="C293" s="8" t="s">
        <v>536</v>
      </c>
      <c r="D293" s="8" t="s">
        <v>394</v>
      </c>
      <c r="E293" s="8" t="s">
        <v>388</v>
      </c>
      <c r="F293" s="8" t="s">
        <v>716</v>
      </c>
      <c r="G293" s="22">
        <v>46388</v>
      </c>
      <c r="H293" s="8"/>
      <c r="I293" s="8"/>
      <c r="J293" s="8"/>
      <c r="K293" s="8" t="s">
        <v>406</v>
      </c>
      <c r="L293" s="8"/>
      <c r="M293" s="8"/>
      <c r="N293" s="8"/>
      <c r="O293" s="7"/>
      <c r="P293" s="8" t="s">
        <v>1049</v>
      </c>
      <c r="Q293" s="8"/>
      <c r="R293" s="21">
        <v>7</v>
      </c>
      <c r="S293" s="8" t="b">
        <v>0</v>
      </c>
      <c r="T293" s="8"/>
      <c r="U293" s="8" t="s">
        <v>392</v>
      </c>
      <c r="V293" s="8" t="s">
        <v>218</v>
      </c>
    </row>
    <row r="294" spans="1:22" ht="24" x14ac:dyDescent="0.25">
      <c r="A294" s="6" t="s">
        <v>715</v>
      </c>
      <c r="B294" s="10" t="s">
        <v>714</v>
      </c>
      <c r="C294" s="11" t="s">
        <v>538</v>
      </c>
      <c r="D294" s="11" t="s">
        <v>394</v>
      </c>
      <c r="E294" s="11" t="s">
        <v>388</v>
      </c>
      <c r="F294" s="11" t="s">
        <v>716</v>
      </c>
      <c r="G294" s="23">
        <v>46388</v>
      </c>
      <c r="H294" s="11"/>
      <c r="I294" s="11"/>
      <c r="J294" s="11"/>
      <c r="K294" s="11" t="s">
        <v>406</v>
      </c>
      <c r="L294" s="11"/>
      <c r="M294" s="11"/>
      <c r="N294" s="11"/>
      <c r="O294" s="10"/>
      <c r="P294" s="11" t="s">
        <v>1050</v>
      </c>
      <c r="Q294" s="11"/>
      <c r="R294" s="20">
        <v>9</v>
      </c>
      <c r="S294" s="11" t="b">
        <v>0</v>
      </c>
      <c r="T294" s="11"/>
      <c r="U294" s="11" t="s">
        <v>392</v>
      </c>
      <c r="V294" s="11" t="s">
        <v>218</v>
      </c>
    </row>
  </sheetData>
  <autoFilter ref="A2:V89" xr:uid="{00000000-0009-0000-0000-000006000000}"/>
  <mergeCells count="1">
    <mergeCell ref="A1:V1"/>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
  <sheetViews>
    <sheetView showGridLines="0" zoomScaleNormal="100" workbookViewId="0">
      <pane xSplit="2" ySplit="2" topLeftCell="C3" activePane="bottomRight" state="frozen"/>
      <selection pane="topRight" activeCell="C1" sqref="C1"/>
      <selection pane="bottomLeft" activeCell="A3" sqref="A3"/>
      <selection pane="bottomRight" sqref="A1:K1"/>
    </sheetView>
  </sheetViews>
  <sheetFormatPr defaultColWidth="8.7109375" defaultRowHeight="15" x14ac:dyDescent="0.25"/>
  <cols>
    <col min="1" max="1" width="10" customWidth="1"/>
    <col min="2" max="2" width="30" customWidth="1"/>
    <col min="3" max="7" width="16" customWidth="1"/>
    <col min="8" max="8" width="40" customWidth="1"/>
    <col min="9" max="11" width="16" customWidth="1"/>
  </cols>
  <sheetData>
    <row r="1" spans="1:11" ht="21.75" customHeight="1" x14ac:dyDescent="0.25">
      <c r="A1" s="1" t="s">
        <v>576</v>
      </c>
      <c r="B1" s="1"/>
      <c r="C1" s="1"/>
      <c r="D1" s="1"/>
      <c r="E1" s="1"/>
      <c r="F1" s="1"/>
      <c r="G1" s="1"/>
      <c r="H1" s="1"/>
      <c r="I1" s="1"/>
      <c r="J1" s="1"/>
      <c r="K1" s="1"/>
    </row>
    <row r="2" spans="1:11" ht="15" customHeight="1" x14ac:dyDescent="0.25">
      <c r="A2" s="5" t="s">
        <v>1</v>
      </c>
      <c r="B2" s="5" t="s">
        <v>2</v>
      </c>
      <c r="C2" s="5" t="s">
        <v>577</v>
      </c>
      <c r="D2" s="5" t="s">
        <v>578</v>
      </c>
      <c r="E2" s="5" t="s">
        <v>10</v>
      </c>
      <c r="F2" s="5" t="s">
        <v>579</v>
      </c>
      <c r="G2" s="5" t="s">
        <v>380</v>
      </c>
      <c r="H2" s="5" t="s">
        <v>246</v>
      </c>
      <c r="I2" s="5" t="s">
        <v>115</v>
      </c>
      <c r="J2" s="5" t="s">
        <v>580</v>
      </c>
      <c r="K2" s="5" t="s">
        <v>581</v>
      </c>
    </row>
  </sheetData>
  <mergeCells count="1">
    <mergeCell ref="A1:K1"/>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35"/>
  <sheetViews>
    <sheetView showGridLines="0" zoomScaleNormal="100" workbookViewId="0">
      <pane xSplit="2" ySplit="2" topLeftCell="C3" activePane="bottomRight" state="frozen"/>
      <selection pane="topRight" activeCell="C1" sqref="C1"/>
      <selection pane="bottomLeft" activeCell="A3" sqref="A3"/>
      <selection pane="bottomRight" sqref="A1:R1"/>
    </sheetView>
  </sheetViews>
  <sheetFormatPr defaultColWidth="8.7109375" defaultRowHeight="15" x14ac:dyDescent="0.25"/>
  <cols>
    <col min="1" max="1" width="10" customWidth="1"/>
    <col min="2" max="2" width="30" customWidth="1"/>
    <col min="3" max="8" width="16" customWidth="1"/>
    <col min="9" max="9" width="40" customWidth="1"/>
    <col min="10" max="12" width="16" customWidth="1"/>
    <col min="13" max="13" width="40" customWidth="1"/>
    <col min="14" max="18" width="16" customWidth="1"/>
  </cols>
  <sheetData>
    <row r="1" spans="1:18" ht="21.75" customHeight="1" x14ac:dyDescent="0.25">
      <c r="A1" s="1" t="s">
        <v>16</v>
      </c>
      <c r="B1" s="1"/>
      <c r="C1" s="1"/>
      <c r="D1" s="1"/>
      <c r="E1" s="1"/>
      <c r="F1" s="1"/>
      <c r="G1" s="1"/>
      <c r="H1" s="1"/>
      <c r="I1" s="1"/>
      <c r="J1" s="1"/>
      <c r="K1" s="1"/>
      <c r="L1" s="1"/>
      <c r="M1" s="1"/>
      <c r="N1" s="1"/>
      <c r="O1" s="1"/>
      <c r="P1" s="1"/>
      <c r="Q1" s="1"/>
      <c r="R1" s="1"/>
    </row>
    <row r="2" spans="1:18" ht="23.25" customHeight="1" x14ac:dyDescent="0.25">
      <c r="A2" s="5" t="s">
        <v>1</v>
      </c>
      <c r="B2" s="5" t="s">
        <v>2</v>
      </c>
      <c r="C2" s="5" t="s">
        <v>54</v>
      </c>
      <c r="D2" s="5" t="s">
        <v>5</v>
      </c>
      <c r="E2" s="5" t="s">
        <v>582</v>
      </c>
      <c r="F2" s="5" t="s">
        <v>583</v>
      </c>
      <c r="G2" s="5" t="s">
        <v>10</v>
      </c>
      <c r="H2" s="5" t="s">
        <v>380</v>
      </c>
      <c r="I2" s="5" t="s">
        <v>584</v>
      </c>
      <c r="J2" s="5" t="s">
        <v>585</v>
      </c>
      <c r="K2" s="5" t="s">
        <v>586</v>
      </c>
      <c r="L2" s="5" t="s">
        <v>587</v>
      </c>
      <c r="M2" s="5" t="s">
        <v>65</v>
      </c>
      <c r="N2" s="5" t="s">
        <v>115</v>
      </c>
      <c r="O2" s="5" t="s">
        <v>588</v>
      </c>
      <c r="P2" s="5" t="s">
        <v>296</v>
      </c>
      <c r="Q2" s="5" t="s">
        <v>297</v>
      </c>
      <c r="R2" s="5" t="s">
        <v>119</v>
      </c>
    </row>
    <row r="3" spans="1:18" ht="21.75" customHeight="1" x14ac:dyDescent="0.25">
      <c r="A3" s="6" t="s">
        <v>19</v>
      </c>
      <c r="B3" s="10" t="s">
        <v>20</v>
      </c>
      <c r="C3" s="11" t="s">
        <v>589</v>
      </c>
      <c r="D3" s="11"/>
      <c r="E3" s="11" t="s">
        <v>590</v>
      </c>
      <c r="F3" s="11" t="s">
        <v>591</v>
      </c>
      <c r="G3" s="11"/>
      <c r="H3" s="11" t="s">
        <v>592</v>
      </c>
      <c r="I3" s="10" t="s">
        <v>593</v>
      </c>
      <c r="J3" s="11"/>
      <c r="K3" s="11"/>
      <c r="L3" s="11" t="s">
        <v>594</v>
      </c>
      <c r="M3" s="10" t="s">
        <v>589</v>
      </c>
      <c r="N3" s="11" t="s">
        <v>595</v>
      </c>
      <c r="O3" s="11"/>
      <c r="P3" s="11" t="b">
        <v>0</v>
      </c>
      <c r="Q3" s="11"/>
      <c r="R3" s="11" t="s">
        <v>218</v>
      </c>
    </row>
    <row r="4" spans="1:18" ht="21.75" customHeight="1" x14ac:dyDescent="0.25">
      <c r="A4" s="6" t="s">
        <v>19</v>
      </c>
      <c r="B4" s="7" t="s">
        <v>20</v>
      </c>
      <c r="C4" s="8" t="s">
        <v>596</v>
      </c>
      <c r="D4" s="8"/>
      <c r="E4" s="8" t="s">
        <v>597</v>
      </c>
      <c r="F4" s="8" t="s">
        <v>597</v>
      </c>
      <c r="G4" s="8"/>
      <c r="H4" s="8" t="s">
        <v>592</v>
      </c>
      <c r="I4" s="7" t="s">
        <v>598</v>
      </c>
      <c r="J4" s="8"/>
      <c r="K4" s="8"/>
      <c r="L4" s="8" t="s">
        <v>594</v>
      </c>
      <c r="M4" s="7" t="s">
        <v>596</v>
      </c>
      <c r="N4" s="8" t="s">
        <v>599</v>
      </c>
      <c r="O4" s="8"/>
      <c r="P4" s="8" t="b">
        <v>0</v>
      </c>
      <c r="Q4" s="8"/>
      <c r="R4" s="8" t="s">
        <v>218</v>
      </c>
    </row>
    <row r="5" spans="1:18" ht="21.75" customHeight="1" x14ac:dyDescent="0.25">
      <c r="A5" s="6" t="s">
        <v>19</v>
      </c>
      <c r="B5" s="10" t="s">
        <v>20</v>
      </c>
      <c r="C5" s="11" t="s">
        <v>600</v>
      </c>
      <c r="D5" s="11"/>
      <c r="E5" s="11" t="s">
        <v>597</v>
      </c>
      <c r="F5" s="11" t="s">
        <v>590</v>
      </c>
      <c r="G5" s="11"/>
      <c r="H5" s="11" t="s">
        <v>592</v>
      </c>
      <c r="I5" s="10" t="s">
        <v>601</v>
      </c>
      <c r="J5" s="11"/>
      <c r="K5" s="11"/>
      <c r="L5" s="11" t="s">
        <v>594</v>
      </c>
      <c r="M5" s="10" t="s">
        <v>600</v>
      </c>
      <c r="N5" s="11" t="s">
        <v>602</v>
      </c>
      <c r="O5" s="11"/>
      <c r="P5" s="11" t="b">
        <v>0</v>
      </c>
      <c r="Q5" s="11"/>
      <c r="R5" s="11" t="s">
        <v>218</v>
      </c>
    </row>
    <row r="6" spans="1:18" ht="32.25" customHeight="1" x14ac:dyDescent="0.25">
      <c r="A6" s="6" t="s">
        <v>29</v>
      </c>
      <c r="B6" s="7" t="s">
        <v>30</v>
      </c>
      <c r="C6" s="8" t="s">
        <v>603</v>
      </c>
      <c r="D6" s="8" t="s">
        <v>300</v>
      </c>
      <c r="E6" s="8" t="s">
        <v>597</v>
      </c>
      <c r="F6" s="8" t="s">
        <v>591</v>
      </c>
      <c r="G6" s="8"/>
      <c r="H6" s="8" t="s">
        <v>592</v>
      </c>
      <c r="I6" s="7" t="s">
        <v>604</v>
      </c>
      <c r="J6" s="8"/>
      <c r="K6" s="8"/>
      <c r="L6" s="8" t="s">
        <v>594</v>
      </c>
      <c r="M6" s="7"/>
      <c r="N6" s="8" t="s">
        <v>605</v>
      </c>
      <c r="O6" s="8"/>
      <c r="P6" s="8" t="b">
        <v>0</v>
      </c>
      <c r="Q6" s="8"/>
      <c r="R6" s="8" t="s">
        <v>218</v>
      </c>
    </row>
    <row r="7" spans="1:18" ht="21.75" customHeight="1" x14ac:dyDescent="0.25">
      <c r="A7" s="6" t="s">
        <v>29</v>
      </c>
      <c r="B7" s="10" t="s">
        <v>30</v>
      </c>
      <c r="C7" s="11" t="s">
        <v>606</v>
      </c>
      <c r="D7" s="11"/>
      <c r="E7" s="11" t="s">
        <v>597</v>
      </c>
      <c r="F7" s="11" t="s">
        <v>597</v>
      </c>
      <c r="G7" s="11"/>
      <c r="H7" s="11" t="s">
        <v>592</v>
      </c>
      <c r="I7" s="10" t="s">
        <v>607</v>
      </c>
      <c r="J7" s="11"/>
      <c r="K7" s="11"/>
      <c r="L7" s="11" t="s">
        <v>594</v>
      </c>
      <c r="M7" s="10" t="s">
        <v>606</v>
      </c>
      <c r="N7" s="11" t="s">
        <v>608</v>
      </c>
      <c r="O7" s="11"/>
      <c r="P7" s="11" t="b">
        <v>0</v>
      </c>
      <c r="Q7" s="11"/>
      <c r="R7" s="11" t="s">
        <v>218</v>
      </c>
    </row>
    <row r="8" spans="1:18" ht="32.25" customHeight="1" x14ac:dyDescent="0.25">
      <c r="A8" s="6" t="s">
        <v>29</v>
      </c>
      <c r="B8" s="7" t="s">
        <v>30</v>
      </c>
      <c r="C8" s="8" t="s">
        <v>609</v>
      </c>
      <c r="D8" s="8"/>
      <c r="E8" s="8" t="s">
        <v>597</v>
      </c>
      <c r="F8" s="8" t="s">
        <v>597</v>
      </c>
      <c r="G8" s="8"/>
      <c r="H8" s="8" t="s">
        <v>592</v>
      </c>
      <c r="I8" s="7" t="s">
        <v>610</v>
      </c>
      <c r="J8" s="8"/>
      <c r="K8" s="8"/>
      <c r="L8" s="8" t="s">
        <v>594</v>
      </c>
      <c r="M8" s="7" t="s">
        <v>609</v>
      </c>
      <c r="N8" s="8" t="s">
        <v>611</v>
      </c>
      <c r="O8" s="8"/>
      <c r="P8" s="8" t="b">
        <v>0</v>
      </c>
      <c r="Q8" s="8"/>
      <c r="R8" s="8" t="s">
        <v>218</v>
      </c>
    </row>
    <row r="9" spans="1:18" ht="21.75" customHeight="1" x14ac:dyDescent="0.25">
      <c r="A9" s="6" t="s">
        <v>32</v>
      </c>
      <c r="B9" s="10" t="s">
        <v>656</v>
      </c>
      <c r="C9" s="11" t="s">
        <v>612</v>
      </c>
      <c r="D9" s="11"/>
      <c r="E9" s="11" t="s">
        <v>591</v>
      </c>
      <c r="F9" s="11" t="s">
        <v>591</v>
      </c>
      <c r="G9" s="11"/>
      <c r="H9" s="11" t="s">
        <v>592</v>
      </c>
      <c r="I9" s="10" t="s">
        <v>613</v>
      </c>
      <c r="J9" s="11"/>
      <c r="K9" s="11"/>
      <c r="L9" s="11" t="s">
        <v>594</v>
      </c>
      <c r="M9" s="10" t="s">
        <v>612</v>
      </c>
      <c r="N9" s="11" t="s">
        <v>614</v>
      </c>
      <c r="O9" s="11"/>
      <c r="P9" s="11" t="b">
        <v>0</v>
      </c>
      <c r="Q9" s="11"/>
      <c r="R9" s="11" t="s">
        <v>218</v>
      </c>
    </row>
    <row r="10" spans="1:18" ht="21.75" customHeight="1" x14ac:dyDescent="0.25">
      <c r="A10" s="6" t="s">
        <v>32</v>
      </c>
      <c r="B10" s="7" t="s">
        <v>656</v>
      </c>
      <c r="C10" s="8" t="s">
        <v>615</v>
      </c>
      <c r="D10" s="8"/>
      <c r="E10" s="8" t="s">
        <v>597</v>
      </c>
      <c r="F10" s="8" t="s">
        <v>597</v>
      </c>
      <c r="G10" s="8"/>
      <c r="H10" s="8" t="s">
        <v>592</v>
      </c>
      <c r="I10" s="7" t="s">
        <v>616</v>
      </c>
      <c r="J10" s="8"/>
      <c r="K10" s="8"/>
      <c r="L10" s="8" t="s">
        <v>594</v>
      </c>
      <c r="M10" s="7" t="s">
        <v>615</v>
      </c>
      <c r="N10" s="8" t="s">
        <v>617</v>
      </c>
      <c r="O10" s="8"/>
      <c r="P10" s="8" t="b">
        <v>0</v>
      </c>
      <c r="Q10" s="8"/>
      <c r="R10" s="8" t="s">
        <v>218</v>
      </c>
    </row>
    <row r="11" spans="1:18" ht="21.75" customHeight="1" x14ac:dyDescent="0.25">
      <c r="A11" s="6" t="s">
        <v>32</v>
      </c>
      <c r="B11" s="10" t="s">
        <v>656</v>
      </c>
      <c r="C11" s="11" t="s">
        <v>618</v>
      </c>
      <c r="D11" s="11"/>
      <c r="E11" s="11" t="s">
        <v>597</v>
      </c>
      <c r="F11" s="11" t="s">
        <v>591</v>
      </c>
      <c r="G11" s="11"/>
      <c r="H11" s="11" t="s">
        <v>592</v>
      </c>
      <c r="I11" s="10" t="s">
        <v>619</v>
      </c>
      <c r="J11" s="11"/>
      <c r="K11" s="11"/>
      <c r="L11" s="11" t="s">
        <v>594</v>
      </c>
      <c r="M11" s="10" t="s">
        <v>618</v>
      </c>
      <c r="N11" s="11" t="s">
        <v>620</v>
      </c>
      <c r="O11" s="11"/>
      <c r="P11" s="11" t="b">
        <v>0</v>
      </c>
      <c r="Q11" s="11"/>
      <c r="R11" s="11" t="s">
        <v>218</v>
      </c>
    </row>
    <row r="12" spans="1:18" ht="24" x14ac:dyDescent="0.25">
      <c r="A12" s="6" t="s">
        <v>664</v>
      </c>
      <c r="B12" s="10" t="s">
        <v>663</v>
      </c>
      <c r="C12" s="11" t="s">
        <v>589</v>
      </c>
      <c r="D12" s="11"/>
      <c r="E12" s="11" t="s">
        <v>590</v>
      </c>
      <c r="F12" s="11" t="s">
        <v>591</v>
      </c>
      <c r="G12" s="11" t="s">
        <v>477</v>
      </c>
      <c r="H12" s="11" t="s">
        <v>592</v>
      </c>
      <c r="I12" s="10" t="s">
        <v>593</v>
      </c>
      <c r="J12" s="11"/>
      <c r="K12" s="11"/>
      <c r="L12" s="11" t="s">
        <v>594</v>
      </c>
      <c r="M12" s="10" t="s">
        <v>589</v>
      </c>
      <c r="N12" s="11" t="s">
        <v>1051</v>
      </c>
      <c r="O12" s="11"/>
      <c r="P12" s="11" t="b">
        <v>0</v>
      </c>
      <c r="Q12" s="11"/>
      <c r="R12" s="11" t="s">
        <v>218</v>
      </c>
    </row>
    <row r="13" spans="1:18" ht="24" x14ac:dyDescent="0.25">
      <c r="A13" s="6" t="s">
        <v>664</v>
      </c>
      <c r="B13" s="7" t="s">
        <v>663</v>
      </c>
      <c r="C13" s="8" t="s">
        <v>596</v>
      </c>
      <c r="D13" s="8"/>
      <c r="E13" s="8" t="s">
        <v>597</v>
      </c>
      <c r="F13" s="8" t="s">
        <v>597</v>
      </c>
      <c r="G13" s="8" t="s">
        <v>477</v>
      </c>
      <c r="H13" s="8" t="s">
        <v>592</v>
      </c>
      <c r="I13" s="7" t="s">
        <v>598</v>
      </c>
      <c r="J13" s="8"/>
      <c r="K13" s="8"/>
      <c r="L13" s="8" t="s">
        <v>594</v>
      </c>
      <c r="M13" s="7" t="s">
        <v>596</v>
      </c>
      <c r="N13" s="8" t="s">
        <v>1052</v>
      </c>
      <c r="O13" s="8"/>
      <c r="P13" s="8" t="b">
        <v>0</v>
      </c>
      <c r="Q13" s="8"/>
      <c r="R13" s="8" t="s">
        <v>218</v>
      </c>
    </row>
    <row r="14" spans="1:18" ht="24" x14ac:dyDescent="0.25">
      <c r="A14" s="6" t="s">
        <v>664</v>
      </c>
      <c r="B14" s="10" t="s">
        <v>663</v>
      </c>
      <c r="C14" s="11" t="s">
        <v>600</v>
      </c>
      <c r="D14" s="11"/>
      <c r="E14" s="11" t="s">
        <v>597</v>
      </c>
      <c r="F14" s="11" t="s">
        <v>590</v>
      </c>
      <c r="G14" s="11" t="s">
        <v>477</v>
      </c>
      <c r="H14" s="11" t="s">
        <v>592</v>
      </c>
      <c r="I14" s="10" t="s">
        <v>601</v>
      </c>
      <c r="J14" s="11"/>
      <c r="K14" s="11"/>
      <c r="L14" s="11" t="s">
        <v>594</v>
      </c>
      <c r="M14" s="10" t="s">
        <v>600</v>
      </c>
      <c r="N14" s="11" t="s">
        <v>1053</v>
      </c>
      <c r="O14" s="11"/>
      <c r="P14" s="11" t="b">
        <v>0</v>
      </c>
      <c r="Q14" s="11"/>
      <c r="R14" s="11" t="s">
        <v>218</v>
      </c>
    </row>
    <row r="15" spans="1:18" ht="24" x14ac:dyDescent="0.25">
      <c r="A15" s="6" t="s">
        <v>668</v>
      </c>
      <c r="B15" s="10" t="s">
        <v>667</v>
      </c>
      <c r="C15" s="11" t="s">
        <v>612</v>
      </c>
      <c r="D15" s="11"/>
      <c r="E15" s="11" t="s">
        <v>591</v>
      </c>
      <c r="F15" s="11" t="s">
        <v>591</v>
      </c>
      <c r="G15" s="11" t="s">
        <v>669</v>
      </c>
      <c r="H15" s="11" t="s">
        <v>592</v>
      </c>
      <c r="I15" s="10" t="s">
        <v>613</v>
      </c>
      <c r="J15" s="11"/>
      <c r="K15" s="11"/>
      <c r="L15" s="11" t="s">
        <v>594</v>
      </c>
      <c r="M15" s="10" t="s">
        <v>612</v>
      </c>
      <c r="N15" s="11" t="s">
        <v>1054</v>
      </c>
      <c r="O15" s="11"/>
      <c r="P15" s="11" t="b">
        <v>0</v>
      </c>
      <c r="Q15" s="11"/>
      <c r="R15" s="11" t="s">
        <v>218</v>
      </c>
    </row>
    <row r="16" spans="1:18" ht="24" x14ac:dyDescent="0.25">
      <c r="A16" s="6" t="s">
        <v>668</v>
      </c>
      <c r="B16" s="7" t="s">
        <v>667</v>
      </c>
      <c r="C16" s="8" t="s">
        <v>615</v>
      </c>
      <c r="D16" s="8"/>
      <c r="E16" s="8" t="s">
        <v>597</v>
      </c>
      <c r="F16" s="8" t="s">
        <v>597</v>
      </c>
      <c r="G16" s="8" t="s">
        <v>669</v>
      </c>
      <c r="H16" s="8" t="s">
        <v>592</v>
      </c>
      <c r="I16" s="7" t="s">
        <v>616</v>
      </c>
      <c r="J16" s="8"/>
      <c r="K16" s="8"/>
      <c r="L16" s="8" t="s">
        <v>594</v>
      </c>
      <c r="M16" s="7" t="s">
        <v>615</v>
      </c>
      <c r="N16" s="8" t="s">
        <v>1055</v>
      </c>
      <c r="O16" s="8"/>
      <c r="P16" s="8" t="b">
        <v>0</v>
      </c>
      <c r="Q16" s="8"/>
      <c r="R16" s="8" t="s">
        <v>218</v>
      </c>
    </row>
    <row r="17" spans="1:18" ht="24" x14ac:dyDescent="0.25">
      <c r="A17" s="6" t="s">
        <v>668</v>
      </c>
      <c r="B17" s="10" t="s">
        <v>667</v>
      </c>
      <c r="C17" s="11" t="s">
        <v>618</v>
      </c>
      <c r="D17" s="11"/>
      <c r="E17" s="11" t="s">
        <v>597</v>
      </c>
      <c r="F17" s="11" t="s">
        <v>591</v>
      </c>
      <c r="G17" s="11" t="s">
        <v>669</v>
      </c>
      <c r="H17" s="11" t="s">
        <v>592</v>
      </c>
      <c r="I17" s="10" t="s">
        <v>619</v>
      </c>
      <c r="J17" s="11"/>
      <c r="K17" s="11"/>
      <c r="L17" s="11" t="s">
        <v>594</v>
      </c>
      <c r="M17" s="10" t="s">
        <v>618</v>
      </c>
      <c r="N17" s="11" t="s">
        <v>1056</v>
      </c>
      <c r="O17" s="11"/>
      <c r="P17" s="11" t="b">
        <v>0</v>
      </c>
      <c r="Q17" s="11"/>
      <c r="R17" s="11" t="s">
        <v>218</v>
      </c>
    </row>
    <row r="18" spans="1:18" ht="36" x14ac:dyDescent="0.25">
      <c r="A18" s="6" t="s">
        <v>678</v>
      </c>
      <c r="B18" s="7" t="s">
        <v>677</v>
      </c>
      <c r="C18" s="8" t="s">
        <v>603</v>
      </c>
      <c r="D18" s="8" t="s">
        <v>300</v>
      </c>
      <c r="E18" s="8" t="s">
        <v>597</v>
      </c>
      <c r="F18" s="8" t="s">
        <v>591</v>
      </c>
      <c r="G18" s="8" t="s">
        <v>679</v>
      </c>
      <c r="H18" s="8" t="s">
        <v>592</v>
      </c>
      <c r="I18" s="7" t="s">
        <v>604</v>
      </c>
      <c r="J18" s="8"/>
      <c r="K18" s="8"/>
      <c r="L18" s="8" t="s">
        <v>594</v>
      </c>
      <c r="M18" s="7"/>
      <c r="N18" s="8" t="s">
        <v>1057</v>
      </c>
      <c r="O18" s="8"/>
      <c r="P18" s="8" t="b">
        <v>0</v>
      </c>
      <c r="Q18" s="8"/>
      <c r="R18" s="8" t="s">
        <v>218</v>
      </c>
    </row>
    <row r="19" spans="1:18" ht="36" x14ac:dyDescent="0.25">
      <c r="A19" s="6" t="s">
        <v>678</v>
      </c>
      <c r="B19" s="10" t="s">
        <v>677</v>
      </c>
      <c r="C19" s="11" t="s">
        <v>606</v>
      </c>
      <c r="D19" s="11"/>
      <c r="E19" s="11" t="s">
        <v>597</v>
      </c>
      <c r="F19" s="11" t="s">
        <v>597</v>
      </c>
      <c r="G19" s="11" t="s">
        <v>679</v>
      </c>
      <c r="H19" s="11" t="s">
        <v>592</v>
      </c>
      <c r="I19" s="10" t="s">
        <v>607</v>
      </c>
      <c r="J19" s="11"/>
      <c r="K19" s="11"/>
      <c r="L19" s="11" t="s">
        <v>594</v>
      </c>
      <c r="M19" s="10" t="s">
        <v>606</v>
      </c>
      <c r="N19" s="11" t="s">
        <v>1058</v>
      </c>
      <c r="O19" s="11"/>
      <c r="P19" s="11" t="b">
        <v>0</v>
      </c>
      <c r="Q19" s="11"/>
      <c r="R19" s="11" t="s">
        <v>218</v>
      </c>
    </row>
    <row r="20" spans="1:18" ht="36" x14ac:dyDescent="0.25">
      <c r="A20" s="6" t="s">
        <v>678</v>
      </c>
      <c r="B20" s="7" t="s">
        <v>677</v>
      </c>
      <c r="C20" s="8" t="s">
        <v>609</v>
      </c>
      <c r="D20" s="8"/>
      <c r="E20" s="8" t="s">
        <v>597</v>
      </c>
      <c r="F20" s="8" t="s">
        <v>597</v>
      </c>
      <c r="G20" s="8" t="s">
        <v>679</v>
      </c>
      <c r="H20" s="8" t="s">
        <v>592</v>
      </c>
      <c r="I20" s="7" t="s">
        <v>610</v>
      </c>
      <c r="J20" s="8"/>
      <c r="K20" s="8"/>
      <c r="L20" s="8" t="s">
        <v>594</v>
      </c>
      <c r="M20" s="7" t="s">
        <v>609</v>
      </c>
      <c r="N20" s="8" t="s">
        <v>1059</v>
      </c>
      <c r="O20" s="8"/>
      <c r="P20" s="8" t="b">
        <v>0</v>
      </c>
      <c r="Q20" s="8"/>
      <c r="R20" s="8" t="s">
        <v>218</v>
      </c>
    </row>
    <row r="21" spans="1:18" ht="24" x14ac:dyDescent="0.25">
      <c r="A21" s="6" t="s">
        <v>681</v>
      </c>
      <c r="B21" s="10" t="s">
        <v>680</v>
      </c>
      <c r="C21" s="11" t="s">
        <v>589</v>
      </c>
      <c r="D21" s="11"/>
      <c r="E21" s="11" t="s">
        <v>590</v>
      </c>
      <c r="F21" s="11" t="s">
        <v>591</v>
      </c>
      <c r="G21" s="11" t="s">
        <v>684</v>
      </c>
      <c r="H21" s="11" t="s">
        <v>592</v>
      </c>
      <c r="I21" s="10" t="s">
        <v>593</v>
      </c>
      <c r="J21" s="11"/>
      <c r="K21" s="11"/>
      <c r="L21" s="11" t="s">
        <v>594</v>
      </c>
      <c r="M21" s="10" t="s">
        <v>589</v>
      </c>
      <c r="N21" s="11" t="s">
        <v>1060</v>
      </c>
      <c r="O21" s="11"/>
      <c r="P21" s="11" t="b">
        <v>0</v>
      </c>
      <c r="Q21" s="11"/>
      <c r="R21" s="11" t="s">
        <v>218</v>
      </c>
    </row>
    <row r="22" spans="1:18" ht="24" x14ac:dyDescent="0.25">
      <c r="A22" s="6" t="s">
        <v>681</v>
      </c>
      <c r="B22" s="7" t="s">
        <v>680</v>
      </c>
      <c r="C22" s="8" t="s">
        <v>596</v>
      </c>
      <c r="D22" s="8"/>
      <c r="E22" s="8" t="s">
        <v>597</v>
      </c>
      <c r="F22" s="8" t="s">
        <v>597</v>
      </c>
      <c r="G22" s="8" t="s">
        <v>684</v>
      </c>
      <c r="H22" s="8" t="s">
        <v>592</v>
      </c>
      <c r="I22" s="7" t="s">
        <v>598</v>
      </c>
      <c r="J22" s="8"/>
      <c r="K22" s="8"/>
      <c r="L22" s="8" t="s">
        <v>594</v>
      </c>
      <c r="M22" s="7" t="s">
        <v>596</v>
      </c>
      <c r="N22" s="8" t="s">
        <v>1061</v>
      </c>
      <c r="O22" s="8"/>
      <c r="P22" s="8" t="b">
        <v>0</v>
      </c>
      <c r="Q22" s="8"/>
      <c r="R22" s="8" t="s">
        <v>218</v>
      </c>
    </row>
    <row r="23" spans="1:18" ht="24" x14ac:dyDescent="0.25">
      <c r="A23" s="6" t="s">
        <v>681</v>
      </c>
      <c r="B23" s="10" t="s">
        <v>680</v>
      </c>
      <c r="C23" s="11" t="s">
        <v>600</v>
      </c>
      <c r="D23" s="11"/>
      <c r="E23" s="11" t="s">
        <v>597</v>
      </c>
      <c r="F23" s="11" t="s">
        <v>590</v>
      </c>
      <c r="G23" s="11" t="s">
        <v>684</v>
      </c>
      <c r="H23" s="11" t="s">
        <v>592</v>
      </c>
      <c r="I23" s="10" t="s">
        <v>601</v>
      </c>
      <c r="J23" s="11"/>
      <c r="K23" s="11"/>
      <c r="L23" s="11" t="s">
        <v>594</v>
      </c>
      <c r="M23" s="10" t="s">
        <v>600</v>
      </c>
      <c r="N23" s="11" t="s">
        <v>1062</v>
      </c>
      <c r="O23" s="11"/>
      <c r="P23" s="11" t="b">
        <v>0</v>
      </c>
      <c r="Q23" s="11"/>
      <c r="R23" s="11" t="s">
        <v>218</v>
      </c>
    </row>
    <row r="24" spans="1:18" ht="24" x14ac:dyDescent="0.25">
      <c r="A24" s="6" t="s">
        <v>686</v>
      </c>
      <c r="B24" s="10" t="s">
        <v>685</v>
      </c>
      <c r="C24" s="11" t="s">
        <v>612</v>
      </c>
      <c r="D24" s="11"/>
      <c r="E24" s="11" t="s">
        <v>591</v>
      </c>
      <c r="F24" s="11" t="s">
        <v>591</v>
      </c>
      <c r="G24" s="11" t="s">
        <v>687</v>
      </c>
      <c r="H24" s="11" t="s">
        <v>592</v>
      </c>
      <c r="I24" s="10" t="s">
        <v>613</v>
      </c>
      <c r="J24" s="11"/>
      <c r="K24" s="11"/>
      <c r="L24" s="11" t="s">
        <v>594</v>
      </c>
      <c r="M24" s="10" t="s">
        <v>612</v>
      </c>
      <c r="N24" s="11" t="s">
        <v>1063</v>
      </c>
      <c r="O24" s="11"/>
      <c r="P24" s="11" t="b">
        <v>0</v>
      </c>
      <c r="Q24" s="11"/>
      <c r="R24" s="11" t="s">
        <v>218</v>
      </c>
    </row>
    <row r="25" spans="1:18" ht="24" x14ac:dyDescent="0.25">
      <c r="A25" s="6" t="s">
        <v>686</v>
      </c>
      <c r="B25" s="7" t="s">
        <v>685</v>
      </c>
      <c r="C25" s="8" t="s">
        <v>615</v>
      </c>
      <c r="D25" s="8"/>
      <c r="E25" s="8" t="s">
        <v>597</v>
      </c>
      <c r="F25" s="8" t="s">
        <v>597</v>
      </c>
      <c r="G25" s="8" t="s">
        <v>687</v>
      </c>
      <c r="H25" s="8" t="s">
        <v>592</v>
      </c>
      <c r="I25" s="7" t="s">
        <v>616</v>
      </c>
      <c r="J25" s="8"/>
      <c r="K25" s="8"/>
      <c r="L25" s="8" t="s">
        <v>594</v>
      </c>
      <c r="M25" s="7" t="s">
        <v>615</v>
      </c>
      <c r="N25" s="8" t="s">
        <v>1064</v>
      </c>
      <c r="O25" s="8"/>
      <c r="P25" s="8" t="b">
        <v>0</v>
      </c>
      <c r="Q25" s="8"/>
      <c r="R25" s="8" t="s">
        <v>218</v>
      </c>
    </row>
    <row r="26" spans="1:18" ht="24" x14ac:dyDescent="0.25">
      <c r="A26" s="6" t="s">
        <v>686</v>
      </c>
      <c r="B26" s="10" t="s">
        <v>685</v>
      </c>
      <c r="C26" s="11" t="s">
        <v>618</v>
      </c>
      <c r="D26" s="11"/>
      <c r="E26" s="11" t="s">
        <v>597</v>
      </c>
      <c r="F26" s="11" t="s">
        <v>591</v>
      </c>
      <c r="G26" s="11" t="s">
        <v>687</v>
      </c>
      <c r="H26" s="11" t="s">
        <v>592</v>
      </c>
      <c r="I26" s="10" t="s">
        <v>619</v>
      </c>
      <c r="J26" s="11"/>
      <c r="K26" s="11"/>
      <c r="L26" s="11" t="s">
        <v>594</v>
      </c>
      <c r="M26" s="10" t="s">
        <v>618</v>
      </c>
      <c r="N26" s="11" t="s">
        <v>1065</v>
      </c>
      <c r="O26" s="11"/>
      <c r="P26" s="11" t="b">
        <v>0</v>
      </c>
      <c r="Q26" s="11"/>
      <c r="R26" s="11" t="s">
        <v>218</v>
      </c>
    </row>
    <row r="27" spans="1:18" ht="36" x14ac:dyDescent="0.25">
      <c r="A27" s="6" t="s">
        <v>696</v>
      </c>
      <c r="B27" s="7" t="s">
        <v>695</v>
      </c>
      <c r="C27" s="8" t="s">
        <v>603</v>
      </c>
      <c r="D27" s="8" t="s">
        <v>300</v>
      </c>
      <c r="E27" s="8" t="s">
        <v>597</v>
      </c>
      <c r="F27" s="8" t="s">
        <v>591</v>
      </c>
      <c r="G27" s="8" t="s">
        <v>697</v>
      </c>
      <c r="H27" s="8" t="s">
        <v>592</v>
      </c>
      <c r="I27" s="7" t="s">
        <v>604</v>
      </c>
      <c r="J27" s="8"/>
      <c r="K27" s="8"/>
      <c r="L27" s="8" t="s">
        <v>594</v>
      </c>
      <c r="M27" s="7"/>
      <c r="N27" s="8" t="s">
        <v>1066</v>
      </c>
      <c r="O27" s="8"/>
      <c r="P27" s="8" t="b">
        <v>0</v>
      </c>
      <c r="Q27" s="8"/>
      <c r="R27" s="8" t="s">
        <v>218</v>
      </c>
    </row>
    <row r="28" spans="1:18" ht="36" x14ac:dyDescent="0.25">
      <c r="A28" s="6" t="s">
        <v>696</v>
      </c>
      <c r="B28" s="10" t="s">
        <v>695</v>
      </c>
      <c r="C28" s="11" t="s">
        <v>606</v>
      </c>
      <c r="D28" s="11"/>
      <c r="E28" s="11" t="s">
        <v>597</v>
      </c>
      <c r="F28" s="11" t="s">
        <v>597</v>
      </c>
      <c r="G28" s="11" t="s">
        <v>697</v>
      </c>
      <c r="H28" s="11" t="s">
        <v>592</v>
      </c>
      <c r="I28" s="10" t="s">
        <v>607</v>
      </c>
      <c r="J28" s="11"/>
      <c r="K28" s="11"/>
      <c r="L28" s="11" t="s">
        <v>594</v>
      </c>
      <c r="M28" s="10" t="s">
        <v>606</v>
      </c>
      <c r="N28" s="11" t="s">
        <v>1067</v>
      </c>
      <c r="O28" s="11"/>
      <c r="P28" s="11" t="b">
        <v>0</v>
      </c>
      <c r="Q28" s="11"/>
      <c r="R28" s="11" t="s">
        <v>218</v>
      </c>
    </row>
    <row r="29" spans="1:18" ht="36" x14ac:dyDescent="0.25">
      <c r="A29" s="6" t="s">
        <v>696</v>
      </c>
      <c r="B29" s="7" t="s">
        <v>695</v>
      </c>
      <c r="C29" s="8" t="s">
        <v>609</v>
      </c>
      <c r="D29" s="8"/>
      <c r="E29" s="8" t="s">
        <v>597</v>
      </c>
      <c r="F29" s="8" t="s">
        <v>597</v>
      </c>
      <c r="G29" s="8" t="s">
        <v>697</v>
      </c>
      <c r="H29" s="8" t="s">
        <v>592</v>
      </c>
      <c r="I29" s="7" t="s">
        <v>610</v>
      </c>
      <c r="J29" s="8"/>
      <c r="K29" s="8"/>
      <c r="L29" s="8" t="s">
        <v>594</v>
      </c>
      <c r="M29" s="7" t="s">
        <v>609</v>
      </c>
      <c r="N29" s="8" t="s">
        <v>1068</v>
      </c>
      <c r="O29" s="8"/>
      <c r="P29" s="8" t="b">
        <v>0</v>
      </c>
      <c r="Q29" s="8"/>
      <c r="R29" s="8" t="s">
        <v>218</v>
      </c>
    </row>
    <row r="30" spans="1:18" ht="24" x14ac:dyDescent="0.25">
      <c r="A30" s="6" t="s">
        <v>703</v>
      </c>
      <c r="B30" s="10" t="s">
        <v>702</v>
      </c>
      <c r="C30" s="11" t="s">
        <v>589</v>
      </c>
      <c r="D30" s="11"/>
      <c r="E30" s="11" t="s">
        <v>590</v>
      </c>
      <c r="F30" s="11" t="s">
        <v>591</v>
      </c>
      <c r="G30" s="11" t="s">
        <v>706</v>
      </c>
      <c r="H30" s="11" t="s">
        <v>592</v>
      </c>
      <c r="I30" s="10" t="s">
        <v>593</v>
      </c>
      <c r="J30" s="11"/>
      <c r="K30" s="11"/>
      <c r="L30" s="11" t="s">
        <v>594</v>
      </c>
      <c r="M30" s="10" t="s">
        <v>589</v>
      </c>
      <c r="N30" s="11" t="s">
        <v>1069</v>
      </c>
      <c r="O30" s="11"/>
      <c r="P30" s="11" t="b">
        <v>0</v>
      </c>
      <c r="Q30" s="11"/>
      <c r="R30" s="11" t="s">
        <v>218</v>
      </c>
    </row>
    <row r="31" spans="1:18" ht="24" x14ac:dyDescent="0.25">
      <c r="A31" s="6" t="s">
        <v>703</v>
      </c>
      <c r="B31" s="7" t="s">
        <v>702</v>
      </c>
      <c r="C31" s="8" t="s">
        <v>596</v>
      </c>
      <c r="D31" s="8"/>
      <c r="E31" s="8" t="s">
        <v>597</v>
      </c>
      <c r="F31" s="8" t="s">
        <v>597</v>
      </c>
      <c r="G31" s="8" t="s">
        <v>706</v>
      </c>
      <c r="H31" s="8" t="s">
        <v>592</v>
      </c>
      <c r="I31" s="7" t="s">
        <v>598</v>
      </c>
      <c r="J31" s="8"/>
      <c r="K31" s="8"/>
      <c r="L31" s="8" t="s">
        <v>594</v>
      </c>
      <c r="M31" s="7" t="s">
        <v>596</v>
      </c>
      <c r="N31" s="8" t="s">
        <v>1070</v>
      </c>
      <c r="O31" s="8"/>
      <c r="P31" s="8" t="b">
        <v>0</v>
      </c>
      <c r="Q31" s="8"/>
      <c r="R31" s="8" t="s">
        <v>218</v>
      </c>
    </row>
    <row r="32" spans="1:18" ht="24" x14ac:dyDescent="0.25">
      <c r="A32" s="6" t="s">
        <v>703</v>
      </c>
      <c r="B32" s="10" t="s">
        <v>702</v>
      </c>
      <c r="C32" s="11" t="s">
        <v>600</v>
      </c>
      <c r="D32" s="11"/>
      <c r="E32" s="11" t="s">
        <v>597</v>
      </c>
      <c r="F32" s="11" t="s">
        <v>590</v>
      </c>
      <c r="G32" s="11" t="s">
        <v>706</v>
      </c>
      <c r="H32" s="11" t="s">
        <v>592</v>
      </c>
      <c r="I32" s="10" t="s">
        <v>601</v>
      </c>
      <c r="J32" s="11"/>
      <c r="K32" s="11"/>
      <c r="L32" s="11" t="s">
        <v>594</v>
      </c>
      <c r="M32" s="10" t="s">
        <v>600</v>
      </c>
      <c r="N32" s="11" t="s">
        <v>1071</v>
      </c>
      <c r="O32" s="11"/>
      <c r="P32" s="11" t="b">
        <v>0</v>
      </c>
      <c r="Q32" s="11"/>
      <c r="R32" s="11" t="s">
        <v>218</v>
      </c>
    </row>
    <row r="33" spans="1:18" ht="24" x14ac:dyDescent="0.25">
      <c r="A33" s="6" t="s">
        <v>708</v>
      </c>
      <c r="B33" s="10" t="s">
        <v>707</v>
      </c>
      <c r="C33" s="11" t="s">
        <v>612</v>
      </c>
      <c r="D33" s="11"/>
      <c r="E33" s="11" t="s">
        <v>591</v>
      </c>
      <c r="F33" s="11" t="s">
        <v>591</v>
      </c>
      <c r="G33" s="11" t="s">
        <v>709</v>
      </c>
      <c r="H33" s="11" t="s">
        <v>592</v>
      </c>
      <c r="I33" s="10" t="s">
        <v>613</v>
      </c>
      <c r="J33" s="11"/>
      <c r="K33" s="11"/>
      <c r="L33" s="11" t="s">
        <v>594</v>
      </c>
      <c r="M33" s="10" t="s">
        <v>612</v>
      </c>
      <c r="N33" s="11" t="s">
        <v>1072</v>
      </c>
      <c r="O33" s="11"/>
      <c r="P33" s="11" t="b">
        <v>0</v>
      </c>
      <c r="Q33" s="11"/>
      <c r="R33" s="11" t="s">
        <v>218</v>
      </c>
    </row>
    <row r="34" spans="1:18" ht="24" x14ac:dyDescent="0.25">
      <c r="A34" s="6" t="s">
        <v>708</v>
      </c>
      <c r="B34" s="7" t="s">
        <v>707</v>
      </c>
      <c r="C34" s="8" t="s">
        <v>615</v>
      </c>
      <c r="D34" s="8"/>
      <c r="E34" s="8" t="s">
        <v>597</v>
      </c>
      <c r="F34" s="8" t="s">
        <v>597</v>
      </c>
      <c r="G34" s="8" t="s">
        <v>709</v>
      </c>
      <c r="H34" s="8" t="s">
        <v>592</v>
      </c>
      <c r="I34" s="7" t="s">
        <v>616</v>
      </c>
      <c r="J34" s="8"/>
      <c r="K34" s="8"/>
      <c r="L34" s="8" t="s">
        <v>594</v>
      </c>
      <c r="M34" s="7" t="s">
        <v>615</v>
      </c>
      <c r="N34" s="8" t="s">
        <v>1073</v>
      </c>
      <c r="O34" s="8"/>
      <c r="P34" s="8" t="b">
        <v>0</v>
      </c>
      <c r="Q34" s="8"/>
      <c r="R34" s="8" t="s">
        <v>218</v>
      </c>
    </row>
    <row r="35" spans="1:18" ht="24" x14ac:dyDescent="0.25">
      <c r="A35" s="6" t="s">
        <v>708</v>
      </c>
      <c r="B35" s="10" t="s">
        <v>707</v>
      </c>
      <c r="C35" s="11" t="s">
        <v>618</v>
      </c>
      <c r="D35" s="11"/>
      <c r="E35" s="11" t="s">
        <v>597</v>
      </c>
      <c r="F35" s="11" t="s">
        <v>591</v>
      </c>
      <c r="G35" s="11" t="s">
        <v>709</v>
      </c>
      <c r="H35" s="11" t="s">
        <v>592</v>
      </c>
      <c r="I35" s="10" t="s">
        <v>619</v>
      </c>
      <c r="J35" s="11"/>
      <c r="K35" s="11"/>
      <c r="L35" s="11" t="s">
        <v>594</v>
      </c>
      <c r="M35" s="10" t="s">
        <v>618</v>
      </c>
      <c r="N35" s="11" t="s">
        <v>1074</v>
      </c>
      <c r="O35" s="11"/>
      <c r="P35" s="11" t="b">
        <v>0</v>
      </c>
      <c r="Q35" s="11"/>
      <c r="R35" s="11" t="s">
        <v>218</v>
      </c>
    </row>
  </sheetData>
  <autoFilter ref="A2:R11" xr:uid="{00000000-0009-0000-0000-000008000000}"/>
  <mergeCells count="1">
    <mergeCell ref="A1:R1"/>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6"/>
  <sheetViews>
    <sheetView showGridLines="0" zoomScaleNormal="100" workbookViewId="0">
      <pane xSplit="2" ySplit="2" topLeftCell="C3" activePane="bottomRight" state="frozen"/>
      <selection pane="topRight" activeCell="C1" sqref="C1"/>
      <selection pane="bottomLeft" activeCell="A3" sqref="A3"/>
      <selection pane="bottomRight" sqref="A1:Q1"/>
    </sheetView>
  </sheetViews>
  <sheetFormatPr defaultColWidth="8.7109375" defaultRowHeight="15" x14ac:dyDescent="0.25"/>
  <cols>
    <col min="1" max="1" width="10" customWidth="1"/>
    <col min="2" max="2" width="30" customWidth="1"/>
    <col min="3" max="6" width="16" customWidth="1"/>
    <col min="7" max="10" width="40" customWidth="1"/>
    <col min="11" max="17" width="16" customWidth="1"/>
  </cols>
  <sheetData>
    <row r="1" spans="1:17" ht="21.75" customHeight="1" x14ac:dyDescent="0.25">
      <c r="A1" s="1" t="s">
        <v>621</v>
      </c>
      <c r="B1" s="1"/>
      <c r="C1" s="1"/>
      <c r="D1" s="1"/>
      <c r="E1" s="1"/>
      <c r="F1" s="1"/>
      <c r="G1" s="1"/>
      <c r="H1" s="1"/>
      <c r="I1" s="1"/>
      <c r="J1" s="1"/>
      <c r="K1" s="1"/>
      <c r="L1" s="1"/>
      <c r="M1" s="1"/>
      <c r="N1" s="1"/>
      <c r="O1" s="1"/>
      <c r="P1" s="1"/>
      <c r="Q1" s="1"/>
    </row>
    <row r="2" spans="1:17" ht="23.25" customHeight="1" x14ac:dyDescent="0.25">
      <c r="A2" s="5" t="s">
        <v>1</v>
      </c>
      <c r="B2" s="5" t="s">
        <v>2</v>
      </c>
      <c r="C2" s="5" t="s">
        <v>622</v>
      </c>
      <c r="D2" s="5" t="s">
        <v>623</v>
      </c>
      <c r="E2" s="5" t="s">
        <v>8</v>
      </c>
      <c r="F2" s="5" t="s">
        <v>624</v>
      </c>
      <c r="G2" s="5" t="s">
        <v>625</v>
      </c>
      <c r="H2" s="5" t="s">
        <v>626</v>
      </c>
      <c r="I2" s="5" t="s">
        <v>627</v>
      </c>
      <c r="J2" s="5" t="s">
        <v>628</v>
      </c>
      <c r="K2" s="5" t="s">
        <v>629</v>
      </c>
      <c r="L2" s="5" t="s">
        <v>115</v>
      </c>
      <c r="M2" s="5" t="s">
        <v>118</v>
      </c>
      <c r="N2" s="5" t="s">
        <v>630</v>
      </c>
      <c r="O2" s="5" t="s">
        <v>631</v>
      </c>
      <c r="P2" s="5" t="s">
        <v>632</v>
      </c>
      <c r="Q2" s="5" t="s">
        <v>119</v>
      </c>
    </row>
    <row r="3" spans="1:17" ht="84.75" customHeight="1" x14ac:dyDescent="0.25">
      <c r="A3" s="6" t="s">
        <v>19</v>
      </c>
      <c r="B3" s="10" t="s">
        <v>20</v>
      </c>
      <c r="C3" s="11" t="s">
        <v>409</v>
      </c>
      <c r="D3" s="11" t="s">
        <v>633</v>
      </c>
      <c r="E3" s="11" t="s">
        <v>634</v>
      </c>
      <c r="F3" s="11" t="s">
        <v>28</v>
      </c>
      <c r="G3" s="10" t="s">
        <v>635</v>
      </c>
      <c r="H3" s="10"/>
      <c r="I3" s="10"/>
      <c r="J3" s="10" t="s">
        <v>636</v>
      </c>
      <c r="K3" s="11"/>
      <c r="L3" s="11" t="s">
        <v>637</v>
      </c>
      <c r="M3" s="11" t="s">
        <v>200</v>
      </c>
      <c r="N3" s="11" t="s">
        <v>638</v>
      </c>
      <c r="O3" s="11" t="s">
        <v>639</v>
      </c>
      <c r="P3" s="11"/>
      <c r="Q3" s="11" t="s">
        <v>218</v>
      </c>
    </row>
    <row r="4" spans="1:17" ht="63.75" customHeight="1" x14ac:dyDescent="0.25">
      <c r="A4" s="6" t="s">
        <v>19</v>
      </c>
      <c r="B4" s="7" t="s">
        <v>20</v>
      </c>
      <c r="C4" s="8" t="s">
        <v>640</v>
      </c>
      <c r="D4" s="8" t="s">
        <v>641</v>
      </c>
      <c r="E4" s="8" t="s">
        <v>634</v>
      </c>
      <c r="F4" s="8" t="s">
        <v>28</v>
      </c>
      <c r="G4" s="7" t="s">
        <v>642</v>
      </c>
      <c r="H4" s="7"/>
      <c r="I4" s="7"/>
      <c r="J4" s="7" t="s">
        <v>643</v>
      </c>
      <c r="K4" s="8"/>
      <c r="L4" s="8" t="s">
        <v>644</v>
      </c>
      <c r="M4" s="8" t="s">
        <v>200</v>
      </c>
      <c r="N4" s="8" t="s">
        <v>638</v>
      </c>
      <c r="O4" s="8" t="s">
        <v>639</v>
      </c>
      <c r="P4" s="8"/>
      <c r="Q4" s="8" t="s">
        <v>218</v>
      </c>
    </row>
    <row r="5" spans="1:17" ht="157.5" customHeight="1" x14ac:dyDescent="0.25">
      <c r="A5" s="6" t="s">
        <v>19</v>
      </c>
      <c r="B5" s="10" t="s">
        <v>20</v>
      </c>
      <c r="C5" s="11" t="s">
        <v>439</v>
      </c>
      <c r="D5" s="11" t="s">
        <v>645</v>
      </c>
      <c r="E5" s="11" t="s">
        <v>634</v>
      </c>
      <c r="F5" s="11" t="s">
        <v>27</v>
      </c>
      <c r="G5" s="10" t="s">
        <v>646</v>
      </c>
      <c r="H5" s="10"/>
      <c r="I5" s="10"/>
      <c r="J5" s="10" t="s">
        <v>647</v>
      </c>
      <c r="K5" s="11"/>
      <c r="L5" s="11" t="s">
        <v>648</v>
      </c>
      <c r="M5" s="11" t="s">
        <v>200</v>
      </c>
      <c r="N5" s="11" t="s">
        <v>200</v>
      </c>
      <c r="O5" s="11" t="s">
        <v>218</v>
      </c>
      <c r="P5" s="11"/>
      <c r="Q5" s="11" t="s">
        <v>218</v>
      </c>
    </row>
    <row r="6" spans="1:17" ht="137.25" customHeight="1" x14ac:dyDescent="0.25">
      <c r="A6" s="6" t="s">
        <v>29</v>
      </c>
      <c r="B6" s="7" t="s">
        <v>30</v>
      </c>
      <c r="C6" s="8" t="s">
        <v>400</v>
      </c>
      <c r="D6" s="8" t="s">
        <v>649</v>
      </c>
      <c r="E6" s="8" t="s">
        <v>634</v>
      </c>
      <c r="F6" s="8" t="s">
        <v>650</v>
      </c>
      <c r="G6" s="7" t="s">
        <v>651</v>
      </c>
      <c r="H6" s="7"/>
      <c r="I6" s="7"/>
      <c r="J6" s="7" t="s">
        <v>652</v>
      </c>
      <c r="K6" s="8"/>
      <c r="L6" s="8" t="s">
        <v>653</v>
      </c>
      <c r="M6" s="8" t="s">
        <v>200</v>
      </c>
      <c r="N6" s="8" t="s">
        <v>638</v>
      </c>
      <c r="O6" s="8" t="s">
        <v>654</v>
      </c>
      <c r="P6" s="8"/>
      <c r="Q6" s="8" t="s">
        <v>218</v>
      </c>
    </row>
  </sheetData>
  <autoFilter ref="A2:Q6" xr:uid="{00000000-0009-0000-0000-000009000000}"/>
  <mergeCells count="1">
    <mergeCell ref="A1:Q1"/>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F748830B039464184234ABD3C032536" ma:contentTypeVersion="13" ma:contentTypeDescription="Create a new document." ma:contentTypeScope="" ma:versionID="ea635a9d514b5c949894ab80d8395d4a">
  <xsd:schema xmlns:xsd="http://www.w3.org/2001/XMLSchema" xmlns:xs="http://www.w3.org/2001/XMLSchema" xmlns:p="http://schemas.microsoft.com/office/2006/metadata/properties" xmlns:ns2="f412fc42-7a6a-4f3f-a30b-bdd8595af4b9" xmlns:ns3="c137d5f6-f693-4b94-9d4f-036c0b0c6a0f" targetNamespace="http://schemas.microsoft.com/office/2006/metadata/properties" ma:root="true" ma:fieldsID="e790aa60673301070b7fb503279ef9d3" ns2:_="" ns3:_="">
    <xsd:import namespace="f412fc42-7a6a-4f3f-a30b-bdd8595af4b9"/>
    <xsd:import namespace="c137d5f6-f693-4b94-9d4f-036c0b0c6a0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12fc42-7a6a-4f3f-a30b-bdd8595af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830aa7a-1173-4a8f-8fff-517453f03437"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137d5f6-f693-4b94-9d4f-036c0b0c6a0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a56fb4b7-42f8-4c7b-b78c-6e2c89c85712}" ma:internalName="TaxCatchAll" ma:showField="CatchAllData" ma:web="c137d5f6-f693-4b94-9d4f-036c0b0c6a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412fc42-7a6a-4f3f-a30b-bdd8595af4b9">
      <Terms xmlns="http://schemas.microsoft.com/office/infopath/2007/PartnerControls"/>
    </lcf76f155ced4ddcb4097134ff3c332f>
    <TaxCatchAll xmlns="c137d5f6-f693-4b94-9d4f-036c0b0c6a0f" xsi:nil="true"/>
  </documentManagement>
</p:properties>
</file>

<file path=customXml/itemProps1.xml><?xml version="1.0" encoding="utf-8"?>
<ds:datastoreItem xmlns:ds="http://schemas.openxmlformats.org/officeDocument/2006/customXml" ds:itemID="{FF61B937-23D7-476D-A4EB-3ABC0B09F0FA}"/>
</file>

<file path=customXml/itemProps2.xml><?xml version="1.0" encoding="utf-8"?>
<ds:datastoreItem xmlns:ds="http://schemas.openxmlformats.org/officeDocument/2006/customXml" ds:itemID="{6EE13F97-77DE-459A-88A6-238109F00C0F}"/>
</file>

<file path=customXml/itemProps3.xml><?xml version="1.0" encoding="utf-8"?>
<ds:datastoreItem xmlns:ds="http://schemas.openxmlformats.org/officeDocument/2006/customXml" ds:itemID="{1C6086C8-EBE6-4BCC-970F-7E22CA653448}"/>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to do</vt:lpstr>
      <vt:lpstr>config</vt:lpstr>
      <vt:lpstr>Dashboards</vt:lpstr>
      <vt:lpstr>Initiative Summary</vt:lpstr>
      <vt:lpstr>Charter Details</vt:lpstr>
      <vt:lpstr>Financial Summary</vt:lpstr>
      <vt:lpstr>Benefits</vt:lpstr>
      <vt:lpstr>Costs</vt:lpstr>
      <vt:lpstr>DO NOT USE</vt:lpstr>
      <vt:lpstr>KPIs</vt:lpstr>
      <vt:lpstr>Milestones</vt:lpstr>
      <vt:lpstr>Action Items</vt:lpstr>
      <vt:lpstr>Risks</vt:lpstr>
      <vt:lpstr>Status Updates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Zafirova, Zornica (Zori)</cp:lastModifiedBy>
  <cp:revision>0</cp:revision>
  <dcterms:created xsi:type="dcterms:W3CDTF">2026-06-10T02:47:46Z</dcterms:created>
  <dcterms:modified xsi:type="dcterms:W3CDTF">2026-06-10T10:24:40Z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1f81cae-2cc7-434f-b11d-39789e497bf2_Enabled">
    <vt:lpwstr>true</vt:lpwstr>
  </property>
  <property fmtid="{D5CDD505-2E9C-101B-9397-08002B2CF9AE}" pid="3" name="MSIP_Label_31f81cae-2cc7-434f-b11d-39789e497bf2_SetDate">
    <vt:lpwstr>2026-06-10T10:02:40Z</vt:lpwstr>
  </property>
  <property fmtid="{D5CDD505-2E9C-101B-9397-08002B2CF9AE}" pid="4" name="MSIP_Label_31f81cae-2cc7-434f-b11d-39789e497bf2_Method">
    <vt:lpwstr>Standard</vt:lpwstr>
  </property>
  <property fmtid="{D5CDD505-2E9C-101B-9397-08002B2CF9AE}" pid="5" name="MSIP_Label_31f81cae-2cc7-434f-b11d-39789e497bf2_Name">
    <vt:lpwstr>Confidential</vt:lpwstr>
  </property>
  <property fmtid="{D5CDD505-2E9C-101B-9397-08002B2CF9AE}" pid="6" name="MSIP_Label_31f81cae-2cc7-434f-b11d-39789e497bf2_SiteId">
    <vt:lpwstr>dd5e230f-c165-49c4-957f-e203458fffab</vt:lpwstr>
  </property>
  <property fmtid="{D5CDD505-2E9C-101B-9397-08002B2CF9AE}" pid="7" name="MSIP_Label_31f81cae-2cc7-434f-b11d-39789e497bf2_ActionId">
    <vt:lpwstr>2ab1c390-fa97-4dab-a199-efe8ae0df03a</vt:lpwstr>
  </property>
  <property fmtid="{D5CDD505-2E9C-101B-9397-08002B2CF9AE}" pid="8" name="MSIP_Label_31f81cae-2cc7-434f-b11d-39789e497bf2_ContentBits">
    <vt:lpwstr>0</vt:lpwstr>
  </property>
  <property fmtid="{D5CDD505-2E9C-101B-9397-08002B2CF9AE}" pid="9" name="MSIP_Label_31f81cae-2cc7-434f-b11d-39789e497bf2_Tag">
    <vt:lpwstr>10, 3, 0, 1</vt:lpwstr>
  </property>
  <property fmtid="{D5CDD505-2E9C-101B-9397-08002B2CF9AE}" pid="10" name="MediaServiceImageTags">
    <vt:lpwstr/>
  </property>
  <property fmtid="{D5CDD505-2E9C-101B-9397-08002B2CF9AE}" pid="11" name="ContentTypeId">
    <vt:lpwstr>0x010100CF748830B039464184234ABD3C032536</vt:lpwstr>
  </property>
</Properties>
</file>